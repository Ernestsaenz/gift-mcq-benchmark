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comments3.xml" ContentType="application/vnd.openxmlformats-officedocument.spreadsheetml.comments+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naire" sheetId="2" state="visible" r:id="rId4"/>
    <sheet name="Question Data" sheetId="3" state="visible" r:id="rId5"/>
    <sheet name="Answer Key" sheetId="4" state="visible" r:id="rId6"/>
    <sheet name="Case Contexts" sheetId="5" state="visible" r:id="rId7"/>
    <sheet name="Visuals" sheetId="6" state="visible" r:id="rId8"/>
    <sheet name="Selection Ledger" sheetId="7" state="visible" r:id="rId9"/>
    <sheet name="Exclusions" sheetId="8" state="visible" r:id="rId10"/>
    <sheet name="Methodology" sheetId="9" state="visible" r:id="rId11"/>
  </sheets>
  <definedNames>
    <definedName function="false" hidden="false" localSheetId="3" name="_xlnm.Print_Area" vbProcedure="false">'Answer Key'!$A$1:$C$504</definedName>
    <definedName function="false" hidden="false" localSheetId="3" name="_xlnm.Print_Titles" vbProcedure="false">'Answer Key'!$1:$4</definedName>
    <definedName function="false" hidden="false" localSheetId="4" name="_xlnm.Print_Area" vbProcedure="false">'Case Contexts'!$A$1:$B$2</definedName>
    <definedName function="false" hidden="false" localSheetId="4" name="_xlnm.Print_Titles" vbProcedure="false">'Case Contexts'!$1:$4</definedName>
    <definedName function="false" hidden="false" localSheetId="7" name="_xlnm.Print_Area" vbProcedure="false">Exclusions!$A$1:$D$2</definedName>
    <definedName function="false" hidden="false" localSheetId="7" name="_xlnm.Print_Titles" vbProcedure="false">Exclusions!$1:$3</definedName>
    <definedName function="false" hidden="false" localSheetId="8" name="_xlnm.Print_Area" vbProcedure="false">Methodology!$A$1:$D$24</definedName>
    <definedName function="false" hidden="false" localSheetId="8" name="_xlnm.Print_Titles" vbProcedure="false">Methodology!$1:$3</definedName>
    <definedName function="false" hidden="false" localSheetId="0" name="_xlnm.Print_Area" vbProcedure="false">Overview!$A$1:$L$32</definedName>
    <definedName function="false" hidden="false" localSheetId="2" name="_xlnm.Print_Area" vbProcedure="false">'Question Data'!$A$1:$D$2</definedName>
    <definedName function="false" hidden="false" localSheetId="2" name="_xlnm.Print_Titles" vbProcedure="false">'Question Data'!$1:$4</definedName>
    <definedName function="false" hidden="true" localSheetId="2" name="_xlnm._FilterDatabase" vbProcedure="false">'Question Data'!$A$4:$Q$504</definedName>
    <definedName function="false" hidden="false" localSheetId="1" name="_xlnm.Print_Area" vbProcedure="false">Questionnaire!$A$1:$H$3263</definedName>
    <definedName function="false" hidden="false" localSheetId="1" name="_xlnm.Print_Titles" vbProcedure="false">Questionnaire!$1:$2</definedName>
    <definedName function="false" hidden="false" localSheetId="6" name="_xlnm.Print_Area" vbProcedure="false">'Selection Ledger'!$A$1:$D$2</definedName>
    <definedName function="false" hidden="false" localSheetId="6" name="_xlnm.Print_Titles" vbProcedure="false">'Selection Ledger'!$1:$3</definedName>
    <definedName function="false" hidden="false" localSheetId="5" name="_xlnm.Print_Area" vbProcedure="false">Visuals!$A$1:$D$6</definedName>
    <definedName function="false" hidden="false" localSheetId="5" name="_xlnm.Print_Titles" vbProcedure="false">Visuals!$1:$4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Codex PDF-source repair</author>
  </authors>
  <commentList>
    <comment ref="N56" authorId="0">
      <text>
        <r>
          <rPr>
            <sz val="10"/>
            <rFont val="Arial"/>
            <family val="2"/>
          </rPr>
          <t xml:space="preserve">PDF-source repair SRC-009. Source: exams-other-regions-spain-pdfs/illes-balears/2022/exam/exam__cuadernillo-de-examen-aparato-digestivo-fea.pdf, PDF page 20.</t>
        </r>
      </text>
    </comment>
    <comment ref="N63" authorId="0">
      <text>
        <r>
          <rPr>
            <sz val="10"/>
            <rFont val="Arial"/>
            <family val="2"/>
          </rPr>
          <t xml:space="preserve">PDF-source repair SRC-009. Source: exams-other-regions-spain-pdfs/illes-balears/2022/exam/exam__cuadernillo-de-examen-aparato-digestivo-fea.pdf, PDF page 22.</t>
        </r>
      </text>
    </comment>
    <comment ref="N64" authorId="0">
      <text>
        <r>
          <rPr>
            <sz val="10"/>
            <rFont val="Arial"/>
            <family val="2"/>
          </rPr>
          <t xml:space="preserve">PDF-source repair SRC-009. Source: exams-other-regions-spain-pdfs/illes-balears/2022/exam/exam__cuadernillo-de-examen-aparato-digestivo-fea.pdf, PDF page 22.</t>
        </r>
      </text>
    </comment>
    <comment ref="N102" authorId="0">
      <text>
        <r>
          <rPr>
            <sz val="10"/>
            <rFont val="Arial"/>
            <family val="2"/>
          </rPr>
          <t xml:space="preserve">PDF-source repair SRC-009. Source: exams-other-regions-spain-pdfs/illes-balears/2022/exam/exam__cuadernillo-de-examen-aparato-digestivo-fea.pdf, PDF page 34.</t>
        </r>
      </text>
    </comment>
    <comment ref="N105" authorId="0">
      <text>
        <r>
          <rPr>
            <sz val="10"/>
            <rFont val="Arial"/>
            <family val="2"/>
          </rPr>
          <t xml:space="preserve">PDF-source repair SRC-009. Source: exams-other-regions-spain-pdfs/illes-balears/2022/exam/exam__cuadernillo-de-examen-aparato-digestivo-fea.pdf, PDF page 36.</t>
        </r>
      </text>
    </comment>
    <comment ref="N109" authorId="0">
      <text>
        <r>
          <rPr>
            <sz val="10"/>
            <rFont val="Arial"/>
            <family val="2"/>
          </rPr>
          <t xml:space="preserve">PDF-source repair SRC-009. Source: exams-other-regions-spain-pdfs/illes-balears/2022/exam/exam__cuadernillo-de-examen-aparato-digestivo-fea.pdf, PDF page 37.</t>
        </r>
      </text>
    </comment>
    <comment ref="N111" authorId="0">
      <text>
        <r>
          <rPr>
            <sz val="10"/>
            <rFont val="Arial"/>
            <family val="2"/>
          </rPr>
          <t xml:space="preserve">PDF-source repair SRC-009. Source: exams-other-regions-spain-pdfs/illes-balears/2022/exam/exam__cuadernillo-de-examen-aparato-digestivo-fea.pdf, PDF page 38.</t>
        </r>
      </text>
    </comment>
    <comment ref="N123" authorId="0">
      <text>
        <r>
          <rPr>
            <sz val="10"/>
            <rFont val="Arial"/>
            <family val="2"/>
          </rPr>
          <t xml:space="preserve">PDF-source repair SRC-009. Source: exams-other-regions-spain-pdfs/illes-balears/2022/exam/exam__cuadernillo-de-examen-aparato-digestivo-fea.pdf, PDF page 44.</t>
        </r>
      </text>
    </comment>
    <comment ref="N138" authorId="0">
      <text>
        <r>
          <rPr>
            <sz val="10"/>
            <rFont val="Arial"/>
            <family val="2"/>
          </rPr>
          <t xml:space="preserve">PDF-source repair SRC-009. Source: exams-other-regions-spain-pdfs/illes-balears/2022/exam/exam__cuadernillo-de-examen-aparato-digestivo-fea.pdf, PDF page 48.</t>
        </r>
      </text>
    </comment>
    <comment ref="N140" authorId="0">
      <text>
        <r>
          <rPr>
            <sz val="10"/>
            <rFont val="Arial"/>
            <family val="2"/>
          </rPr>
          <t xml:space="preserve">PDF-source repair SRC-009. Source: exams-other-regions-spain-pdfs/illes-balears/2022/exam/exam__cuadernillo-de-examen-aparato-digestivo-fea.pdf, PDF page 49.</t>
        </r>
      </text>
    </comment>
    <comment ref="N143" authorId="0">
      <text>
        <r>
          <rPr>
            <sz val="10"/>
            <rFont val="Arial"/>
            <family val="2"/>
          </rPr>
          <t xml:space="preserve">PDF-source repair SRC-009. Source: exams-other-regions-spain-pdfs/illes-balears/2022/exam/exam__cuadernillo-de-examen-aparato-digestivo-fea.pdf, PDF page 50.</t>
        </r>
      </text>
    </comment>
  </commentList>
</comments>
</file>

<file path=xl/comments4.xml><?xml version="1.0" encoding="utf-8"?>
<comments xmlns="http://schemas.openxmlformats.org/spreadsheetml/2006/main" xmlns:xdr="http://schemas.openxmlformats.org/drawingml/2006/spreadsheetDrawing">
  <authors>
    <author>Codex PDF-source repair</author>
  </authors>
  <commentList>
    <comment ref="B45" authorId="0">
      <text>
        <r>
          <rPr>
            <sz val="10"/>
            <rFont val="Arial"/>
            <family val="2"/>
          </rPr>
          <t xml:space="preserve">PDF-source repair SRC-008. Source: exams-other-regions-spain-pdfs/illes-balears/2022/answer-key/answer-key__plantilla-correctora-supuesto-2.pdf, PDF page 1.</t>
        </r>
      </text>
    </comment>
    <comment ref="B46" authorId="0">
      <text>
        <r>
          <rPr>
            <sz val="10"/>
            <rFont val="Arial"/>
            <family val="2"/>
          </rPr>
          <t xml:space="preserve">PDF-source repair SRC-008. Source: exams-other-regions-spain-pdfs/illes-balears/2022/answer-key/answer-key__plantilla-correctora-supuesto-2.pdf, PDF page 1.</t>
        </r>
      </text>
    </comment>
    <comment ref="B48" authorId="0">
      <text>
        <r>
          <rPr>
            <sz val="10"/>
            <rFont val="Arial"/>
            <family val="2"/>
          </rPr>
          <t xml:space="preserve">PDF-source repair SRC-008. Source: exams-other-regions-spain-pdfs/illes-balears/2022/answer-key/answer-key__plantilla-correctora-supuesto-2.pdf, PDF page 1.</t>
        </r>
      </text>
    </comment>
    <comment ref="C45" authorId="0">
      <text>
        <r>
          <rPr>
            <sz val="10"/>
            <rFont val="Arial"/>
            <family val="2"/>
          </rPr>
          <t xml:space="preserve">PDF-source repair SRC-008. Source: exams-other-regions-spain-pdfs/illes-balears/2022/exam/exam__cuadernillo-de-examen-aparato-digestivo-fea.pdf, PDF page 17.</t>
        </r>
      </text>
    </comment>
    <comment ref="C46" authorId="0">
      <text>
        <r>
          <rPr>
            <sz val="10"/>
            <rFont val="Arial"/>
            <family val="2"/>
          </rPr>
          <t xml:space="preserve">PDF-source repair SRC-008. Source: exams-other-regions-spain-pdfs/illes-balears/2022/exam/exam__cuadernillo-de-examen-aparato-digestivo-fea.pdf, PDF page 17.</t>
        </r>
      </text>
    </comment>
    <comment ref="C48" authorId="0">
      <text>
        <r>
          <rPr>
            <sz val="10"/>
            <rFont val="Arial"/>
            <family val="2"/>
          </rPr>
          <t xml:space="preserve">PDF-source repair SRC-008. Source: exams-other-regions-spain-pdfs/illes-balears/2022/exam/exam__cuadernillo-de-examen-aparato-digestivo-fea.pdf, PDF page 18.</t>
        </r>
      </text>
    </comment>
    <comment ref="C64" authorId="0">
      <text>
        <r>
          <rPr>
            <sz val="10"/>
            <rFont val="Arial"/>
            <family val="2"/>
          </rPr>
          <t xml:space="preserve">PDF-source repair SRC-009. Source: exams-other-regions-spain-pdfs/illes-balears/2022/exam/exam__cuadernillo-de-examen-aparato-digestivo-fea.pdf, PDF page 22.</t>
        </r>
      </text>
    </comment>
    <comment ref="C123" authorId="0">
      <text>
        <r>
          <rPr>
            <sz val="10"/>
            <rFont val="Arial"/>
            <family val="2"/>
          </rPr>
          <t xml:space="preserve">PDF-source repair SRC-009. Source: exams-other-regions-spain-pdfs/illes-balears/2022/exam/exam__cuadernillo-de-examen-aparato-digestivo-fea.pdf, PDF page 44.</t>
        </r>
      </text>
    </comment>
    <comment ref="C143" authorId="0">
      <text>
        <r>
          <rPr>
            <sz val="10"/>
            <rFont val="Arial"/>
            <family val="2"/>
          </rPr>
          <t xml:space="preserve">PDF-source repair SRC-009. Source: exams-other-regions-spain-pdfs/illes-balears/2022/exam/exam__cuadernillo-de-examen-aparato-digestivo-fea.pdf, PDF page 50.</t>
        </r>
      </text>
    </comment>
    <comment ref="J28" authorId="0">
      <text>
        <r>
          <rPr>
            <sz val="10"/>
            <rFont val="Arial"/>
            <family val="2"/>
          </rPr>
          <t xml:space="preserve">PDF-source repair SRC-008. Source: exams-other-regions-spain-pdfs/illes-balears/2022/answer-key/answer-key__plantilla-correctora-supuesto-2.pdf, PDF page 1.</t>
        </r>
      </text>
    </comment>
    <comment ref="J29" authorId="0">
      <text>
        <r>
          <rPr>
            <sz val="10"/>
            <rFont val="Arial"/>
            <family val="2"/>
          </rPr>
          <t xml:space="preserve">PDF-source repair SRC-008. Source: exams-other-regions-spain-pdfs/illes-balears/2022/answer-key/answer-key__plantilla-correctora-supuesto-2.pdf, PDF page 1.</t>
        </r>
      </text>
    </comment>
    <comment ref="J30" authorId="0">
      <text>
        <r>
          <rPr>
            <sz val="10"/>
            <rFont val="Arial"/>
            <family val="2"/>
          </rPr>
          <t xml:space="preserve">PDF-source repair SRC-008. Source: exams-other-regions-spain-pdfs/illes-balears/2022/answer-key/answer-key__plantilla-correctora-supuesto-2.pdf, PDF page 1.</t>
        </r>
      </text>
    </comment>
    <comment ref="J31" authorId="0">
      <text>
        <r>
          <rPr>
            <sz val="10"/>
            <rFont val="Arial"/>
            <family val="2"/>
          </rPr>
          <t xml:space="preserve">PDF-source repair SRC-008. Source: exams-other-regions-spain-pdfs/illes-balears/2022/answer-key/answer-key__plantilla-correctora-supuesto-2.pdf, PDF page 1.</t>
        </r>
      </text>
    </comment>
    <comment ref="J32" authorId="0">
      <text>
        <r>
          <rPr>
            <sz val="10"/>
            <rFont val="Arial"/>
            <family val="2"/>
          </rPr>
          <t xml:space="preserve">PDF-source repair SRC-008. Source: exams-other-regions-spain-pdfs/illes-balears/2022/answer-key/answer-key__plantilla-correctora-supuesto-2.pdf, PDF page 1.</t>
        </r>
      </text>
    </comment>
    <comment ref="J33" authorId="0">
      <text>
        <r>
          <rPr>
            <sz val="10"/>
            <rFont val="Arial"/>
            <family val="2"/>
          </rPr>
          <t xml:space="preserve">PDF-source repair SRC-008. Source: exams-other-regions-spain-pdfs/illes-balears/2022/answer-key/answer-key__plantilla-correctora-supuesto-2.pdf, PDF page 1.</t>
        </r>
      </text>
    </comment>
    <comment ref="J34" authorId="0">
      <text>
        <r>
          <rPr>
            <sz val="10"/>
            <rFont val="Arial"/>
            <family val="2"/>
          </rPr>
          <t xml:space="preserve">PDF-source repair SRC-008. Source: exams-other-regions-spain-pdfs/illes-balears/2022/answer-key/answer-key__plantilla-correctora-supuesto-2.pdf, PDF page 1.</t>
        </r>
      </text>
    </comment>
    <comment ref="J35" authorId="0">
      <text>
        <r>
          <rPr>
            <sz val="10"/>
            <rFont val="Arial"/>
            <family val="2"/>
          </rPr>
          <t xml:space="preserve">PDF-source repair SRC-008. Source: exams-other-regions-spain-pdfs/illes-balears/2022/answer-key/answer-key__plantilla-correctora-supuesto-2.pdf, PDF page 1.</t>
        </r>
      </text>
    </comment>
    <comment ref="J36" authorId="0">
      <text>
        <r>
          <rPr>
            <sz val="10"/>
            <rFont val="Arial"/>
            <family val="2"/>
          </rPr>
          <t xml:space="preserve">PDF-source repair SRC-008. Source: exams-other-regions-spain-pdfs/illes-balears/2022/answer-key/answer-key__plantilla-correctora-supuesto-2.pdf, PDF page 1.</t>
        </r>
      </text>
    </comment>
    <comment ref="J37" authorId="0">
      <text>
        <r>
          <rPr>
            <sz val="10"/>
            <rFont val="Arial"/>
            <family val="2"/>
          </rPr>
          <t xml:space="preserve">PDF-source repair SRC-008. Source: exams-other-regions-spain-pdfs/illes-balears/2022/answer-key/answer-key__plantilla-correctora-supuesto-2.pdf, PDF page 1.</t>
        </r>
      </text>
    </comment>
    <comment ref="J38" authorId="0">
      <text>
        <r>
          <rPr>
            <sz val="10"/>
            <rFont val="Arial"/>
            <family val="2"/>
          </rPr>
          <t xml:space="preserve">PDF-source repair SRC-008. Source: exams-other-regions-spain-pdfs/illes-balears/2022/answer-key/answer-key__plantilla-correctora-supuesto-2.pdf, PDF page 1.</t>
        </r>
      </text>
    </comment>
    <comment ref="J39" authorId="0">
      <text>
        <r>
          <rPr>
            <sz val="10"/>
            <rFont val="Arial"/>
            <family val="2"/>
          </rPr>
          <t xml:space="preserve">PDF-source repair SRC-008. Source: exams-other-regions-spain-pdfs/illes-balears/2022/answer-key/answer-key__plantilla-correctora-supuesto-2.pdf, PDF page 1.</t>
        </r>
      </text>
    </comment>
    <comment ref="J40" authorId="0">
      <text>
        <r>
          <rPr>
            <sz val="10"/>
            <rFont val="Arial"/>
            <family val="2"/>
          </rPr>
          <t xml:space="preserve">PDF-source repair SRC-008. Source: exams-other-regions-spain-pdfs/illes-balears/2022/answer-key/answer-key__plantilla-correctora-supuesto-2.pdf, PDF page 1.</t>
        </r>
      </text>
    </comment>
    <comment ref="J41" authorId="0">
      <text>
        <r>
          <rPr>
            <sz val="10"/>
            <rFont val="Arial"/>
            <family val="2"/>
          </rPr>
          <t xml:space="preserve">PDF-source repair SRC-008. Source: exams-other-regions-spain-pdfs/illes-balears/2022/answer-key/answer-key__plantilla-correctora-supuesto-2.pdf, PDF page 1.</t>
        </r>
      </text>
    </comment>
    <comment ref="J42" authorId="0">
      <text>
        <r>
          <rPr>
            <sz val="10"/>
            <rFont val="Arial"/>
            <family val="2"/>
          </rPr>
          <t xml:space="preserve">PDF-source repair SRC-008. Source: exams-other-regions-spain-pdfs/illes-balears/2022/answer-key/answer-key__plantilla-correctora-supuesto-2.pdf, PDF page 1.</t>
        </r>
      </text>
    </comment>
    <comment ref="J43" authorId="0">
      <text>
        <r>
          <rPr>
            <sz val="10"/>
            <rFont val="Arial"/>
            <family val="2"/>
          </rPr>
          <t xml:space="preserve">PDF-source repair SRC-008. Source: exams-other-regions-spain-pdfs/illes-balears/2022/answer-key/answer-key__plantilla-correctora-supuesto-2.pdf, PDF page 1.</t>
        </r>
      </text>
    </comment>
    <comment ref="J44" authorId="0">
      <text>
        <r>
          <rPr>
            <sz val="10"/>
            <rFont val="Arial"/>
            <family val="2"/>
          </rPr>
          <t xml:space="preserve">PDF-source repair SRC-008. Source: exams-other-regions-spain-pdfs/illes-balears/2022/answer-key/answer-key__plantilla-correctora-supuesto-2.pdf, PDF page 1.</t>
        </r>
      </text>
    </comment>
    <comment ref="J45" authorId="0">
      <text>
        <r>
          <rPr>
            <sz val="10"/>
            <rFont val="Arial"/>
            <family val="2"/>
          </rPr>
          <t xml:space="preserve">PDF-source repair SRC-008. Source: exams-other-regions-spain-pdfs/illes-balears/2022/answer-key/answer-key__plantilla-correctora-supuesto-2.pdf, PDF page 1.</t>
        </r>
      </text>
    </comment>
    <comment ref="J46" authorId="0">
      <text>
        <r>
          <rPr>
            <sz val="10"/>
            <rFont val="Arial"/>
            <family val="2"/>
          </rPr>
          <t xml:space="preserve">PDF-source repair SRC-008. Source: exams-other-regions-spain-pdfs/illes-balears/2022/answer-key/answer-key__plantilla-correctora-supuesto-2.pdf, PDF page 1.</t>
        </r>
      </text>
    </comment>
    <comment ref="J47" authorId="0">
      <text>
        <r>
          <rPr>
            <sz val="10"/>
            <rFont val="Arial"/>
            <family val="2"/>
          </rPr>
          <t xml:space="preserve">PDF-source repair SRC-008. Source: exams-other-regions-spain-pdfs/illes-balears/2022/answer-key/answer-key__plantilla-correctora-supuesto-2.pdf, PDF page 1.</t>
        </r>
      </text>
    </comment>
    <comment ref="J48" authorId="0">
      <text>
        <r>
          <rPr>
            <sz val="10"/>
            <rFont val="Arial"/>
            <family val="2"/>
          </rPr>
          <t xml:space="preserve">PDF-source repair SRC-008. Source: exams-other-regions-spain-pdfs/illes-balears/2022/answer-key/answer-key__plantilla-correctora-supuesto-2.pdf, PDF page 1.</t>
        </r>
      </text>
    </comment>
    <comment ref="J49" authorId="0">
      <text>
        <r>
          <rPr>
            <sz val="10"/>
            <rFont val="Arial"/>
            <family val="2"/>
          </rPr>
          <t xml:space="preserve">PDF-source repair SRC-008. Source: exams-other-regions-spain-pdfs/illes-balears/2022/answer-key/answer-key__plantilla-correctora-supuesto-2.pdf, PDF page 1.</t>
        </r>
      </text>
    </comment>
    <comment ref="J50" authorId="0">
      <text>
        <r>
          <rPr>
            <sz val="10"/>
            <rFont val="Arial"/>
            <family val="2"/>
          </rPr>
          <t xml:space="preserve">PDF-source repair SRC-008. Source: exams-other-regions-spain-pdfs/illes-balears/2022/answer-key/answer-key__plantilla-correctora-supuesto-2.pdf, PDF page 1.</t>
        </r>
      </text>
    </comment>
  </commentList>
</comments>
</file>

<file path=xl/sharedStrings.xml><?xml version="1.0" encoding="utf-8"?>
<sst xmlns="http://schemas.openxmlformats.org/spreadsheetml/2006/main" count="25304" uniqueCount="7251">
  <si>
    <t xml:space="preserve">Balanced Questionnaire Control Panel</t>
  </si>
  <si>
    <t xml:space="preserve">Formula-driven composition and quality gates for 500 valid, scoreable, override-free questions.</t>
  </si>
  <si>
    <t xml:space="preserve">Selected questions</t>
  </si>
  <si>
    <t xml:space="preserve">Mandatory named-case</t>
  </si>
  <si>
    <t xml:space="preserve">Selected overrides</t>
  </si>
  <si>
    <t xml:space="preserve">Scoreable questions</t>
  </si>
  <si>
    <t xml:space="preserve">The three official annulments were excluded and replaced by deterministic valid questions from Aragón 2020, Castilla-La Mancha 2022, and Castilla y León 2022. Four image-linked Andalucía questions were then replaced within the same exam/type quota cells with self-contained alternatives. All 500 selected questions are scoreable and require no separate image.</t>
  </si>
  <si>
    <t xml:space="preserve">Region</t>
  </si>
  <si>
    <t xml:space="preserve">Final target</t>
  </si>
  <si>
    <t xml:space="preserve">Actual</t>
  </si>
  <si>
    <t xml:space="preserve">Mandatory</t>
  </si>
  <si>
    <t xml:space="preserve">Supplemental</t>
  </si>
  <si>
    <t xml:space="preserve">Variance</t>
  </si>
  <si>
    <t xml:space="preserve">Primary type</t>
  </si>
  <si>
    <t xml:space="preserve">Share</t>
  </si>
  <si>
    <t xml:space="preserve">Andalucía</t>
  </si>
  <si>
    <t xml:space="preserve">Named clinical-case section</t>
  </si>
  <si>
    <t xml:space="preserve">Aragón</t>
  </si>
  <si>
    <t xml:space="preserve">Standard/main</t>
  </si>
  <si>
    <t xml:space="preserve">Castilla y León</t>
  </si>
  <si>
    <t xml:space="preserve">Other structured types</t>
  </si>
  <si>
    <t xml:space="preserve">Castilla-La Mancha</t>
  </si>
  <si>
    <t xml:space="preserve">Comunidad de Madrid</t>
  </si>
  <si>
    <t xml:space="preserve">Comunitat Valenciana</t>
  </si>
  <si>
    <t xml:space="preserve">Formal question type</t>
  </si>
  <si>
    <t xml:space="preserve">Galicia</t>
  </si>
  <si>
    <t xml:space="preserve">Illes Balears</t>
  </si>
  <si>
    <t xml:space="preserve">La Rioja</t>
  </si>
  <si>
    <t xml:space="preserve">Non-case reserve</t>
  </si>
  <si>
    <t xml:space="preserve">Navarra</t>
  </si>
  <si>
    <t xml:space="preserve">Theoretical</t>
  </si>
  <si>
    <t xml:space="preserve">Región de Murcia</t>
  </si>
  <si>
    <t xml:space="preserve">Practical</t>
  </si>
  <si>
    <t xml:space="preserve">Mixed theory–practical</t>
  </si>
  <si>
    <t xml:space="preserve">Quality gate</t>
  </si>
  <si>
    <t xml:space="preserve">Observed</t>
  </si>
  <si>
    <t xml:space="preserve">Expected</t>
  </si>
  <si>
    <t xml:space="preserve">Status</t>
  </si>
  <si>
    <t xml:space="preserve">Selected total</t>
  </si>
  <si>
    <t xml:space="preserve">Override-tagged selected</t>
  </si>
  <si>
    <t xml:space="preserve">Declared nullified selected</t>
  </si>
  <si>
    <t xml:space="preserve">Blank answer-key cells</t>
  </si>
  <si>
    <t xml:space="preserve">Duplicate source keys</t>
  </si>
  <si>
    <t xml:space="preserve">Answer-letter mismatches</t>
  </si>
  <si>
    <t xml:space="preserve">Named-case rows missing context</t>
  </si>
  <si>
    <t xml:space="preserve">Balanced Digestive-System Questionnaire — 500 Questions</t>
  </si>
  <si>
    <t xml:space="preserve">Print-readable question blocks. Answers are separated; every required context is inline and no selected item needs a separate image.</t>
  </si>
  <si>
    <t xml:space="preserve">ITEM 1  ·  Illes Balears 2022  ·  illes-balears/2022 / Q1  ·  Named clinical-case section</t>
  </si>
  <si>
    <t xml:space="preserve">CLINICAL CONTEXT
[BASE CLINICAL CONTEXT: illes-balears-2022-base-caso-1]
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</si>
  <si>
    <t xml:space="preserve">Señale la respuesta correcta en relación con el cáncer de colon:</t>
  </si>
  <si>
    <t xml:space="preserve">A. Es el tipo de cáncer con más incidencia en España.</t>
  </si>
  <si>
    <t xml:space="preserve">B. Su incidencia está aumentando en los últimos años.</t>
  </si>
  <si>
    <t xml:space="preserve">C. En la población de menos de 50 años su incidencia está bajando claramente.</t>
  </si>
  <si>
    <t xml:space="preserve">D. Las respuestas a) y b) son correctas.</t>
  </si>
  <si>
    <t xml:space="preserve">Context IDs: illes-balears-2022-base-caso-1  |  Source exam PDF page: 3</t>
  </si>
  <si>
    <t xml:space="preserve">ITEM 2  ·  Illes Balears 2022  ·  illes-balears/2022 / Q2  ·  Named clinical-case section</t>
  </si>
  <si>
    <t xml:space="preserve">CLINICAL CONTEXT
CONTINUES THE ACTIVE CONTEXT: illes-balears-2022-base-caso-1</t>
  </si>
  <si>
    <t xml:space="preserve">Señale la respuesta falsa en relación con los factores de riesgo del cáncer colorrectal:</t>
  </si>
  <si>
    <t xml:space="preserve">A. El consumo de tabaco incrementa el riesgo de cáncer de colon.</t>
  </si>
  <si>
    <t xml:space="preserve">B. El consumo de alcohol incrementa el riesgo de cáncer de colon.</t>
  </si>
  <si>
    <t xml:space="preserve">C. La obesidad no ha mostrado ser un factor de riesgo para el desarrollo del cáncer de colon.</t>
  </si>
  <si>
    <t xml:space="preserve">D. El ejercicio físico regular es un factor que reduce el riesgo de cáncer de colon.</t>
  </si>
  <si>
    <t xml:space="preserve">ITEM 3  ·  Illes Balears 2022  ·  illes-balears/2022 / Q3  ·  Named clinical-case section</t>
  </si>
  <si>
    <t xml:space="preserve">Señale la respuesta correcta en relación con la edad y el cáncer de colon:</t>
  </si>
  <si>
    <t xml:space="preserve">A. El cáncer de colon incrementa claramente su incidencia a partir de los 50.</t>
  </si>
  <si>
    <t xml:space="preserve">B. El cáncer de colon presenta la misma incidencia en cualquier edad.</t>
  </si>
  <si>
    <t xml:space="preserve">C. La edad no es un factor de riesgo determinante en el desarrollo del cáncer de colon.</t>
  </si>
  <si>
    <t xml:space="preserve">D. La edad es el único factor de riesgo determinante para el desarrollo de un cáncer colorrectal y no existen otros factores moduladores significativos.</t>
  </si>
  <si>
    <t xml:space="preserve">ITEM 4  ·  Illes Balears 2022  ·  illes-balears/2022 / Q4  ·  Named clinical-case section</t>
  </si>
  <si>
    <t xml:space="preserve">Señale la respuesta correcta en relación con el cáncer colorrectal (CCR):</t>
  </si>
  <si>
    <t xml:space="preserve">A. La dieta rica en carnes rojas y procesadas disminuye el riesgo de CCR.</t>
  </si>
  <si>
    <t xml:space="preserve">B. La dieta rica en frutas y vegetales disminuye el riesgo de CCR.</t>
  </si>
  <si>
    <t xml:space="preserve">C. La dieta rica en grasas y la obesidad disminuyen el riesgo de CCR.</t>
  </si>
  <si>
    <t xml:space="preserve">D. No se debe recomendar retirar el consumo de tabaco y de alcohol para prevenir el CCR.</t>
  </si>
  <si>
    <t xml:space="preserve">Context IDs: illes-balears-2022-base-caso-1  |  Source exam PDF page: 4</t>
  </si>
  <si>
    <t xml:space="preserve">ITEM 5  ·  Illes Balears 2022  ·  illes-balears/2022 / Q5  ·  Named clinical-case section</t>
  </si>
  <si>
    <t xml:space="preserve">El paciente descrito inicialmente no presenta ningún tipo de sintomatología. Señale la respuesta correcta en relación con el programa de cribado del cáncer de colon:</t>
  </si>
  <si>
    <t xml:space="preserve">A. No tiene criterios para participar ya que solo se incluyen los pacientes de entre 60 y 75 años.</t>
  </si>
  <si>
    <t xml:space="preserve">B. Cumple criterios para ser incluido en el programa de cribado del CCR.</t>
  </si>
  <si>
    <t xml:space="preserve">C. La ausencia de antecedentes familiares es un criterio de exclusión del programa de cribado del CCR.</t>
  </si>
  <si>
    <t xml:space="preserve">D. La ausencia de síntomas es un criterio de exclusión del programa de cribado del CCR.</t>
  </si>
  <si>
    <t xml:space="preserve">ITEM 6  ·  Illes Balears 2022  ·  illes-balears/2022 / Q6  ·  Named clinical-case section</t>
  </si>
  <si>
    <t xml:space="preserve">Una vez incluido en el programa de cribado se hace la determinación de sangre oculta en heces (SOH) inmunológica cuantitativa, que resulta positiva. Señale la respuesta correcta:</t>
  </si>
  <si>
    <t xml:space="preserve">A. No se debe ofrecer ningún tipo de prueba complementaria.</t>
  </si>
  <si>
    <t xml:space="preserve">B. Se debe ofrecer al paciente hacer una segunda determinación de SOH.</t>
  </si>
  <si>
    <t xml:space="preserve">C. Se debe ofrecer al paciente hacer una colonoscopia.</t>
  </si>
  <si>
    <t xml:space="preserve">D. Si no hay síntomas no es necesario hacer una colonoscopia.</t>
  </si>
  <si>
    <t xml:space="preserve">ITEM 7  ·  Illes Balears 2022  ·  illes-balears/2022 / Q7  ·  Named clinical-case section</t>
  </si>
  <si>
    <t xml:space="preserve">Señale la respuesta falsa en relación con la calidad de las endoscopias del programa de cribado:</t>
  </si>
  <si>
    <t xml:space="preserve">A. Deben ser procedimientos hechos por endoscopistas de alta cualificación para poder detectar y tratar las lesiones.</t>
  </si>
  <si>
    <t xml:space="preserve">B. Se deben hacer en gabinetes con programación específica separada de las endoscopias de rutina.</t>
  </si>
  <si>
    <t xml:space="preserve">C. Se debe disponer de equipamientos de la máxima calidad para optimizar la detección de las lesiones.</t>
  </si>
  <si>
    <t xml:space="preserve">D. Las endoscopias del programa de cribado pueden hacerse en cualquier gabinete y por cualquier tipo de endoscopista independientemente de su tasa de detección de adenomas.</t>
  </si>
  <si>
    <t xml:space="preserve">Context IDs: illes-balears-2022-base-caso-1  |  Source exam PDF page: 5</t>
  </si>
  <si>
    <t xml:space="preserve">ITEM 8  ·  Illes Balears 2022  ·  illes-balears/2022 / Q8  ·  Named clinical-case section</t>
  </si>
  <si>
    <t xml:space="preserve">La colonoscopia es normal hasta el ciego, pero en la estratificación del grado de limpieza, según la escala de Boston, el resultado ha sido el siguiente: Colon derecho: 1 Colon transverso: 1 Colon izquierdo: 1 Colon total: 3 puntos. Señale la respuesta correcta:</t>
  </si>
  <si>
    <t xml:space="preserve">A. Se debe repetir la colonoscopia para conseguir una puntuación total de 6 puntos (o superior) con un mínimo de dos puntos en cada tramo.</t>
  </si>
  <si>
    <t xml:space="preserve">B. Se debe repetir la colonoscopia para conseguir una puntuación total de 6 puntos (o superior), independientemente de la puntuación de cada tramo.</t>
  </si>
  <si>
    <t xml:space="preserve">C. No se debe repetir la colonoscopia, este grado de limpieza del colon es adecuado.</t>
  </si>
  <si>
    <t xml:space="preserve">D. El grado de limpieza del colon no es un factor determinante para la tasa de detección de adenomas ni para evitar la neoplasia de intervalo.</t>
  </si>
  <si>
    <t xml:space="preserve">ITEM 9  ·  Illes Balears 2022  ·  illes-balears/2022 / Q9  ·  Named clinical-case section</t>
  </si>
  <si>
    <t xml:space="preserve">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</si>
  <si>
    <t xml:space="preserve">A. Se requiere un tratamiento quirúrgico complementario para asegurar la curación de la lesión.</t>
  </si>
  <si>
    <t xml:space="preserve">B. La lesión ha quedado curada tras la resección endoscópica.</t>
  </si>
  <si>
    <t xml:space="preserve">C. Se debe repetir la colonoscopia de inmediato para revisar la escara de la polipectomía dado el riesgo alto de lesión residual.</t>
  </si>
  <si>
    <t xml:space="preserve">D. Se debe hacer una TC abdominal complementaria como estudio de la extensión de la lesión.</t>
  </si>
  <si>
    <t xml:space="preserve">Context IDs: illes-balears-2022-base-caso-1  |  Source exam PDF page: 6</t>
  </si>
  <si>
    <t xml:space="preserve">ITEM 10  ·  Illes Balears 2022  ·  illes-balears/2022 / Q10  ·  Named clinical-case section</t>
  </si>
  <si>
    <t xml:space="preserve">Señale la respuesta correcta según las últimas guías clínicas en cuanto al control endoscópico de la lesión descrita:</t>
  </si>
  <si>
    <t xml:space="preserve">A. Se requiere una revisión endoscópica en 6 meses.</t>
  </si>
  <si>
    <t xml:space="preserve">B. No requiere una revisión endoscópica ya que se trata de una lesión de riesgo bajo.</t>
  </si>
  <si>
    <t xml:space="preserve">C. Este paciente será susceptible de una colonoscopia anual a partir de ahora.</t>
  </si>
  <si>
    <t xml:space="preserve">D. Una revisión endoscópica dentro de tres años es suficiente.</t>
  </si>
  <si>
    <t xml:space="preserve">ITEM 11  ·  Illes Balears 2022  ·  illes-balears/2022 / Q11  ·  Named clinical-case section</t>
  </si>
  <si>
    <t xml:space="preserve">Este paciente tiene un hermano de 52 años, asintomático. En la familia no existen otros antecedentes de CCR. ¿Qué recomendación debemos dar al hermano en cuanto a prevención del CCR?</t>
  </si>
  <si>
    <t xml:space="preserve">A. Es susceptible de endoscopia de forma inmediata.</t>
  </si>
  <si>
    <t xml:space="preserve">B. No requiere ningún tipo de procedimiento dada la edad y la ausencia de clínica asociada.</t>
  </si>
  <si>
    <t xml:space="preserve">C. En este caso se recomienda el control por medio de una SOH bianual.</t>
  </si>
  <si>
    <t xml:space="preserve">D. Se le debe ofrecer una colonoscopia anual como herramienta de prevención más eficaz a nivel de coste.</t>
  </si>
  <si>
    <t xml:space="preserve">ITEM 12  ·  Illes Balears 2022  ·  illes-balears/2022 / Q12  ·  Named clinical-case section</t>
  </si>
  <si>
    <t xml:space="preserve">El paciente deja de acudir a les consultas externas. Regresa al cabo de siete años con un cuadro de rectorragias asociadas a una pérdida de ocho quilos. Señale la respuesta correcta:</t>
  </si>
  <si>
    <t xml:space="preserve">A. No requiere una colonoscopia porque tiene una de hace siete años.</t>
  </si>
  <si>
    <t xml:space="preserve">B. Requiere colonoscopia por la clínica que presenta para descartar un CCR.</t>
  </si>
  <si>
    <t xml:space="preserve">C. En este caso basta con un análisis de SOH.</t>
  </si>
  <si>
    <t xml:space="preserve">D. La exploración inicial debe ser una ecografía abdominal.</t>
  </si>
  <si>
    <t xml:space="preserve">Context IDs: illes-balears-2022-base-caso-1  |  Source exam PDF page: 7</t>
  </si>
  <si>
    <t xml:space="preserve">ITEM 13  ·  Illes Balears 2022  ·  illes-balears/2022 / Q14  ·  Named clinical-case section</t>
  </si>
  <si>
    <t xml:space="preserve">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</si>
  <si>
    <t xml:space="preserve">A. Estadio T3N1M1.</t>
  </si>
  <si>
    <t xml:space="preserve">B. Estadio T2N0M0.</t>
  </si>
  <si>
    <t xml:space="preserve">C. Estadio T1N0M0.</t>
  </si>
  <si>
    <t xml:space="preserve">D. Estadio T2N1M0.</t>
  </si>
  <si>
    <t xml:space="preserve">ITEM 14  ·  Illes Balears 2022  ·  illes-balears/2022 / Q15  ·  Named clinical-case section</t>
  </si>
  <si>
    <t xml:space="preserve">Señale el tratamiento correcto dado el estadio y la ubicación de la lesión:</t>
  </si>
  <si>
    <t xml:space="preserve">A. Requiere tratamiento quirúrgico mediante resección abdominoperineal.</t>
  </si>
  <si>
    <t xml:space="preserve">B. La única opción válida es hacer una mucosectomía convencional en fragmentos.</t>
  </si>
  <si>
    <t xml:space="preserve">C. Es susceptible de una resección en bloque mediante una disección endoscópica submucosa.</t>
  </si>
  <si>
    <t xml:space="preserve">D. Requiere un tratamiento neoadyuvante mediante quimioterapia y radioterapia antes del tratamiento.</t>
  </si>
  <si>
    <t xml:space="preserve">Context IDs: illes-balears-2022-base-caso-1  |  Source exam PDF page: 8</t>
  </si>
  <si>
    <t xml:space="preserve">ITEM 15  ·  Illes Balears 2022  ·  illes-balears/2022 / Q16  ·  Named clinical-case section</t>
  </si>
  <si>
    <t xml:space="preserve">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</si>
  <si>
    <t xml:space="preserve">A. La resección endoscópica ha sido curativa.</t>
  </si>
  <si>
    <t xml:space="preserve">B. Se requiere un tratamiento quirúrgico complementario para completar el tratamlento.</t>
  </si>
  <si>
    <t xml:space="preserve">C. Se requiere quimioterapia y radioterapia adyuvantes.</t>
  </si>
  <si>
    <t xml:space="preserve">D. La resección endoscópica no muestra criterios para considerar que haya sido curativa.</t>
  </si>
  <si>
    <t xml:space="preserve">ITEM 16  ·  Illes Balears 2022  ·  illes-balears/2022 / Q17  ·  Named clinical-case section</t>
  </si>
  <si>
    <t xml:space="preserve">Señale la respuesta correcta en cuanto al seguimiento endoscópico de este paciente:</t>
  </si>
  <si>
    <t xml:space="preserve">A. No requiere una revisión endoscópica.</t>
  </si>
  <si>
    <t xml:space="preserve">B. Requiere únicamente que se le hagan rectosigmoidoscopias de control.</t>
  </si>
  <si>
    <t xml:space="preserve">C. Requiere un control endoscópico de forma precoz, que es aceptable a los seis meses.</t>
  </si>
  <si>
    <t xml:space="preserve">D. Requiere un control endoscópico a los tres años.</t>
  </si>
  <si>
    <t xml:space="preserve">ITEM 17  ·  Illes Balears 2022  ·  illes-balears/2022 / Q18  ·  Named clinical-case section</t>
  </si>
  <si>
    <t xml:space="preserve">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</si>
  <si>
    <t xml:space="preserve">A. Si es factible, la resección endoscópica de las lesiones ha de ser el tratamiento de elección.</t>
  </si>
  <si>
    <t xml:space="preserve">B. El paciente cumple criterios para hacer una colectomía total con ileostomía.</t>
  </si>
  <si>
    <t xml:space="preserve">C. Basta hacer el seguimiento de las lesiones sin necesidad de plantear la resección.</t>
  </si>
  <si>
    <t xml:space="preserve">D. Se debe hacer un estudio genético antes de plantear cualquier tipo de tratamiento de las lesiones descritas.</t>
  </si>
  <si>
    <t xml:space="preserve">Context IDs: illes-balears-2022-base-caso-1  |  Source exam PDF page: 9</t>
  </si>
  <si>
    <t xml:space="preserve">ITEM 18  ·  Illes Balears 2022  ·  illes-balears/2022 / Q19  ·  Named clinical-case section</t>
  </si>
  <si>
    <t xml:space="preserve">En este paciente, señale la respuesta correcta:</t>
  </si>
  <si>
    <t xml:space="preserve">A. No tiene indicación para ser remitido a una consulta de riesgo alto de cáncer colorrectal.</t>
  </si>
  <si>
    <t xml:space="preserve">B. Puede ser susceptible de un estudio genético complementario.</t>
  </si>
  <si>
    <t xml:space="preserve">C. El resultado del estudio genético es indispensable para el manejo clínico.</t>
  </si>
  <si>
    <t xml:space="preserve">D. El estudio genético tiene probabilidades altas de ser patológico.</t>
  </si>
  <si>
    <t xml:space="preserve">ITEM 19  ·  Illes Balears 2022  ·  illes-balears/2022 / Q20  ·  Named clinical-case section</t>
  </si>
  <si>
    <t xml:space="preserve">Señale la opción que, con menos probabilidad, puede corresponder con el cuadro descrito:</t>
  </si>
  <si>
    <t xml:space="preserve">A. Poliposis adenomatosa familiar clásica.</t>
  </si>
  <si>
    <t xml:space="preserve">B. Poliposis adenomatosa familiar atenuada.</t>
  </si>
  <si>
    <t xml:space="preserve">C. Síndrome de Lynch.</t>
  </si>
  <si>
    <t xml:space="preserve">D. Síndrome de Lynch-like.</t>
  </si>
  <si>
    <t xml:space="preserve">ITEM 20  ·  Illes Balears 2022  ·  illes-balears/2022 / Q21  ·  Named clinical-case section</t>
  </si>
  <si>
    <t xml:space="preserve">Señale la respuesta correcta en relación con la clasificación de Kudo:</t>
  </si>
  <si>
    <t xml:space="preserve">A. No tiene relevancia a la hora de tomar decisiones durante la endoscopia.</t>
  </si>
  <si>
    <t xml:space="preserve">B. Es aconsejable utilizarla cuando se caracterizan lesiones endoscópicas antes de la resección.</t>
  </si>
  <si>
    <t xml:space="preserve">C. Su uso tiene relevancia para tomar decisiones durante la endoscopia.</t>
  </si>
  <si>
    <t xml:space="preserve">D. La respuestas b) y c) son correctas.</t>
  </si>
  <si>
    <t xml:space="preserve">ITEM 21  ·  Illes Balears 2022  ·  illes-balears/2022 / Q22  ·  Named clinical-case section</t>
  </si>
  <si>
    <t xml:space="preserve">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</si>
  <si>
    <t xml:space="preserve">A. Con este resultado se puede considerar que no existe alteración de la inmunohistoquímica y se puede descartar el síndrome de Lynch.</t>
  </si>
  <si>
    <t xml:space="preserve">B. Existe déficit de expresión de MSH6 por lo que se debe continuar el estudio por un posible síndrome de Lynch.</t>
  </si>
  <si>
    <t xml:space="preserve">C. Se trata de un resultado típico de la poliposis adenomatosa familiar.</t>
  </si>
  <si>
    <t xml:space="preserve">D. Se trata de un resultado típico del síndrome de poliposis serrada.</t>
  </si>
  <si>
    <t xml:space="preserve">Context IDs: illes-balears-2022-base-caso-1  |  Source exam PDF page: 10</t>
  </si>
  <si>
    <t xml:space="preserve">ITEM 22  ·  Illes Balears 2022  ·  illes-balears/2022 / Q23  ·  Named clinical-case section</t>
  </si>
  <si>
    <t xml:space="preserve">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</si>
  <si>
    <t xml:space="preserve">A. Poliposis adenomatosa familiar.</t>
  </si>
  <si>
    <t xml:space="preserve">B. Síndrome de Lynch.</t>
  </si>
  <si>
    <t xml:space="preserve">C. Síndrome X.</t>
  </si>
  <si>
    <t xml:space="preserve">ITEM 23  ·  Illes Balears 2022  ·  illes-balears/2022 / Q24  ·  Named clinical-case section</t>
  </si>
  <si>
    <t xml:space="preserve">Una vez establecido el diagnóstico, señale la respuesta correcta sobre la entidad que afecta a esta familia:</t>
  </si>
  <si>
    <t xml:space="preserve">A. Todos los familiares de primer grado del caso índice requieren colonoscopia anual de forma obligatoria.</t>
  </si>
  <si>
    <t xml:space="preserve">B. Se debe hacer un estudio de manifestaciones extracolónicas mediante pantomografía y un estudio del fondo de ojo.</t>
  </si>
  <si>
    <t xml:space="preserve">C. La ausencia de mutación genética identificada indica la no existencia de un riesgo de cáncer de colon mayor en esta familia.</t>
  </si>
  <si>
    <t xml:space="preserve">D. Todas las respuestas anteriores son falsas.</t>
  </si>
  <si>
    <t xml:space="preserve">ITEM 24  ·  Illes Balears 2022  ·  illes-balears/2022 / Q25  ·  Named clinical-case section</t>
  </si>
  <si>
    <t xml:space="preserve">CLINICAL CONTEXT — PART 1/3
[BASE CLINICAL CONTEXT: illes-balears-2022-base-caso-2]
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</si>
  <si>
    <t xml:space="preserve">CLINICAL CONTEXT — PART 2/3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</si>
  <si>
    <t xml:space="preserve">CLINICAL CONTEXT — PART 3/3
de Barrett con metaplasia intestinal y presencia de focos de displasia de grado alto y las biopsias aleatorias confirmaban el esófago de Barrett sin displasia. Se planifica una estrategia de tratamiento y seguimiento.</t>
  </si>
  <si>
    <t xml:space="preserve">Señale la afirmación falsa en referencia al diagnóstico de la enfermedad por reflujo gastroesofágico (ERGE):</t>
  </si>
  <si>
    <t xml:space="preserve">A. El paciente que presenta síntomas típicos de enfermedad por reflujo puede diagnosticarse a partir de la historia clínica y generalmente no requiere otras investigaciones.</t>
  </si>
  <si>
    <t xml:space="preserve">B. La endoscopia digestiva está indicada como método diagnóstico inicial en todos los pacientes que muestran síntomas típicos de ERGE.</t>
  </si>
  <si>
    <t xml:space="preserve">C. El ensayo terapéutico con inhibidores de la bomba de protones (IBP) tiene valor diagnóstico en los pacientes con síntomas típicos de ERGE.</t>
  </si>
  <si>
    <t xml:space="preserve">D. La pH-metría está indicada para investigar la presencia de reflujo en los pacientes que no responden al tratamiento empírico y presentan una endoscopia negativa.</t>
  </si>
  <si>
    <t xml:space="preserve">Context IDs: illes-balears-2022-base-caso-2  |  Source exam PDF page: 11</t>
  </si>
  <si>
    <t xml:space="preserve">ITEM 25  ·  Illes Balears 2022  ·  illes-balears/2022 / Q26  ·  Named clinical-case section</t>
  </si>
  <si>
    <t xml:space="preserve">CLINICAL CONTEXT
CONTINUES THE ACTIVE CONTEXT: illes-balears-2022-base-caso-2</t>
  </si>
  <si>
    <t xml:space="preserve">Señale la respuesta falsa en relación con el manejo inicial de la enfermedad por reflujo gastroesofágico:</t>
  </si>
  <si>
    <t xml:space="preserve">A. Las modificaciones en el estilo de vida son fundamentales en el manejo de la enfermedad por reflujo gastroesofágico.</t>
  </si>
  <si>
    <t xml:space="preserve">B. La disfagia debe considerarse un síntoma de alarma para valorar hacer una gastroscopia.</t>
  </si>
  <si>
    <t xml:space="preserve">C. Se puede considerar suspender el tratamiento médico en pacientes con ERGE no complicado que responden a ocho semanas de tratamiento con inhibidores de la bomba de protones.</t>
  </si>
  <si>
    <t xml:space="preserve">D. En los pacientes con gastroscopia normal y con pirosis que no responden al tratamiento médico con inhibidores de la bomba de protones, se debe descartar una enfermedad por reflujo gastroesofágico y no se deben hacer otros estudios.</t>
  </si>
  <si>
    <t xml:space="preserve">Context IDs: illes-balears-2022-base-caso-2  |  Source exam PDF page: 12</t>
  </si>
  <si>
    <t xml:space="preserve">ITEM 26  ·  Illes Balears 2022  ·  illes-balears/2022 / Q27  ·  Named clinical-case section</t>
  </si>
  <si>
    <t xml:space="preserve">Señale la respuesta falsa en referencia a los mecanismos fisiopatológicos de la enfermedad por reflujo gastroesofágico:</t>
  </si>
  <si>
    <t xml:space="preserve">A. La hipotonía del esfínter esofágico inferior es un factor predisponente.</t>
  </si>
  <si>
    <t xml:space="preserve">B. Las relajaciones transitorias del esfínter esofágico inferior pueden ser responsables de hasta el 60 % de los episodios de reflujo gastroesofágico (RGE).</t>
  </si>
  <si>
    <t xml:space="preserve">C. Las alteraciones de la motilidad del cuerpo esofágico no influyen en el reflujo gastroesofágico.</t>
  </si>
  <si>
    <t xml:space="preserve">D. El vaciamiento gástrico es otro factor que hay que tener en cuenta.</t>
  </si>
  <si>
    <t xml:space="preserve">ITEM 27  ·  Illes Balears 2022  ·  illes-balears/2022 / Q28  ·  Named clinical-case section</t>
  </si>
  <si>
    <t xml:space="preserve">Señale la respuesta correcta en referencia a los diferentes fenotipos de presentación de la enfermedad por reflujo gastroesofágico:</t>
  </si>
  <si>
    <t xml:space="preserve">A. La enfermedad por reflujo gastroesofágico no erosivo supone menos del 50 % de todos los casos de reflujo.</t>
  </si>
  <si>
    <t xml:space="preserve">B. No hay diferencias en la gravedad de la pirosis entre los diferentes fenotipos de reflujo gastroesofágico.</t>
  </si>
  <si>
    <t xml:space="preserve">C. El reflujo no erosivo se asocia a exposiciones normales de ácido en el esófago sin lesiones de la mucosa esofágica.</t>
  </si>
  <si>
    <t xml:space="preserve">D. La enfermedad por reflujo gastroesofágico erosiva es más frecuente que la no erosiva y se clasifica según la clasificación de Los Ángeles.</t>
  </si>
  <si>
    <t xml:space="preserve">ITEM 28  ·  Illes Balears 2022  ·  illes-balears/2022 / Q29  ·  Named clinical-case section</t>
  </si>
  <si>
    <t xml:space="preserve">Señale la respuesta falsa respecto a la utilidad de la endoscopia digestiva en el diagnóstico de la enfermedad por reflujo gastroesofágico:</t>
  </si>
  <si>
    <t xml:space="preserve">A. La sensibilidad en el diagnóstico de la enfermedad por reflujo gastroesofágico es escasa.</t>
  </si>
  <si>
    <t xml:space="preserve">B. Existe una buena correlación entre la intensidad o la frecuencia de los síntomas de ERGE y la gravedad de las lesiones endoscópicas.</t>
  </si>
  <si>
    <t xml:space="preserve">C. La biopsia esofágica añade poca información a la endoscopia en la valoración de la esofagitis.</t>
  </si>
  <si>
    <t xml:space="preserve">D. La endoscopia de seguimiento es generalmente innecesaria y solo está indicada en determinados casos (pacientes que no responden al tratamiento, control de esofagitis por reflujo grado C-D, seguimiento de esófago de Barrett, necesidad de biopsias para clarificar el diagnóstico).</t>
  </si>
  <si>
    <t xml:space="preserve">Context IDs: illes-balears-2022-base-caso-2  |  Source exam PDF page: 13</t>
  </si>
  <si>
    <t xml:space="preserve">ITEM 29  ·  Illes Balears 2022  ·  illes-balears/2022 / Q30  ·  Named clinical-case section</t>
  </si>
  <si>
    <t xml:space="preserve">Señale la respuesta correcta en referencia a las siguientes afirmaciones sobre la esofagitis por reflujo de grado C de la clasificación de Los Ángeles</t>
  </si>
  <si>
    <t xml:space="preserve">A. Supone una o más lesiones de la mucosa, igual o menor de 5 mm de longitud, sin confluencia.</t>
  </si>
  <si>
    <t xml:space="preserve">B. Supone una o más lesiones de la mucosa, con confluencia y afectación de más del 75 % de la circunferencia esofágica.</t>
  </si>
  <si>
    <t xml:space="preserve">C. Supone una o más lesiones de la mucosa, con confluencia y afectación menor del 75 % de la circunferencia del esófago.</t>
  </si>
  <si>
    <t xml:space="preserve">D. Supone una o más lesiones de la mucosa, superior a 5 mm de longitud, sin confluencia.</t>
  </si>
  <si>
    <t xml:space="preserve">ITEM 30  ·  Illes Balears 2022  ·  illes-balears/2022 / Q31  ·  Named clinical-case section</t>
  </si>
  <si>
    <t xml:space="preserve">¿Qué técnica de estudio es de más utilidad para un diagnóstico correcto en un paciente con síntomas de reflujo gastroesofágico que no responde al tratamiento con inhibidores de la bomba de protones?</t>
  </si>
  <si>
    <t xml:space="preserve">A. Manometría de alta resolución.</t>
  </si>
  <si>
    <t xml:space="preserve">B. PH-metría ambulatoria 24 h de doble canal.</t>
  </si>
  <si>
    <t xml:space="preserve">C. Impedancia intraluminal multicanal asociada a pH-metría.</t>
  </si>
  <si>
    <t xml:space="preserve">D. Bilitec™.</t>
  </si>
  <si>
    <t xml:space="preserve">ITEM 31  ·  Illes Balears 2022  ·  illes-balears/2022 / Q32  ·  Named clinical-case section</t>
  </si>
  <si>
    <t xml:space="preserve">Señale la respuesta falsa en referencia a la técnica de impedancia intraluminal multicanal (IMM) para el estudio del reflujo gastroesofágico:</t>
  </si>
  <si>
    <t xml:space="preserve">A. Se basa en la medida de los cambios de la resistencia al paso de una corriente eléctrica entre dos electrodos que surgen como consecuencia de modificaciones funcionales o estructurales en el esófago.</t>
  </si>
  <si>
    <t xml:space="preserve">B. Permite detectar reflujo líquido, gas y combinado de gas y líquido.</t>
  </si>
  <si>
    <t xml:space="preserve">C. No interfiere su interpretación si hay alteraciones de la motilidad o histológicas del esófago.</t>
  </si>
  <si>
    <t xml:space="preserve">D. Es una técnica indicada en pacientes con síntomas laringofaríngeos o respiratorios de causa no clara.</t>
  </si>
  <si>
    <t xml:space="preserve">Context IDs: illes-balears-2022-base-caso-2  |  Source exam PDF page: 14</t>
  </si>
  <si>
    <t xml:space="preserve">ITEM 32  ·  Illes Balears 2022  ·  illes-balears/2022 / Q33  ·  Named clinical-case section</t>
  </si>
  <si>
    <t xml:space="preserve">Señale la respuesta falsa en referencia a los factores de riesgo para valorar un screening de esófago de Barrett según la mayoría de las guías clínicas:</t>
  </si>
  <si>
    <t xml:space="preserve">A. Tabaquismo.</t>
  </si>
  <si>
    <t xml:space="preserve">B. Historia familiar de cáncer de esófago.</t>
  </si>
  <si>
    <t xml:space="preserve">C. Obesidad central.</t>
  </si>
  <si>
    <t xml:space="preserve">D. Edad superior a 50 años sin diferencia de sexo y raza.</t>
  </si>
  <si>
    <t xml:space="preserve">ITEM 33  ·  Illes Balears 2022  ·  illes-balears/2022 / Q34  ·  Named clinical-case section</t>
  </si>
  <si>
    <t xml:space="preserve">El diagnóstico de esófago de Barrett se basa en los hallazgos endoscópicos y en la confirmación histológica. Señale la respuesta falsa.</t>
  </si>
  <si>
    <t xml:space="preserve">A. La mayoría de las sociedades científicas necesitan la presencia de metaplasia intestinal para el diagnóstico del esófago de Barrett.</t>
  </si>
  <si>
    <t xml:space="preserve">B. Se recomienda usar endoscopios de alta definición con luz blanca para la vigilancia endoscópica del esófago de Barrett.</t>
  </si>
  <si>
    <t xml:space="preserve">C. Siempre se aconseja biopsiar un esófago de Barrett en presencia de esofagitis por reflujo.</t>
  </si>
  <si>
    <t xml:space="preserve">D. No se recomienda el uso rutinario de cromoendoscopia, endoscopia de autofluoresencia o endomicroscopia láser focal para el diagnóstico del esófago de Barrett.</t>
  </si>
  <si>
    <t xml:space="preserve">ITEM 34  ·  Illes Balears 2022  ·  illes-balears/2022 / Q35  ·  Named clinical-case section</t>
  </si>
  <si>
    <t xml:space="preserve">Señale la respuesta correcta respecto a los hallazgos endoscópicos que se deben especificar en la descripción de un esófago de Barrett:</t>
  </si>
  <si>
    <t xml:space="preserve">A. Los criterios de Praga de extensión longitudinal y circunferencial (CM).</t>
  </si>
  <si>
    <t xml:space="preserve">B. La presencia y la localización de algún área sospechosa así como su tamaño y morfología (clasificación de Paris).</t>
  </si>
  <si>
    <t xml:space="preserve">C. Presencia o no de lesiones de esofagitis por reflujo.</t>
  </si>
  <si>
    <t xml:space="preserve">D. Todas las respuestas anteriores son correctas.</t>
  </si>
  <si>
    <t xml:space="preserve">Context IDs: illes-balears-2022-base-caso-2  |  Source exam PDF page: 15</t>
  </si>
  <si>
    <t xml:space="preserve">ITEM 35  ·  Illes Balears 2022  ·  illes-balears/2022 / Q36  ·  Named clinical-case section</t>
  </si>
  <si>
    <t xml:space="preserve">Señale la respuesta falsa respecto a los puntos de referencia de la clasificación de Praga del esófago de Barrett:</t>
  </si>
  <si>
    <t xml:space="preserve">A. El extremo proximal de la afectación longitudinal y circunferencial del epitelio de Barrett (CM).</t>
  </si>
  <si>
    <t xml:space="preserve">B. La longitud del esófago.</t>
  </si>
  <si>
    <t xml:space="preserve">C. El hiato diafragmático.</t>
  </si>
  <si>
    <t xml:space="preserve">D. La unión esofagogástrica.</t>
  </si>
  <si>
    <t xml:space="preserve">ITEM 36  ·  Illes Balears 2022  ·  illes-balears/2022 / Q37  ·  Named clinical-case section</t>
  </si>
  <si>
    <t xml:space="preserve">Señale la afirmación correcta en referencia a la toma de biopsias en el esófago de Barrett:</t>
  </si>
  <si>
    <t xml:space="preserve">A. Se deben hacer biopsias de forma aleatoria de cualquier sitio.</t>
  </si>
  <si>
    <t xml:space="preserve">B. Se deben hacer biopsias en botes separados de los cuatro cuadrantes cada 2 cm de esófago de Barrett o cada 1 cm si hay displasia severa previa.</t>
  </si>
  <si>
    <t xml:space="preserve">C. Solo se deben biopsiar las áreas sospechosas.</t>
  </si>
  <si>
    <t xml:space="preserve">D. Se deben hacer biopsias de los cuatro cuadrantes por cada centímetro de Barrett en botes separados.</t>
  </si>
  <si>
    <t xml:space="preserve">ITEM 37  ·  Illes Balears 2022  ·  illes-balears/2022 / Q38  ·  Named clinical-case section</t>
  </si>
  <si>
    <t xml:space="preserve">Señale la afirmación falsa en referencia al seguimiento del esófago de Barrett:</t>
  </si>
  <si>
    <t xml:space="preserve">A. En general depende de la extensión del Barrett y de la presencia o no de displasia.</t>
  </si>
  <si>
    <t xml:space="preserve">B. El esófago de Barrett sin displasia requiere un seguimiento de entre tres y cinco años según las diferentes sociedades científicas.</t>
  </si>
  <si>
    <t xml:space="preserve">C. Ante el hallazgo de displasia indefinida se recomienda una revisión endoscópica en dos años.</t>
  </si>
  <si>
    <t xml:space="preserve">D. La displasia de grado bajo detectada en el seguimiento endoscópico debe ser confirmada por un segundo patólogo o por un patólogo experto.</t>
  </si>
  <si>
    <t xml:space="preserve">ITEM 38  ·  Illes Balears 2022  ·  illes-balears/2022 / Q39  ·  Named clinical-case section</t>
  </si>
  <si>
    <t xml:space="preserve">Señale la afirmación falsa respecto al tratamiento multidisciplinar del esófago de Barrett:</t>
  </si>
  <si>
    <t xml:space="preserve">A. Los síntomas de reflujo entre los pacientes de Barrett deben tratarse de manera similar a los pacientes con ERGE.</t>
  </si>
  <si>
    <t xml:space="preserve">B. La cirugía antirreflujo se considera una opción más eficaz que el tratamiento médico con IBP para los pacientes con esófago de Barrett.</t>
  </si>
  <si>
    <t xml:space="preserve">C. La evolución de las modalidades de tratamiento endoscópico mínimamente invasivo ha cambiado el paradigma de tratamiento para la neoplasia relacionada con el esófago de Barrett (EB).</t>
  </si>
  <si>
    <t xml:space="preserve">D. Si se diagnostica cáncer en fase precoz o displasia de grado alto, la terapia endoscópica es el tratamiento de elección con mejor perfil de seguridad y con eficacia similar en comparación con la esofagectomía.</t>
  </si>
  <si>
    <t xml:space="preserve">Context IDs: illes-balears-2022-base-caso-2  |  Source exam PDF page: 16</t>
  </si>
  <si>
    <t xml:space="preserve">ITEM 39  ·  Illes Balears 2022  ·  illes-balears/2022 / Q40  ·  Named clinical-case section</t>
  </si>
  <si>
    <t xml:space="preserve">Señale la afirmación falsa en referencia al tratamiento endoscópico del esófago de Barrett:</t>
  </si>
  <si>
    <t xml:space="preserve">A. La terapia endoscópica se basa en un concepto de dos pasos: las lesiones visibles se extirpan endoscópicamente y el EB plano restante se ablaciona para prevenir la neoplasia metacrónica.</t>
  </si>
  <si>
    <t xml:space="preserve">B. La ablación por radiofrecuencia es coste-efectiva en todos los casos de esófago de Barrett de longitud larga (superior a 5 cm).</t>
  </si>
  <si>
    <t xml:space="preserve">C. Los pacientes con esófago de Barrett con displasia confirmada sin lesiones visibles pueden someterse a una ablación por radiofrecuencia.</t>
  </si>
  <si>
    <t xml:space="preserve">D. La repetición de la endoscopia antes de planificar un tratamiento en un centro experto con endoscopistas y patólogos experimentados proporciona un diagnóstico final más fiable.</t>
  </si>
  <si>
    <t xml:space="preserve">ITEM 40  ·  Illes Balears 2022  ·  illes-balears/2022 / Q41  ·  Named clinical-case section</t>
  </si>
  <si>
    <t xml:space="preserve">Señale la respuesta correcta en la propuesta de tratamiento en referencia al caso clínico expuesto:</t>
  </si>
  <si>
    <t xml:space="preserve">A. Planificar una resección endoscópica de la lesión con displasia de grado alto y posteriormente una ablación con radiofrecuencia de todo el esófago de Barrett.</t>
  </si>
  <si>
    <t xml:space="preserve">B. Hacer directamente una ablación con radiofrecuencia ante la evidencia de displasia.</t>
  </si>
  <si>
    <t xml:space="preserve">C. Proponer una esofagectomía ante la evidencia de displasia de grado alto.</t>
  </si>
  <si>
    <t xml:space="preserve">D. Repetir la endoscopia para confirmar la displasia por parte de un patólogo experto y actuar según el resultado.</t>
  </si>
  <si>
    <t xml:space="preserve">ITEM 41  ·  Illes Balears 2022  ·  illes-balears/2022 / Q42  ·  Named clinical-case section</t>
  </si>
  <si>
    <t xml:space="preserve">Señale la afirmación correcta en referencia a las técnicas endoscópicas de resección:</t>
  </si>
  <si>
    <t xml:space="preserve">A. El aspecto macroscópico de la lesión visible según la clasificación de Paris se asocia al riesgo de infiltración en profundidad y al riesgo de metástasis linfáticas.</t>
  </si>
  <si>
    <t xml:space="preserve">B. La mucosectomía multibanda es la técnica más usada para la resección endoscópica en los países occidentales.</t>
  </si>
  <si>
    <t xml:space="preserve">C. La disección submucosa es la preferida para lesiones sospechosas de invasión submucosa o de más tamaño para conseguir resecciones en bloque y radicales.</t>
  </si>
  <si>
    <t xml:space="preserve">Context IDs: illes-balears-2022-base-caso-2  |  Source exam PDF page: 17</t>
  </si>
  <si>
    <t xml:space="preserve">ITEM 42  ·  Illes Balears 2022  ·  illes-balears/2022 / Q43  ·  Named clinical-case section</t>
  </si>
  <si>
    <t xml:space="preserve">Los resultados de la resección endoscópica de este caso clínico confirman un adenocarcinoma con invasión submucosa (T1b &lt; 500 micras SM1) bien diferenciado con bordes laterales y en profundidad libres, sin invasión linfática ni vascular. Señale la opción correcta:</t>
  </si>
  <si>
    <t xml:space="preserve">A. El riesgo de diseminación linfática si hay invasión submucosa es superior a un 40 % por lo que se debe proponer una esofaguectomía.</t>
  </si>
  <si>
    <t xml:space="preserve">B. Los factores pronósticos del tumor son favorables por lo que se debe discutir en un equipo multidisciplinar para decidir la actitud terapéutica.</t>
  </si>
  <si>
    <t xml:space="preserve">C. Se debe plantear directamente hacer radioterapia por el riesgo de invasión linfática.</t>
  </si>
  <si>
    <t xml:space="preserve">D. La quimioterapia adyuvante está indicada tras la resección endoscópica.</t>
  </si>
  <si>
    <t xml:space="preserve">ITEM 43  ·  Illes Balears 2022  ·  illes-balears/2022 / Q44  ·  Named clinical-case section</t>
  </si>
  <si>
    <t xml:space="preserve">Señale la respuesta falsa en referencia a la ablación por radiofrecuencia (RFA) del esófago de Barrett:</t>
  </si>
  <si>
    <t xml:space="preserve">A. Las sociedades científicas recomiendan la RFA como terapia de primera línea para la ablación de EB displásico o EB después de la resección de lesiones visibles.</t>
  </si>
  <si>
    <t xml:space="preserve">B. La ablación por radiofrecuencia erradica eficazmente el esófago de Barrett displásico (BE) y reduce el riesgo metacrónico del adenocarcinoma esofágico (EAC).</t>
  </si>
  <si>
    <t xml:space="preserve">C. La tasa de complicaciones es aceptablemente baja (del 6 al 14 % de estenosis).</t>
  </si>
  <si>
    <t xml:space="preserve">D. Una vez hecha la ablación por RFA no necesita ningún seguimiento endoscópico por la recurrencia baja de displasia.</t>
  </si>
  <si>
    <t xml:space="preserve">ITEM 44  ·  Illes Balears 2022  ·  illes-balears/2022 / Q45  ·  Named clinical-case section</t>
  </si>
  <si>
    <t xml:space="preserve">La recurrencia del esófago de Barrett tras el tratamiento endoscópico ablativo se relaciona con diferentes factores. Señale la respuesta falsa:</t>
  </si>
  <si>
    <t xml:space="preserve">A. Presencia de hernia de hiato.</t>
  </si>
  <si>
    <t xml:space="preserve">B. Hábito tabáquico.</t>
  </si>
  <si>
    <t xml:space="preserve">C. Displasia de riesgo alto en la presentación inicial.</t>
  </si>
  <si>
    <t xml:space="preserve">D. Raza caucásica.</t>
  </si>
  <si>
    <t xml:space="preserve">Context IDs: illes-balears-2022-base-caso-2  |  Source exam PDF page: 18</t>
  </si>
  <si>
    <t xml:space="preserve">ITEM 45  ·  Illes Balears 2022  ·  illes-balears/2022 / Q47  ·  Named clinical-case section</t>
  </si>
  <si>
    <t xml:space="preserve">Señale la respuesta falsa en referencia al riesgo de desarrollar un adenocarcinoma de esófago sobre un esófago de Barrett:</t>
  </si>
  <si>
    <t xml:space="preserve">A. El riesgo de desarrollar un adenocarcinoma de esófago si hay displasia de grado alto es de un 7 % /año.</t>
  </si>
  <si>
    <t xml:space="preserve">B. El riesgo de desarrollar un adenocarcinoma de esófago si no hay displasia es de un 0,2-0,5 % /año.</t>
  </si>
  <si>
    <t xml:space="preserve">C. Los pacientes que desarrollan un adenocarcinoma de esófago sobre un esófago de Barrett conocido tienen mejor pronóstico que los que lo desarrollan sin el diagnóstico previo de Barrett.</t>
  </si>
  <si>
    <t xml:space="preserve">D. La incidencia de adenocarcinoma de esófago está disminuyendo gracias a los avances diagnósticos.</t>
  </si>
  <si>
    <t xml:space="preserve">ITEM 46  ·  Illes Balears 2022  ·  illes-balears/2022 / Q48  ·  Named clinical-case section</t>
  </si>
  <si>
    <t xml:space="preserve">¿Cuál de las siguientes técnicas ablativas del EB después de la radiofrecuencia se considera de segunda línea en las últimas guías clínicas?</t>
  </si>
  <si>
    <t xml:space="preserve">A. Argón plasma coagulation.</t>
  </si>
  <si>
    <t xml:space="preserve">B. Crioterapia.</t>
  </si>
  <si>
    <t xml:space="preserve">C. Terapia fotodinámica.</t>
  </si>
  <si>
    <t xml:space="preserve">D. Termoterapia por microondas.</t>
  </si>
  <si>
    <t xml:space="preserve">ITEM 47  ·  Illes Balears 2022  ·  illes-balears/2022 / Q49  ·  Named clinical-case section</t>
  </si>
  <si>
    <t xml:space="preserve">CLINICAL CONTEXT — PART 1/3
[BASE CLINICAL CONTEXT: illes-balears-2022-base-caso-3]
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t>
  </si>
  <si>
    <t xml:space="preserve">CLINICAL CONTEXT — PART 2/3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t>
  </si>
  <si>
    <t xml:space="preserve">CLINICAL CONTEXT — PART 3/3
El resto del hemograma y de la bioquímica está dentro de valores normales.</t>
  </si>
  <si>
    <t xml:space="preserve">¿Cuál es el diagnóstico más probable?</t>
  </si>
  <si>
    <t xml:space="preserve">A. Pancreatitis aguda de etiología enólica.</t>
  </si>
  <si>
    <t xml:space="preserve">B. Hepatitis alcohólica aguda.</t>
  </si>
  <si>
    <t xml:space="preserve">C. Pancreatitis crónica calcificante.</t>
  </si>
  <si>
    <t xml:space="preserve">D. Fibrosis quística.</t>
  </si>
  <si>
    <t xml:space="preserve">Context IDs: illes-balears-2022-base-caso-3  |  Source exam PDF page: 19</t>
  </si>
  <si>
    <t xml:space="preserve">ITEM 48  ·  Illes Balears 2022  ·  illes-balears/2022 / Q50  ·  Named clinical-case section</t>
  </si>
  <si>
    <t xml:space="preserve">CLINICAL CONTEXT
CONTINUES THE ACTIVE CONTEXT: illes-balears-2022-base-caso-3</t>
  </si>
  <si>
    <t xml:space="preserve">Señale la respuesta correcta respecto a la confirmación del diagnóstico:</t>
  </si>
  <si>
    <t xml:space="preserve">A. Es imprescindible disponer de un análisis histológico.</t>
  </si>
  <si>
    <t xml:space="preserve">B. La historia clínica, los datos analíticos y las pruebas de imagen son suficientes para establecer el diagnóstico.</t>
  </si>
  <si>
    <t xml:space="preserve">C. Es imprescindible hacer una colangiopancreatografía retrógrada endoscópica (CPRE).</t>
  </si>
  <si>
    <t xml:space="preserve">D. Si no presenta nuevos episodios de pancreatitis aguda hay que dudar del diagnóstico inicial.</t>
  </si>
  <si>
    <t xml:space="preserve">ITEM 49  ·  Illes Balears 2022  ·  illes-balears/2022 / Q51  ·  Named clinical-case section</t>
  </si>
  <si>
    <t xml:space="preserve">¿Cuál es la mejor técnica no invasiva para el estudio de los signos ductales pancreáticos?</t>
  </si>
  <si>
    <t xml:space="preserve">A. CPRE.</t>
  </si>
  <si>
    <t xml:space="preserve">B. Colangiopancreatografía por resonancia magnética.</t>
  </si>
  <si>
    <t xml:space="preserve">C. Ecografía abdominal.</t>
  </si>
  <si>
    <t xml:space="preserve">D. TC abdominal.</t>
  </si>
  <si>
    <t xml:space="preserve">Context IDs: illes-balears-2022-base-caso-3  |  Source exam PDF page: 20</t>
  </si>
  <si>
    <t xml:space="preserve">ITEM 50  ·  Illes Balears 2022  ·  illes-balears/2022 / Q52  ·  Named clinical-case section</t>
  </si>
  <si>
    <t xml:space="preserve">¿Cuál de estas es una clasificación etiológica de la pancreatitis crónica?</t>
  </si>
  <si>
    <t xml:space="preserve">A. Balthazar.</t>
  </si>
  <si>
    <t xml:space="preserve">B. Rosemont.</t>
  </si>
  <si>
    <t xml:space="preserve">C. Atlanta.</t>
  </si>
  <si>
    <t xml:space="preserve">D. TIGAR-O.</t>
  </si>
  <si>
    <t xml:space="preserve">ITEM 51  ·  Illes Balears 2022  ·  illes-balears/2022 / Q53  ·  Named clinical-case section</t>
  </si>
  <si>
    <t xml:space="preserve">¿Qué debe solicitarse en primer lugar para el diagnóstico de insuficiencia pancreática exocrina?</t>
  </si>
  <si>
    <t xml:space="preserve">A. Calprotectina fecal.</t>
  </si>
  <si>
    <t xml:space="preserve">B. Elastasa fecal pancreática.</t>
  </si>
  <si>
    <t xml:space="preserve">C. Test de sobrecrecimiento bacteriano.</t>
  </si>
  <si>
    <t xml:space="preserve">D. Test de intolerancia a la lactosa.</t>
  </si>
  <si>
    <t xml:space="preserve">ITEM 52  ·  Illes Balears 2022  ·  illes-balears/2022 / Q54  ·  Named clinical-case section</t>
  </si>
  <si>
    <t xml:space="preserve">¿Cuáles son las determinaciones que evalúan mejor el estado nutricional de este paciente?</t>
  </si>
  <si>
    <t xml:space="preserve">A. El peso actual es suficiente para evaluar su estado nutricional.</t>
  </si>
  <si>
    <t xml:space="preserve">B. Peso, índice de masa corporal y determinación de vitaminas liposolubles y otros micronutrientes (magnesio, zinc y vitamina B12).</t>
  </si>
  <si>
    <t xml:space="preserve">C. Glucosa, calcio y hematocrito.</t>
  </si>
  <si>
    <t xml:space="preserve">D. Proteinograma, función renal e iones.</t>
  </si>
  <si>
    <t xml:space="preserve">ITEM 53  ·  Illes Balears 2022  ·  illes-balears/2022 / Q55  ·  Named clinical-case section</t>
  </si>
  <si>
    <t xml:space="preserve">CLINICAL CONTEXT
[CLINICAL TRANSITION: illes-balears-2022-caso-3-transition-01]
Las pruebas para determinar la insuficiencia pancreática exocrina demuestran una insuficiencia pancreática exocrina (IPE) grave.</t>
  </si>
  <si>
    <t xml:space="preserve">¿A qué pueden asociarse los déficits vitamínicos asociados a una IPE?</t>
  </si>
  <si>
    <t xml:space="preserve">A. Osteoporosis.</t>
  </si>
  <si>
    <t xml:space="preserve">B. Osteopenia.</t>
  </si>
  <si>
    <t xml:space="preserve">C. Alteración de la agudeza visual.</t>
  </si>
  <si>
    <t xml:space="preserve">Context IDs: illes-balears-2022-base-caso-3, illes-balears-2022-caso-3-transition-01  |  Source exam PDF page: 21</t>
  </si>
  <si>
    <t xml:space="preserve">ITEM 54  ·  Illes Balears 2022  ·  illes-balears/2022 / Q56  ·  Named clinical-case section</t>
  </si>
  <si>
    <t xml:space="preserve">CLINICAL CONTEXT
CONTINUES THE ACTIVE CONTEXT: illes-balears-2022-base-caso-3 → illes-balears-2022-caso-3-transition-01</t>
  </si>
  <si>
    <t xml:space="preserve">¿Qué actitud se debe seguir en relación con el tratamiento enzimático sustitutivo (TES)?</t>
  </si>
  <si>
    <t xml:space="preserve">A. Debe iniciarse un tratamiento enzimático sustitutivo solo si tiene dolor abdominal.</t>
  </si>
  <si>
    <t xml:space="preserve">B. Debe iniciarse un tratamiento enzimático sustitutivo cuando presente otro episodio de pancreatitis aguda.</t>
  </si>
  <si>
    <t xml:space="preserve">C. Debe iniciarse inmediatamente un tratamiento enzimático sustitutivo.</t>
  </si>
  <si>
    <t xml:space="preserve">D. No debe iniciarse un tratamiento enzimático sustitutivo porque el paciente no tiene antecedentes de cirugía pancreática.</t>
  </si>
  <si>
    <t xml:space="preserve">ITEM 55  ·  Illes Balears 2022  ·  illes-balears/2022 / Q57  ·  Named clinical-case section</t>
  </si>
  <si>
    <t xml:space="preserve">Si se decide iniciar el TES, ¿cuál debe ser la dosis recomendada?</t>
  </si>
  <si>
    <t xml:space="preserve">A. 20.000 U en desayuno, comida y cena.</t>
  </si>
  <si>
    <t xml:space="preserve">B. 10.000 U en el desayuno, comida y cena y 10.000 U en los snacks.</t>
  </si>
  <si>
    <t xml:space="preserve">C. 50.000 U en la comida principal.</t>
  </si>
  <si>
    <t xml:space="preserve">D. 50.000 U en desayuno, comida y cena y 25.000 U en los snacks.</t>
  </si>
  <si>
    <t xml:space="preserve">ITEM 56  ·  Illes Balears 2022  ·  illes-balears/2022 / Q58  ·  Named clinical-case section</t>
  </si>
  <si>
    <t xml:space="preserve">A pesar del tratamiento con enzimas pancreáticos la diarrea no cede completamente, ¿cuál debe ser la actitud?</t>
  </si>
  <si>
    <t xml:space="preserve">A. Suspender definitivamente el tratamiento enzimático y hacer una colonoscopia.</t>
  </si>
  <si>
    <t xml:space="preserve">B. Aumentar la dosis de enzimas pancreáticas y añadir inhibidores de la bomba de protones al TES.</t>
  </si>
  <si>
    <t xml:space="preserve">C. Retirar el gluten de la dieta.</t>
  </si>
  <si>
    <t xml:space="preserve">D. Solicitar marcadores tumorales (CA 19-9 y CEA).</t>
  </si>
  <si>
    <t xml:space="preserve">ITEM 57  ·  Illes Balears 2022  ·  illes-balears/2022 / Q59  ·  Named clinical-case section</t>
  </si>
  <si>
    <t xml:space="preserve">Debido a la insuficiencia pancreática exocrina, este paciente...</t>
  </si>
  <si>
    <t xml:space="preserve">A. ...presenta más riesgo de cáncer de colon.</t>
  </si>
  <si>
    <t xml:space="preserve">B. ...no presenta más riesgo de eventos cardiovasculares.</t>
  </si>
  <si>
    <t xml:space="preserve">C. ...presenta más riesgo de sobrecrecimiento bacteriano en el intestino delgado (SIBO).</t>
  </si>
  <si>
    <t xml:space="preserve">D. ...presenta el mismo riesgo de mortalidad que un paciente sin IPE.</t>
  </si>
  <si>
    <t xml:space="preserve">Context IDs: illes-balears-2022-base-caso-3, illes-balears-2022-caso-3-transition-01  |  Source exam PDF page: 22</t>
  </si>
  <si>
    <t xml:space="preserve">ITEM 58  ·  Illes Balears 2022  ·  illes-balears/2022 / Q60  ·  Named clinical-case section</t>
  </si>
  <si>
    <t xml:space="preserve">Señale la respuesta correcta respecto a la monitorización de la respuesta al tratamiento enzimático sustitutivo:</t>
  </si>
  <si>
    <t xml:space="preserve">A. Es suficiente la mejoría sintomática y la normalización de los parámetros nutricionales.</t>
  </si>
  <si>
    <t xml:space="preserve">B. Debe hacerse una determinación de elastasa fecal cada mes.</t>
  </si>
  <si>
    <t xml:space="preserve">C. Tras la mejoría inicial, debe retirarse el TES para confirmar el empeoramiento de los síntomas si se retira.</t>
  </si>
  <si>
    <t xml:space="preserve">D. Debe hacerse una TC abdominal para comprobar si han mejorado las calcificaciones pancreáticas.</t>
  </si>
  <si>
    <t xml:space="preserve">ITEM 59  ·  Illes Balears 2022  ·  illes-balears/2022 / Q61  ·  Named clinical-case section</t>
  </si>
  <si>
    <t xml:space="preserve">¿Cómo se recomienda el screening de cáncer de páncreas en este paciente?</t>
  </si>
  <si>
    <t xml:space="preserve">A. Por medio de una TC abdominal cada tres meses.</t>
  </si>
  <si>
    <t xml:space="preserve">B. No hay una estrategia definida para la detección del cáncer de páncreas en estos pacientes.</t>
  </si>
  <si>
    <t xml:space="preserve">C. Por medio de la determinación de CA 19-9 cada dos meses.</t>
  </si>
  <si>
    <t xml:space="preserve">D. Por medio de la determinación de parámetros nutricionales cada tres meses.</t>
  </si>
  <si>
    <t xml:space="preserve">ITEM 60  ·  Illes Balears 2022  ·  illes-balears/2022 / Q62  ·  Named clinical-case section</t>
  </si>
  <si>
    <t xml:space="preserve">CLINICAL CONTEXT
[CLINICAL TRANSITION: illes-balears-2022-caso-3-transition-02]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</si>
  <si>
    <t xml:space="preserve">¿Qué debe considerarse en el diagnóstico diferencial de la ictericia en este paciente?</t>
  </si>
  <si>
    <t xml:space="preserve">A. Coledocolitiasis.</t>
  </si>
  <si>
    <t xml:space="preserve">B. Cáncer de páncreas.</t>
  </si>
  <si>
    <t xml:space="preserve">C. Estenosis biliar benigna.</t>
  </si>
  <si>
    <t xml:space="preserve">Context IDs: illes-balears-2022-base-caso-3, illes-balears-2022-caso-3-transition-01, illes-balears-2022-caso-3-transition-02  |  Source exam PDF page: 22</t>
  </si>
  <si>
    <t xml:space="preserve">ITEM 61  ·  Illes Balears 2022  ·  illes-balears/2022 / Q63  ·  Named clinical-case section</t>
  </si>
  <si>
    <t xml:space="preserve">CLINICAL CONTEXT
[CLINICAL TRANSITION: illes-balears-2022-caso-3-transition-03]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</si>
  <si>
    <t xml:space="preserve">¿Qué debe solicitarse como primera estrategia para drenar inicialmente la vía biliar?</t>
  </si>
  <si>
    <t xml:space="preserve">A. Drenaje por vía transparietohepática con colocación de un drenaje metálico no recubierto.</t>
  </si>
  <si>
    <t xml:space="preserve">B. CPRE con colocación de un drenaje metálico no recubierto.</t>
  </si>
  <si>
    <t xml:space="preserve">C. CPRE con citología de colédoco y colocación de un drenaje biliar de plástico.</t>
  </si>
  <si>
    <t xml:space="preserve">D. Drenaje interno-externo por vía transparietohepática y colocación posterior de un drenaje biliar de plástico por vía endoscópica.</t>
  </si>
  <si>
    <t xml:space="preserve">Context IDs: illes-balears-2022-base-caso-3, illes-balears-2022-caso-3-transition-01, illes-balears-2022-caso-3-transition-02, illes-balears-2022-caso-3-transition-03  |  Source exam PDF page: 23</t>
  </si>
  <si>
    <t xml:space="preserve">ITEM 62  ·  Illes Balears 2022  ·  illes-balears/2022 / Q64  ·  Named clinical-case section</t>
  </si>
  <si>
    <t xml:space="preserve">CLINICAL CONTEXT
CONTINUES THE ACTIVE CONTEXT: illes-balears-2022-base-caso-3 → illes-balears-2022-caso-3-transition-01 → illes-balears-2022-caso-3-transition-02 → illes-balears-2022-caso-3-transition-03</t>
  </si>
  <si>
    <t xml:space="preserve">Señale la respuesta correcta en relación con el diagnóstico de la masa o lesión pancreática:</t>
  </si>
  <si>
    <t xml:space="preserve">A. Debe solicitarse una ecoendoscopia con aspiración de aguja fina (PAAF) o fine needle biopsy (FNB) de la lesión.</t>
  </si>
  <si>
    <t xml:space="preserve">B. Una determinación de CA 19-9 es diagnóstica si los niveles duplican el valor normal.</t>
  </si>
  <si>
    <t xml:space="preserve">C. La vigilancia de la lesión por TC es suficiente dado que probablemente es una lesión inflamatoria.</t>
  </si>
  <si>
    <t xml:space="preserve">D. Si la citología de colédoco es negativa y el CA 19-9 normal se puede descartar con seguridad un adenocarcinoma pancreático.</t>
  </si>
  <si>
    <t xml:space="preserve">ITEM 63  ·  Illes Balears 2022  ·  illes-balears/2022 / Q65  ·  Named clinical-case section</t>
  </si>
  <si>
    <t xml:space="preserve">¿Qué patrón cualitativo se debe obtener en la elastografía cualitativa, como técnica complementaria a la ecoendoscopia, para orientar hacia la naturaleza inflamatoria de la lesión?</t>
  </si>
  <si>
    <t xml:space="preserve">A. Un patrón heterogéneo predominantemente verde.</t>
  </si>
  <si>
    <t xml:space="preserve">B. Un patrón verde homogéneo.</t>
  </si>
  <si>
    <t xml:space="preserve">C. No nos ofrece ninguna orientación en cuanto a la naturaleza histológica de la lesión.</t>
  </si>
  <si>
    <t xml:space="preserve">D. Un patrón heterogéneo predominantemente azul.</t>
  </si>
  <si>
    <t xml:space="preserve">ITEM 64  ·  Illes Balears 2022  ·  illes-balears/2022 / Q66  ·  Named clinical-case section</t>
  </si>
  <si>
    <t xml:space="preserve">¿Cuál debe ser el siguiente paso si se confirma la malignidad de la lesión (adenocarcinoma pancreático)?</t>
  </si>
  <si>
    <t xml:space="preserve">A. Con los datos de que disponemos debe indicarse una duodenopancreatectomía cefálica.</t>
  </si>
  <si>
    <t xml:space="preserve">B. Debe valorarse la resecabilidad de la lesión basándose en su tamaño.</t>
  </si>
  <si>
    <t xml:space="preserve">C. Debe valorarse la resecabilidad de la lesión en base a la afectación vascular arterial y venosa.</t>
  </si>
  <si>
    <t xml:space="preserve">D. Debe indicarse una intervención de Frey lo antes posible.</t>
  </si>
  <si>
    <t xml:space="preserve">Context IDs: illes-balears-2022-base-caso-3, illes-balears-2022-caso-3-transition-01, illes-balears-2022-caso-3-transition-02, illes-balears-2022-caso-3-transition-03  |  Source exam PDF page: 24</t>
  </si>
  <si>
    <t xml:space="preserve">ITEM 65  ·  Illes Balears 2022  ·  illes-balears/2022 / Q67  ·  Named clinical-case section</t>
  </si>
  <si>
    <t xml:space="preserve">Con los datos de la TC, ¿de qué tipo de tumor debe considerarse que se trata?</t>
  </si>
  <si>
    <t xml:space="preserve">A. Resecable.</t>
  </si>
  <si>
    <t xml:space="preserve">B. Borderline.</t>
  </si>
  <si>
    <t xml:space="preserve">C. Localmente avanzado.</t>
  </si>
  <si>
    <t xml:space="preserve">D. Metastásico.</t>
  </si>
  <si>
    <t xml:space="preserve">ITEM 66  ·  Illes Balears 2022  ·  illes-balears/2022 / Q68  ·  Named clinical-case section</t>
  </si>
  <si>
    <t xml:space="preserve">Señale la respuesta falsa en relación con el marcador tumoral CA 19-9 en el adenocarcinoma de páncreas:</t>
  </si>
  <si>
    <t xml:space="preserve">A. Los niveles de CA 19-9 se relacionan con el tamaño del tumor, la presencia de metástasis y el pronóstico del paciente.</t>
  </si>
  <si>
    <t xml:space="preserve">B. La monitorización del CA 19-9 es útil para evaluar la respuesta al tratamiento, especialmente en pacientes con niveles elevados.</t>
  </si>
  <si>
    <t xml:space="preserve">C. Un 75 % de la población no expresa el antígeno Lewis por lo que los niveles de CA 19-9 no son informativos en estos pacientes.</t>
  </si>
  <si>
    <t xml:space="preserve">D. Los niveles de CA 19-9 pueden elevarse en enfermedades pancreatobiliares benignas y en casos de obstrucción biliar.</t>
  </si>
  <si>
    <t xml:space="preserve">ITEM 67  ·  Illes Balears 2022  ·  illes-balears/2022 / Q69  ·  Named clinical-case section</t>
  </si>
  <si>
    <t xml:space="preserve">¿Qué otra complicación puede presentar este paciente en relación con su patología de base?</t>
  </si>
  <si>
    <t xml:space="preserve">A. Pseudoquiste de páncreas.</t>
  </si>
  <si>
    <t xml:space="preserve">B. Estenosis biliar benigna.</t>
  </si>
  <si>
    <t xml:space="preserve">C. Trombosis esplénica.</t>
  </si>
  <si>
    <t xml:space="preserve">Context IDs: illes-balears-2022-base-caso-3, illes-balears-2022-caso-3-transition-01, illes-balears-2022-caso-3-transition-02, illes-balears-2022-caso-3-transition-03  |  Source exam PDF page: 25</t>
  </si>
  <si>
    <t xml:space="preserve">ITEM 68  ·  Illes Balears 2022  ·  illes-balears/2022 / Q70  ·  Named clinical-case section</t>
  </si>
  <si>
    <t xml:space="preserve">Señale la respuesta verdadera respecto al tratamiento del dolor severo en este paciente:</t>
  </si>
  <si>
    <t xml:space="preserve">A. El paracetamol suele ser suficiente.</t>
  </si>
  <si>
    <t xml:space="preserve">B. El tratamiento enzimático sustitutivo ha demostrado un claro beneficio en la reducción del dolor.</t>
  </si>
  <si>
    <t xml:space="preserve">C. En el dolor neuropático, la evidencia en cuanto a la mejoría del dolor es clara para técnicas como el bloqueo del plexo celíaco, la estimulación de la medula espinal o la acupuntura.</t>
  </si>
  <si>
    <t xml:space="preserve">D. La gabapentina puede ser útil en el tratamiento del dolor neuropático.</t>
  </si>
  <si>
    <t xml:space="preserve">ITEM 69  ·  Illes Balears 2022  ·  illes-balears/2022 / Q71  ·  Named clinical-case section</t>
  </si>
  <si>
    <t xml:space="preserve">Señale la respuesta falsa en relación con la TC abdominal en la evaluación de un paciente con sospecha de adenocarcinoma de páncreas:</t>
  </si>
  <si>
    <t xml:space="preserve">A. En un protocolo pancreático es la prueba de elección para la evaluación de un paciente con sospecha de adenocarcinoma pancreático.</t>
  </si>
  <si>
    <t xml:space="preserve">B. En comparación con la resonancia magnética, ofrece más detalles anatómicos de la relación del tumor con la vascularización.</t>
  </si>
  <si>
    <t xml:space="preserve">C. Normalmente aparece como una lesión hiperdensa comparada con el parénquima pancreático adyacente.</t>
  </si>
  <si>
    <t xml:space="preserve">D. La PET-TC no se utiliza habitualmente en el diagnóstico, pero puede ser útil en la detección de enfermedad metastásica oculta.</t>
  </si>
  <si>
    <t xml:space="preserve">ITEM 70  ·  Illes Balears 2022  ·  illes-balears/2022 / Q72  ·  Named clinical-case section</t>
  </si>
  <si>
    <t xml:space="preserve">¿Cuál de las respuestas siguientes se considera un factor de riesgo para desarrollar una pancreatitis crónica?</t>
  </si>
  <si>
    <t xml:space="preserve">A. Alcohol y tabaco.</t>
  </si>
  <si>
    <t xml:space="preserve">B. Fibrosis quística.</t>
  </si>
  <si>
    <t xml:space="preserve">C. Pancreatitis hereditaria.</t>
  </si>
  <si>
    <t xml:space="preserve">D. Todas las respuestas anteriores son ciertas.</t>
  </si>
  <si>
    <t xml:space="preserve">ITEM 71  ·  Illes Balears 2022  ·  illes-balears/2022 / Q73  ·  Named clinical-case section</t>
  </si>
  <si>
    <t xml:space="preserve">CLINICAL CONTEXT — PART 1/4
[BASE CLINICAL CONTEXT: illes-balears-2022-base-caso-4]
Mujer de 18 años sin antecedentes personales ni familiares de interés y sin hábitos tóxicos. Ingresa por fiebre, pérdida de peso asociada a hiporexia, diarrea de comienzo reciente sin productos patológicos y dolor abdominal de dos semanas de evolución.</t>
  </si>
  <si>
    <t xml:space="preserve">CLINICAL CONTEXT — PART 2/4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t>
  </si>
  <si>
    <t xml:space="preserve">CLINICAL CONTEXT — PART 3/4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t>
  </si>
  <si>
    <t xml:space="preserve">CLINICAL CONTEXT — PART 4/4
activa.</t>
  </si>
  <si>
    <t xml:space="preserve">A. Tuberculosis intestinal.</t>
  </si>
  <si>
    <t xml:space="preserve">B. Colitis microscópica.</t>
  </si>
  <si>
    <t xml:space="preserve">C. Enfermedad de Crohn.</t>
  </si>
  <si>
    <t xml:space="preserve">D. Colitis ulcerosa.</t>
  </si>
  <si>
    <t xml:space="preserve">Context IDs: illes-balears-2022-base-caso-4  |  Source exam PDF page: 26</t>
  </si>
  <si>
    <t xml:space="preserve">ITEM 72  ·  Illes Balears 2022  ·  illes-balears/2022 / Q74  ·  Named clinical-case section</t>
  </si>
  <si>
    <t xml:space="preserve">CLINICAL CONTEXT
CONTINUES THE ACTIVE CONTEXT: illes-balears-2022-base-caso-4</t>
  </si>
  <si>
    <t xml:space="preserve">El diagnóstico de una enfermedad inflamatoria intestinal se realiza por...</t>
  </si>
  <si>
    <t xml:space="preserve">A. ...criterios clínicos.</t>
  </si>
  <si>
    <t xml:space="preserve">B. ...endoscopia.</t>
  </si>
  <si>
    <t xml:space="preserve">C. ...anatomía patológica.</t>
  </si>
  <si>
    <t xml:space="preserve">ITEM 73  ·  Illes Balears 2022  ·  illes-balears/2022 / Q75  ·  Named clinical-case section</t>
  </si>
  <si>
    <t xml:space="preserve">¿Cuál de estas afirmaciones es falsa?</t>
  </si>
  <si>
    <t xml:space="preserve">A. La enfermedad de Crohn puede afectar a cualquier parte del tubo digestivo.</t>
  </si>
  <si>
    <t xml:space="preserve">B. En la colitis ulcerosa siempre hay afectación rectal.</t>
  </si>
  <si>
    <t xml:space="preserve">C. En la enfermedad de Crohn y en la colitis ulcerosa puede haber manifestaciones extraintestinales.</t>
  </si>
  <si>
    <t xml:space="preserve">D. En la colitis ulcerosa la inflamación intestinal es transmural.</t>
  </si>
  <si>
    <t xml:space="preserve">Context IDs: illes-balears-2022-base-caso-4  |  Source exam PDF page: 27</t>
  </si>
  <si>
    <t xml:space="preserve">ITEM 74  ·  Illes Balears 2022  ·  illes-balears/2022 / Q76  ·  Named clinical-case section</t>
  </si>
  <si>
    <t xml:space="preserve">Para valorar la severidad de la enfermedad con alguno de los índices de actividad clínica, ¿qué parámetro no debe tenerse en cuenta?</t>
  </si>
  <si>
    <t xml:space="preserve">A. Edad.</t>
  </si>
  <si>
    <t xml:space="preserve">B. Estado general.</t>
  </si>
  <si>
    <t xml:space="preserve">C. Dolor abdominal.</t>
  </si>
  <si>
    <t xml:space="preserve">D. Número de deposiciones.</t>
  </si>
  <si>
    <t xml:space="preserve">ITEM 75  ·  Illes Balears 2022  ·  illes-balears/2022 / Q77  ·  Named clinical-case section</t>
  </si>
  <si>
    <t xml:space="preserve">¿Qué estudios complementarios deben hacerse?</t>
  </si>
  <si>
    <t xml:space="preserve">A. Rx de tórax y prueba de Mantoux.</t>
  </si>
  <si>
    <t xml:space="preserve">B. Estudios microbiológicos.</t>
  </si>
  <si>
    <t xml:space="preserve">C. TC abdominal.</t>
  </si>
  <si>
    <t xml:space="preserve">ITEM 76  ·  Illes Balears 2022  ·  illes-balears/2022 / Q78  ·  Named clinical-case section</t>
  </si>
  <si>
    <t xml:space="preserve">¿Cuál de estas pruebas diagnósticas es la más útil para valorar la existencia de complicaciones abdominales como abscesos y fístulas?</t>
  </si>
  <si>
    <t xml:space="preserve">A. Colonoscopia.</t>
  </si>
  <si>
    <t xml:space="preserve">B. Ecografía abdominal.</t>
  </si>
  <si>
    <t xml:space="preserve">C. Resonancia magnética.</t>
  </si>
  <si>
    <t xml:space="preserve">D. Tránsito intestinal.</t>
  </si>
  <si>
    <t xml:space="preserve">ITEM 77  ·  Illes Balears 2022  ·  illes-balears/2022 / Q79  ·  Named clinical-case section</t>
  </si>
  <si>
    <t xml:space="preserve">Señale cuál de estos factores predictivos no se considera un factor predictivo de peor pronóstico en la enfermedad de Crohn:</t>
  </si>
  <si>
    <t xml:space="preserve">A. Presencia de enfermedad perianal.</t>
  </si>
  <si>
    <t xml:space="preserve">B. Edad joven de inicio.</t>
  </si>
  <si>
    <t xml:space="preserve">C. Sexo masculino.</t>
  </si>
  <si>
    <t xml:space="preserve">D. Necesidad de corticoides en el primer brote.</t>
  </si>
  <si>
    <t xml:space="preserve">ITEM 78  ·  Illes Balears 2022  ·  illes-balears/2022 / Q80  ·  Named clinical-case section</t>
  </si>
  <si>
    <t xml:space="preserve">Siendo A «edad al diagnóstico», L «localización de la enfermedad» y B «patrón de comportamiento», ¿cuál es la opción correcta para esta paciente según la clasificación de Montreal?</t>
  </si>
  <si>
    <t xml:space="preserve">A. A1 L2 B2.</t>
  </si>
  <si>
    <t xml:space="preserve">B. A2 L3 B1.</t>
  </si>
  <si>
    <t xml:space="preserve">C. A3 L3 B2.</t>
  </si>
  <si>
    <t xml:space="preserve">D. A2 L1 B3.</t>
  </si>
  <si>
    <t xml:space="preserve">Context IDs: illes-balears-2022-base-caso-4  |  Source exam PDF page: 28</t>
  </si>
  <si>
    <t xml:space="preserve">ITEM 79  ·  Illes Balears 2022  ·  illes-balears/2022 / Q81  ·  Named clinical-case section</t>
  </si>
  <si>
    <t xml:space="preserve">¿Cuál debe ser el tratamiento inicial de esta paciente?</t>
  </si>
  <si>
    <t xml:space="preserve">A. Antibióticos de amplio espectro.</t>
  </si>
  <si>
    <t xml:space="preserve">B. Inmunosupresores como la azatioprina.</t>
  </si>
  <si>
    <t xml:space="preserve">C. Corticoides.</t>
  </si>
  <si>
    <t xml:space="preserve">D. 5-ASA.</t>
  </si>
  <si>
    <t xml:space="preserve">ITEM 80  ·  Illes Balears 2022  ·  illes-balears/2022 / Q82  ·  Named clinical-case section</t>
  </si>
  <si>
    <t xml:space="preserve">¿Cuál es el objetivo del tratamiento de la enfermedad de Crohn?</t>
  </si>
  <si>
    <t xml:space="preserve">A. Curación mucosa.</t>
  </si>
  <si>
    <t xml:space="preserve">B. Cierre de fístulas.</t>
  </si>
  <si>
    <t xml:space="preserve">C. Mejorar la calidad de vida.</t>
  </si>
  <si>
    <t xml:space="preserve">ITEM 81  ·  Illes Balears 2022  ·  illes-balears/2022 / Q83  ·  Named clinical-case section</t>
  </si>
  <si>
    <t xml:space="preserve">Señale la afirmación falsa respecto a los corticoides:</t>
  </si>
  <si>
    <t xml:space="preserve">A. Los corticoides sistémicos son útiles para la inducción de la respuesta y la remisión clínica en la enfermedad de Crohn activa moderada-grave.</t>
  </si>
  <si>
    <t xml:space="preserve">B. Los corticoides se utilizan como tratamiento de mantenimiento en la enfermedad de Crohn.</t>
  </si>
  <si>
    <t xml:space="preserve">C. La budesonida es útil para inducir la remisión clínica en pacientes con enfermedad de Crohn leve-moderada limitada al íleon y/o al colon ascendente.</t>
  </si>
  <si>
    <t xml:space="preserve">D. Los pacientes que toman corticoides a dosis altas tienen más riesgo de infecciones.</t>
  </si>
  <si>
    <t xml:space="preserve">ITEM 82  ·  Illes Balears 2022  ·  illes-balears/2022 / Q84  ·  Named clinical-case section</t>
  </si>
  <si>
    <t xml:space="preserve">¿Cuál de estas afirmaciones es verdadera respecto a la azatioprina?</t>
  </si>
  <si>
    <t xml:space="preserve">A. La azatioprina se utiliza en monoterapia para inducir la remisión en el brote moderado-grave de la enfermedad de Crohn.</t>
  </si>
  <si>
    <t xml:space="preserve">B. Está contraindicada en el embarazo.</t>
  </si>
  <si>
    <t xml:space="preserve">C. Siempre se debe monitorizar la tiopurina metiltransferasa.</t>
  </si>
  <si>
    <t xml:space="preserve">D. La azatioprina está recomendada para el mantenimiento de la remisión en pacientes con enfermedad de Crohn corticodependiente.</t>
  </si>
  <si>
    <t xml:space="preserve">Context IDs: illes-balears-2022-base-caso-4  |  Source exam PDF page: 29</t>
  </si>
  <si>
    <t xml:space="preserve">ITEM 83  ·  Illes Balears 2022  ·  illes-balears/2022 / Q85  ·  Named clinical-case section</t>
  </si>
  <si>
    <t xml:space="preserve">¿Cuál de estos estudios no es necesario antes de empezar un tratamiento biológico?</t>
  </si>
  <si>
    <t xml:space="preserve">A. Determinación de Mantoux y QuantiFERON®.</t>
  </si>
  <si>
    <t xml:space="preserve">B. Hemograma y bioquímica completa.</t>
  </si>
  <si>
    <t xml:space="preserve">C. Calprotectina fecal.</t>
  </si>
  <si>
    <t xml:space="preserve">D. Serologías infecciosas.</t>
  </si>
  <si>
    <t xml:space="preserve">ITEM 84  ·  Illes Balears 2022  ·  illes-balears/2022 / Q86  ·  Named clinical-case section</t>
  </si>
  <si>
    <t xml:space="preserve">¿Cuál de estos tratamientos biológicos no está indicado en la enfermedad de Crohn?</t>
  </si>
  <si>
    <t xml:space="preserve">A. Tofacitinib.</t>
  </si>
  <si>
    <t xml:space="preserve">B. Ustekinumab.</t>
  </si>
  <si>
    <t xml:space="preserve">C. Vedolizumab.</t>
  </si>
  <si>
    <t xml:space="preserve">D. Infliximab.</t>
  </si>
  <si>
    <t xml:space="preserve">ITEM 85  ·  Illes Balears 2022  ·  illes-balears/2022 / Q87  ·  Named clinical-case section</t>
  </si>
  <si>
    <t xml:space="preserve">Señale la respuesta incorrecta respecto al tratamiento anti-TNFα:</t>
  </si>
  <si>
    <t xml:space="preserve">A. La presencia del alelo HLA-DQA1*05 confiere mayor riesgo de inmunogenicidad.</t>
  </si>
  <si>
    <t xml:space="preserve">B. La asociación con azatioprina disminuye el riesgo de inmunogenicidad.</t>
  </si>
  <si>
    <t xml:space="preserve">C. Siempre deben monitorizarse los niveles de biológicos.</t>
  </si>
  <si>
    <t xml:space="preserve">D. Los pacientes tratados con anti-TNFα tienen más riesgo de infecciones.</t>
  </si>
  <si>
    <t xml:space="preserve">ITEM 86  ·  Illes Balears 2022  ·  illes-balears/2022 / Q88  ·  Named clinical-case section</t>
  </si>
  <si>
    <t xml:space="preserve">Señale la respuesta falsa respecto a la enfermedad de Crohn perianal:</t>
  </si>
  <si>
    <t xml:space="preserve">A. En ocasiones la enfermedad perianal puede preceder al inicio de síntomas intestinales.</t>
  </si>
  <si>
    <t xml:space="preserve">B. El tratamiento quirúrgico es el tratamiento de elección de las fístulas.</t>
  </si>
  <si>
    <t xml:space="preserve">C. Los índices de actividad clínica de la enfermedad de Crohn (CDAI, Harvey-Bradshaw, Van Hees) no reflejan la gravedad de las lesiones perianales por lo que se requieren índices específicos.</t>
  </si>
  <si>
    <t xml:space="preserve">D. Los tratamientos anti-TNFα son eficaces en el tratamiento de las fístulas.</t>
  </si>
  <si>
    <t xml:space="preserve">Context IDs: illes-balears-2022-base-caso-4  |  Source exam PDF page: 30</t>
  </si>
  <si>
    <t xml:space="preserve">ITEM 87  ·  Illes Balears 2022  ·  illes-balears/2022 / Q90  ·  Named clinical-case section</t>
  </si>
  <si>
    <t xml:space="preserve">¿Qué factor no se ha relacionado con la recurrencia posquirúrgica en la enfermedad de Crohn?</t>
  </si>
  <si>
    <t xml:space="preserve">A. Fumador.</t>
  </si>
  <si>
    <t xml:space="preserve">B. Tipo de cirugía.</t>
  </si>
  <si>
    <t xml:space="preserve">C. Patrón penetrante.</t>
  </si>
  <si>
    <t xml:space="preserve">D. Enfermedad perianal.</t>
  </si>
  <si>
    <t xml:space="preserve">ITEM 88  ·  Illes Balears 2022  ·  illes-balears/2022 / Q91  ·  Named clinical-case section</t>
  </si>
  <si>
    <t xml:space="preserve">En el seguimiento de la enfermedad de Crohn, tras una resección intestinal, ¿cuándo debe recomendarse una ileocolonoscopia?</t>
  </si>
  <si>
    <t xml:space="preserve">A. A los 3 meses.</t>
  </si>
  <si>
    <t xml:space="preserve">B. A los 6 meses.</t>
  </si>
  <si>
    <t xml:space="preserve">C. A los 12 meses.</t>
  </si>
  <si>
    <t xml:space="preserve">D. No es necesario realizar una ileocolonoscopia después de la cirugía.</t>
  </si>
  <si>
    <t xml:space="preserve">ITEM 89  ·  Illes Balears 2022  ·  illes-balears/2022 / Q92  ·  Named clinical-case section</t>
  </si>
  <si>
    <t xml:space="preserve">¿A qué hace referencia el índice endoscópico de Rutgeerst i2 de recurrencia postquirúrgica?</t>
  </si>
  <si>
    <t xml:space="preserve">A. Ileítis aftosa difusa con mucosa difusamente inflamada.</t>
  </si>
  <si>
    <t xml:space="preserve">B. Presencia de menos de cinco aftas en el íleon distal.</t>
  </si>
  <si>
    <t xml:space="preserve">C. Más de cinco aftas o lesiones ulceradas con mucosa normal entre las lesiones a menos de 1 cm de la anastomosis.</t>
  </si>
  <si>
    <t xml:space="preserve">D. Mucosa normal.</t>
  </si>
  <si>
    <t xml:space="preserve">Context IDs: illes-balears-2022-base-caso-4  |  Source exam PDF page: 31</t>
  </si>
  <si>
    <t xml:space="preserve">ITEM 90  ·  Illes Balears 2022  ·  illes-balears/2022 / Q93  ·  Named clinical-case section</t>
  </si>
  <si>
    <t xml:space="preserve">Señale la respuesta falsa con respecto a la enfermedad inflamatoria intestinal y la gestación:</t>
  </si>
  <si>
    <t xml:space="preserve">A. Existe más riesgo de complicaciones gestacionales en las pacientes con enfermedad de Crohn activa durante el embarazo.</t>
  </si>
  <si>
    <t xml:space="preserve">B. Los corticoides son seguros en el embarazo.</t>
  </si>
  <si>
    <t xml:space="preserve">C. La utilización de metotrexato está absolutamente contraindicada durante el embarazo.</t>
  </si>
  <si>
    <t xml:space="preserve">D. Todas las mujeres con enfermedad inflamatoria intestinal tienen menos fertilidad que la población general.</t>
  </si>
  <si>
    <t xml:space="preserve">ITEM 91  ·  Illes Balears 2022  ·  illes-balears/2022 / Q94  ·  Named clinical-case section</t>
  </si>
  <si>
    <t xml:space="preserve">¿Cuál de estos fármacos no es útil en la prevención de la recurrencia postquirúrgica?</t>
  </si>
  <si>
    <t xml:space="preserve">A. Budesonida.</t>
  </si>
  <si>
    <t xml:space="preserve">B. Tratamiento con anti-TNF$\alpha$.</t>
  </si>
  <si>
    <t xml:space="preserve">C. Antibióticos.</t>
  </si>
  <si>
    <t xml:space="preserve">D. Tiopurinas.</t>
  </si>
  <si>
    <t xml:space="preserve">ITEM 92  ·  Illes Balears 2022  ·  illes-balears/2022 / Q95  ·  Named clinical-case section</t>
  </si>
  <si>
    <t xml:space="preserve">Señale la respuesta falsa respecto al vedolizumab en el tratamiento de la enfermedad de Crohn:</t>
  </si>
  <si>
    <t xml:space="preserve">A. La inducción se hace por vía endovenosa.</t>
  </si>
  <si>
    <t xml:space="preserve">B. Durante el tratamiento con vedolizumab se pueden administrar vacunas de virus vivos.</t>
  </si>
  <si>
    <t xml:space="preserve">C. Es más eficaz en pacientes naive de anti-TNF$\alpha$.</t>
  </si>
  <si>
    <t xml:space="preserve">D. La inmunogenicidad o formación de anticuerpos es infrecuente.</t>
  </si>
  <si>
    <t xml:space="preserve">ITEM 93  ·  Illes Balears 2022  ·  illes-balears/2022 / Q96  ·  Named clinical-case section</t>
  </si>
  <si>
    <t xml:space="preserve">¿Cuál es el mecanismo de acción del ustekinumab?</t>
  </si>
  <si>
    <t xml:space="preserve">A. Inhibe el TNFα.</t>
  </si>
  <si>
    <t xml:space="preserve">B. Se une a una integrina del endotelio intestinal.</t>
  </si>
  <si>
    <t xml:space="preserve">C. Inhibe los receptores JAK1 y JAK3.</t>
  </si>
  <si>
    <t xml:space="preserve">D. Se une a la subunidad p40 de la interleuquina12/23.</t>
  </si>
  <si>
    <t xml:space="preserve">Context IDs: illes-balears-2022-base-caso-4  |  Source exam PDF page: 32</t>
  </si>
  <si>
    <t xml:space="preserve">ITEM 94  ·  Illes Balears 2022  ·  illes-balears/2022 / Q97  ·  Named clinical-case section</t>
  </si>
  <si>
    <t xml:space="preserve">CLINICAL CONTEXT — PART 1/2
[BASE CLINICAL CONTEXT: illes-balears-2022-base-caso-5]
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t>
  </si>
  <si>
    <t xml:space="preserve">CLINICAL CONTEXT — PART 2/2
descartaron procesos infecciosos intestinales. Las únicas alteraciones analíticas reseñables en el momento del diagnóstico fueron que era positivo de P-ANCA y tenía una calprotectina fecal de 450 μg/g. Se pautó un tratamiento con enemas de mesalazina.</t>
  </si>
  <si>
    <t xml:space="preserve">Señale la afirmación falsa con respecto a la definición de la colitis ulcerosa (CU)?</t>
  </si>
  <si>
    <t xml:space="preserve">A. La CU es un proceso inflamatorio crónico que característicamente afecta todo el espesor de la pared colónica.</t>
  </si>
  <si>
    <t xml:space="preserve">B. La afectación del recto se da en la mayoría de los pacientes.</t>
  </si>
  <si>
    <t xml:space="preserve">C. La afectación del íleon no descarta el diagnóstico de CU.</t>
  </si>
  <si>
    <t xml:space="preserve">D. Puede afectarse la totalidad del colon en general de forma continua.</t>
  </si>
  <si>
    <t xml:space="preserve">Context IDs: illes-balears-2022-base-caso-5  |  Source exam PDF page: 33</t>
  </si>
  <si>
    <t xml:space="preserve">ITEM 95  ·  Illes Balears 2022  ·  illes-balears/2022 / Q98  ·  Named clinical-case section</t>
  </si>
  <si>
    <t xml:space="preserve">CLINICAL CONTEXT
CONTINUES THE ACTIVE CONTEXT: illes-balears-2022-base-caso-5</t>
  </si>
  <si>
    <t xml:space="preserve">Señale la respuesta falsa en referencia a la epidemiologia de la CU:</t>
  </si>
  <si>
    <t xml:space="preserve">A. La afectación es similar tanto en mujeres como en hombres.</t>
  </si>
  <si>
    <t xml:space="preserve">B. La edad de debut más frecuente son la segunda y la tercera década de la vida.</t>
  </si>
  <si>
    <t xml:space="preserve">C. La prevalencia es diferente según el grupo étnico estudiado.</t>
  </si>
  <si>
    <t xml:space="preserve">D. La prevalencia es más importante en países subdesarrollados.</t>
  </si>
  <si>
    <t xml:space="preserve">ITEM 96  ·  Illes Balears 2022  ·  illes-balears/2022 / Q99  ·  Named clinical-case section</t>
  </si>
  <si>
    <t xml:space="preserve">Señale la respuesta correcta respecto a los factores de riesgo de la CU:</t>
  </si>
  <si>
    <t xml:space="preserve">A. La afectación de familiares de primer grado aumenta el riesgo de desarrollar la patología.</t>
  </si>
  <si>
    <t xml:space="preserve">B. Se han detectado antígenos alimentarios específicos involucrados en la patogenia.</t>
  </si>
  <si>
    <t xml:space="preserve">C. El tabaco se considera un factor de riesgo.</t>
  </si>
  <si>
    <t xml:space="preserve">D. Las respuestas a) y b) son ciertas.</t>
  </si>
  <si>
    <t xml:space="preserve">ITEM 97  ·  Illes Balears 2022  ·  illes-balears/2022 / Q100  ·  Named clinical-case section</t>
  </si>
  <si>
    <t xml:space="preserve">Señale la respuesta correcta respecto al diagnóstico del caso comentado:</t>
  </si>
  <si>
    <t xml:space="preserve">A. El diagnóstico de la CU se establece por la suma de criterios clínicos, analíticos, endoscópicos e histológicos.</t>
  </si>
  <si>
    <t xml:space="preserve">B. La detección de ANCA+ por si sola confirma de forma absoluta el diagnóstico.</t>
  </si>
  <si>
    <t xml:space="preserve">C. La presencia del citomegalovirus detectado por inmunohistoquímica y PCR en las biopsias descarta el diagnóstico de CU.</t>
  </si>
  <si>
    <t xml:space="preserve">D. Las opciones a) y c) son correctas.</t>
  </si>
  <si>
    <t xml:space="preserve">Context IDs: illes-balears-2022-base-caso-5  |  Source exam PDF page: 34</t>
  </si>
  <si>
    <t xml:space="preserve">ITEM 98  ·  Illes Balears 2022  ·  illes-balears/2022 / Q101  ·  Named clinical-case section</t>
  </si>
  <si>
    <t xml:space="preserve">Asumiendo el diagnóstico de rectosigmoiditis ulcerosa en actividad leve-moderada en el momento del diagnóstico, ¿cuál de las propuestas siguientes se considera la más indicada como primera opción de tratamiento?</t>
  </si>
  <si>
    <t xml:space="preserve">A. Esteroides tópicos para inducir la remisión y no pautar un tratamiento de mantenimiento porque es el primer brote.</t>
  </si>
  <si>
    <t xml:space="preserve">B. Mesalazina en enemas para inducir la remisión y la pautar como tratamiento de mantenimiento.</t>
  </si>
  <si>
    <t xml:space="preserve">C. Mesalazina en enemas para inducir la remisión y no pautar tratamiento de mantenimiento porque es el primer brote.</t>
  </si>
  <si>
    <t xml:space="preserve">D. Prednisona oral para la remisión y mesalazina oral para el mantenimiento.</t>
  </si>
  <si>
    <t xml:space="preserve">ITEM 99  ·  Illes Balears 2022  ·  illes-balears/2022 / Q102  ·  Named clinical-case section</t>
  </si>
  <si>
    <t xml:space="preserve">CLINICAL CONTEXT — PART 1/2
[CLINICAL TRANSITION: illes-balears-2022-caso-5-transition-01]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t>
  </si>
  <si>
    <t xml:space="preserve">CLINICAL CONTEXT — PART 2/2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t>
  </si>
  <si>
    <t xml:space="preserve">Señale la afirmación falsa:</t>
  </si>
  <si>
    <t xml:space="preserve">A. La extensión de la afectación mucosa se da en un 20 % de los pacientes en los cinco primeros años desde el diagnóstico.</t>
  </si>
  <si>
    <t xml:space="preserve">B. Los medicamentos antiinflamatorios no esteroides (AINES) están completamente contraindicados en la CU.</t>
  </si>
  <si>
    <t xml:space="preserve">C. Un 20 % de los pacientes de CU tendrán manifestaciones extraintestinales a lo largo de su vida.</t>
  </si>
  <si>
    <t xml:space="preserve">D. Las manifestaciones extraintestinales pueden aparecer antes que la enfermedad intestinal.</t>
  </si>
  <si>
    <t xml:space="preserve">Context IDs: illes-balears-2022-base-caso-5, illes-balears-2022-caso-5-transition-01  |  Source exam PDF page: 35</t>
  </si>
  <si>
    <t xml:space="preserve">ITEM 100  ·  Illes Balears 2022  ·  illes-balears/2022 / Q103  ·  Named clinical-case section</t>
  </si>
  <si>
    <t xml:space="preserve">CLINICAL CONTEXT
CONTINUES THE ACTIVE CONTEXT: illes-balears-2022-base-caso-5 → illes-balears-2022-caso-5-transition-01</t>
  </si>
  <si>
    <t xml:space="preserve">Señale la afirmación correcta respecto a los marcadores no invasivos de actividad inflamatoria en la CU:</t>
  </si>
  <si>
    <t xml:space="preserve">A. La PCR no es un marcador sensible de actividad inflamatoria en la CU.</t>
  </si>
  <si>
    <t xml:space="preserve">B. Unos niveles de calprotectina fecal normales a los tres meses de conseguir una respuesta al tratamiento indican, muy probablemente, la curación mucosa.</t>
  </si>
  <si>
    <t xml:space="preserve">C. Unos niveles elevados de calprotectina fecal en un paciente asintomático suelen anticipar la actividad clínica de la CU.</t>
  </si>
  <si>
    <t xml:space="preserve">ITEM 101  ·  Illes Balears 2022  ·  illes-balears/2022 / Q104  ·  Named clinical-case section</t>
  </si>
  <si>
    <t xml:space="preserve">Señale la afirmación verdadera en el caso que se comenta tras conocer los resultados expuestos:</t>
  </si>
  <si>
    <t xml:space="preserve">A. Puede asumirse que está en actividad moderada y que se pueden iniciar esteroides sistémicos vía oral para inducir la remisión.</t>
  </si>
  <si>
    <t xml:space="preserve">B. La presencia de colestasis disociada hace sospechar la colangitis esclerosante primaria (CEP) como manifestación extraintestinal ya que es la más frecuente en la CU.</t>
  </si>
  <si>
    <t xml:space="preserve">C. En este caso se debe completar el estudio con una nueva colonoscopia o una rectosigmoidoscopia con toma de biopsias y se deben descartar infecciones por citomegalovirus (CMV) o Clostridium.</t>
  </si>
  <si>
    <t xml:space="preserve">Context IDs: illes-balears-2022-base-caso-5, illes-balears-2022-caso-5-transition-01  |  Source exam PDF page: 36</t>
  </si>
  <si>
    <t xml:space="preserve">ITEM 102  ·  Illes Balears 2022  ·  illes-balears/2022 / Q105  ·  Named clinical-case section</t>
  </si>
  <si>
    <t xml:space="preserve">CLINICAL CONTEXT
[CLINICAL TRANSITION: illes-balears-2022-caso-5-transition-02]
En el caso presentado se hizo una colonoscopia completa que mostró una progresión a pancolitis ulcerosa, se asumió el diagnóstico de brote moderado severo y se controló de manera ambulatoria.</t>
  </si>
  <si>
    <t xml:space="preserve">En esta situación, señale la afirmación falsa:</t>
  </si>
  <si>
    <t xml:space="preserve">A. Los corticoides sistémicos vía oral deben ser la primera opción de tratamiento con un fuerte grado de recomendación en las guías de la European Crohn and Colitis Organization (ECCO) fundamentado en un nivel alto de evidencia en la literatura.</t>
  </si>
  <si>
    <t xml:space="preserve">B. Infliximab, adalimumab y golimumab no muestran diferencias significativas entre ellos y son recomendados como primera opción tras un fallo o una intolerancia a los esteroides.</t>
  </si>
  <si>
    <t xml:space="preserve">C. Vedolizumab, tofacitinib y ustekinumab están indicados para inducir la remisión en determinados supuestos.</t>
  </si>
  <si>
    <t xml:space="preserve">D. El ustekinumab inhibe la bioactividad de las interleuquinas humanas 12 y 23.</t>
  </si>
  <si>
    <t xml:space="preserve">Context IDs: illes-balears-2022-base-caso-5, illes-balears-2022-caso-5-transition-01, illes-balears-2022-caso-5-transition-02  |  Source exam PDF page: 36</t>
  </si>
  <si>
    <t xml:space="preserve">ITEM 103  ·  Illes Balears 2022  ·  illes-balears/2022 / Q106  ·  Named clinical-case section</t>
  </si>
  <si>
    <t xml:space="preserve">CLINICAL CONTEXT
CONTINUES THE ACTIVE CONTEXT: illes-balears-2022-base-caso-5 → illes-balears-2022-caso-5-transition-01 → illes-balears-2022-caso-5-transition-02</t>
  </si>
  <si>
    <t xml:space="preserve">En caso de inducir la remisión con esteroides, ¿qué opción de tratamiento es la adecuada para mantener la remisión?</t>
  </si>
  <si>
    <t xml:space="preserve">A. Mesalazina oral con dosis bajas de esteroides sistémicos.</t>
  </si>
  <si>
    <t xml:space="preserve">B. Tiopurinas.</t>
  </si>
  <si>
    <t xml:space="preserve">C. Fármacos anti-TNF.</t>
  </si>
  <si>
    <t xml:space="preserve">D. Las respuestas b) y c) son correctas.</t>
  </si>
  <si>
    <t xml:space="preserve">ITEM 104  ·  Illes Balears 2022  ·  illes-balears/2022 / Q107  ·  Named clinical-case section</t>
  </si>
  <si>
    <t xml:space="preserve">En caso de necesitar cualquiera de los fármacos indicados para inducir la remisión tras el fracaso a los esteroides, ¿cuál de las siguientes afirmaciones es falsa respecto al tratamiento de continuación?</t>
  </si>
  <si>
    <t xml:space="preserve">A. Se aconseja mantener el tratamiento que ha conseguido inducir la remisión.</t>
  </si>
  <si>
    <t xml:space="preserve">B. Para inducir la remisión, vedolizumab es superior a cualquier anti-TNF.</t>
  </si>
  <si>
    <t xml:space="preserve">C. Factores como la edad, antecedentes personales o comorbilidades (cardiopatía, neoplasias o infecciones graves) deben tenerse en cuenta a la hora de decidir el tratamiento para inducir la remisión y el mantenimiento en la CU moderada-grave.</t>
  </si>
  <si>
    <t xml:space="preserve">D. En el caso de los fármacos anti-TNF se aconseja añadir tiopurinas para mejorar la respuesta y la duración del tratamiento.</t>
  </si>
  <si>
    <t xml:space="preserve">Context IDs: illes-balears-2022-base-caso-5, illes-balears-2022-caso-5-transition-01, illes-balears-2022-caso-5-transition-02  |  Source exam PDF page: 37</t>
  </si>
  <si>
    <t xml:space="preserve">ITEM 105  ·  Illes Balears 2022  ·  illes-balears/2022 / Q108  ·  Named clinical-case section</t>
  </si>
  <si>
    <t xml:space="preserve">Señale la respuesta correcta respecto a los fármacos aprobados en la actualidad para el tratamiento de mantenimiento de la CU:</t>
  </si>
  <si>
    <t xml:space="preserve">A. Se dispone de evidencia científica para afirmar que los fármacos anti-TNF son mejores para inducir la remisión y mantener la respuesta que vedolizumab, ustekinumab y tofacitinib.</t>
  </si>
  <si>
    <t xml:space="preserve">B. El perfil de seguridad de tofacitinib es superior a vedolizumab y ustekinumab.</t>
  </si>
  <si>
    <t xml:space="preserve">C. Vedolizumab y ustekinumab tienen menos riesgo de infecciones graves que los anti-TNF.</t>
  </si>
  <si>
    <t xml:space="preserve">D. Ninguna de las respuestas anteriores es correcta.</t>
  </si>
  <si>
    <t xml:space="preserve">ITEM 106  ·  Illes Balears 2022  ·  illes-balears/2022 / Q109  ·  Named clinical-case section</t>
  </si>
  <si>
    <t xml:space="preserve">CLINICAL CONTEXT
[CLINICAL TRANSITION: illes-balears-2022-caso-5-transition-03]
El paciente recibió un tratamiento con adalimumab para conseguir la remisión y se pautó como tratamiento de mantenimiento. Se le asoció, inicialmente, azatioprina que fue retirada por un episodio de pancreatitis leve.</t>
  </si>
  <si>
    <t xml:space="preserve">Ante un alto grado de sospecha de colangitis esclerosante primaria (CEP), ¿cuál debe ser la actitud?</t>
  </si>
  <si>
    <t xml:space="preserve">A. Hacer una ecografía y, en caso de ausencia de datos sugestivos, hacer controles analíticos ambulatorios y valorar otra exploración si la colestasis progresa.</t>
  </si>
  <si>
    <t xml:space="preserve">B. Hacer una ecografía y si es normal solicitar un estudio con colangioresonancia. Si no hay lesiones hay que hacer un seguimiento ambulatorio.</t>
  </si>
  <si>
    <t xml:space="preserve">C. Hacer una ecografía y si es normal solicitar un estudio con colangioresonancia. Si no hay lesiones debe hacerse una colangiografía retrograda endoscópica.</t>
  </si>
  <si>
    <t xml:space="preserve">D. Si la ecografía y la colangioresonancia son normales debe hacerse una biopsia hepática.</t>
  </si>
  <si>
    <t xml:space="preserve">Context IDs: illes-balears-2022-base-caso-5, illes-balears-2022-caso-5-transition-01, illes-balears-2022-caso-5-transition-02, illes-balears-2022-caso-5-transition-03  |  Source exam PDF page: 38</t>
  </si>
  <si>
    <t xml:space="preserve">ITEM 107  ·  Illes Balears 2022  ·  illes-balears/2022 / Q110  ·  Named clinical-case section</t>
  </si>
  <si>
    <t xml:space="preserve">CLINICAL CONTEXT
CONTINUES THE ACTIVE CONTEXT: illes-balears-2022-base-caso-5 → illes-balears-2022-caso-5-transition-01 → illes-balears-2022-caso-5-transition-02 → illes-balears-2022-caso-5-transition-03</t>
  </si>
  <si>
    <t xml:space="preserve">A. La localización y la extensión de la CU asociada a la CEP es distinta a la de la CU sin CEP.</t>
  </si>
  <si>
    <t xml:space="preserve">B. Se recomienda a los pacientes diagnosticados de CEP hacer una colonoileoscopia con toma de muestra para biopsia a pesar de la ausencia de lesiones macroscópicas dado que entre el 50 % y el 80 % están afectos también de dicha enfermedad inflamatoria intestinal.</t>
  </si>
  <si>
    <t xml:space="preserve">C. Los fármacos anti-TNF utilizados en los pacientes con CU y CEP han demostrado una mejoría en la colestasis crónica y en la evolución de la CEP.</t>
  </si>
  <si>
    <t xml:space="preserve">D. El riesgo de cáncer de colon aumenta de forma significativa en la CU asociada a CEP.</t>
  </si>
  <si>
    <t xml:space="preserve">ITEM 108  ·  Illes Balears 2022  ·  illes-balears/2022 / Q111  ·  Named clinical-case section</t>
  </si>
  <si>
    <t xml:space="preserve">CLINICAL CONTEXT — PART 1/2
[CLINICAL TRANSITION: illes-balears-2022-caso-5-transition-04]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t>
  </si>
  <si>
    <t xml:space="preserve">CLINICAL CONTEXT — PART 2/2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</si>
  <si>
    <t xml:space="preserve">Señale la afirmación verdadera en referencia a los diferentes índices o escalas clínicas y/o endoscópicas para establecer el grado de actividad de la CU:</t>
  </si>
  <si>
    <t xml:space="preserve">A. A pesar de su uso generalizado, ningún índice clínico ha sido validado.</t>
  </si>
  <si>
    <t xml:space="preserve">B. El índice de Mayo es ampliamente usado por su aplicación fácil e incluye variables clínicas y endoscópicas.</t>
  </si>
  <si>
    <t xml:space="preserve">C. Según el índice de Mayo es de un grado de actividad moderado.</t>
  </si>
  <si>
    <t xml:space="preserve">Context IDs: illes-balears-2022-base-caso-5, illes-balears-2022-caso-5-transition-01, illes-balears-2022-caso-5-transition-02, illes-balears-2022-caso-5-transition-03, illes-balears-2022-caso-5-transition-04  |  Source exam PDF page: 39</t>
  </si>
  <si>
    <t xml:space="preserve">ITEM 109  ·  Illes Balears 2022  ·  illes-balears/2022 / Q112  ·  Named clinical-case section</t>
  </si>
  <si>
    <t xml:space="preserve">CLINICAL CONTEXT
CONTINUES THE ACTIVE CONTEXT: illes-balears-2022-base-caso-5 → illes-balears-2022-caso-5-transition-01 → illes-balears-2022-caso-5-transition-02 → illes-balears-2022-caso-5-transition-03 → illes-balears-2022-caso-5-transition-04</t>
  </si>
  <si>
    <t xml:space="preserve">Señale la afirmación falsa en referencia a la relación de la CU con el citomegalovirus:</t>
  </si>
  <si>
    <t xml:space="preserve">A. Según diferentes estudios, en un 5 % de los pacientes con CU se detecta la presencia de CMV en la mucosa colónica.</t>
  </si>
  <si>
    <t xml:space="preserve">B. El mejor método diagnóstico para el CMV en la colitis ulcerosa es la PCR o la inmunohistoquímica específica para CMV en tejido colónico.</t>
  </si>
  <si>
    <t xml:space="preserve">C. La edad avanzada, la colitis extensa y la exposición a corticoides o tiopurinas son factores de riesgo para la colitis por CMV.</t>
  </si>
  <si>
    <t xml:space="preserve">D. La infección por CMV es más frecuente en pacientes con colitis ulcerosa que en los afectos por la enfermedad de Crohn.</t>
  </si>
  <si>
    <t xml:space="preserve">ITEM 110  ·  Illes Balears 2022  ·  illes-balears/2022 / Q113  ·  Named clinical-case section</t>
  </si>
  <si>
    <t xml:space="preserve">En el caso clínico comentado, la biopsia mostró índice de Rutter 3. La inmunohistoquímica para CMV fue negativa y la PCR para CMV positiva. Señale la afirmación correcta:</t>
  </si>
  <si>
    <t xml:space="preserve">A. La disparidad de los resultados respecto a una infección por CMV obliga a repetir la toma de muestras y a hacer un nuevo estudio histológico y microbiológico.</t>
  </si>
  <si>
    <t xml:space="preserve">B. Debe asumirse la reactivación de CMV y debe añadirse al tratamiento valganciclovir vía oral durante seis semanas.</t>
  </si>
  <si>
    <t xml:space="preserve">C. Debe asumirse una infección crónica por CMV sin influencia en la actividad inflamatoria y únicamente debe tratarse el brote de colitis.</t>
  </si>
  <si>
    <t xml:space="preserve">D. Debe asumirse una infección crónica por CMV, no debe tratarse la infección pero debe suspenderse el tratamiento anti-TNF para evitar la reactivación.</t>
  </si>
  <si>
    <t xml:space="preserve">Context IDs: illes-balears-2022-base-caso-5, illes-balears-2022-caso-5-transition-01, illes-balears-2022-caso-5-transition-02, illes-balears-2022-caso-5-transition-03, illes-balears-2022-caso-5-transition-04  |  Source exam PDF page: 40</t>
  </si>
  <si>
    <t xml:space="preserve">ITEM 111  ·  Illes Balears 2022  ·  illes-balears/2022 / Q114  ·  Named clinical-case section</t>
  </si>
  <si>
    <t xml:space="preserve">Señale la afirmación verdadera en referencia a la reactivación de la CU en este paciente:</t>
  </si>
  <si>
    <t xml:space="preserve">A. Probablemente sea una colitis por reactivación del CMV.</t>
  </si>
  <si>
    <t xml:space="preserve">B. El tratamiento con anti-TNF ha perdido eficacia, situación que se da en el 90 % de los casos en el primer año de tratamiento si no se asocia a tiopurinas.</t>
  </si>
  <si>
    <t xml:space="preserve">C. La pérdida de eficacia de la combinación con anti-TNF más tiopurinas antes del año de inicio del tratamiento se da en menos del 1 % de los casos.</t>
  </si>
  <si>
    <t xml:space="preserve">D. La presencia del CMV empeora el pronóstico de la colitis ulcerosa.</t>
  </si>
  <si>
    <t xml:space="preserve">ITEM 112  ·  Illes Balears 2022  ·  illes-balears/2022 / Q115  ·  Named clinical-case section</t>
  </si>
  <si>
    <t xml:space="preserve">Si se asume que ha habido una pérdida de eficacia del tratamiento de mantenimiento, ¿qué actitud es la adecuada?</t>
  </si>
  <si>
    <t xml:space="preserve">A. Debe iniciarse el tratamiento con esteroides orales, debe suspenderse el adalimumab y debe iniciarse el tratamiento con infliximab para inducir de nuevo la remisión.</t>
  </si>
  <si>
    <t xml:space="preserve">B. Si se dispone de niveles de fármaco y títulos de anticuerpos contra el fármaco debe intensificarse el tratamiento en caso de niveles bajos de fármaco y ausencia de anticuerpos contra el fármaco.</t>
  </si>
  <si>
    <t xml:space="preserve">C. Con presencia de anticuerpos antiadalimumab y niveles bajos del fármaco, debe insistirse en el adalimumab intensificando y debe añadirse el tacrolimus como inmunosupresor.</t>
  </si>
  <si>
    <t xml:space="preserve">D. Todas las respuestas anteriores son adecuadas.</t>
  </si>
  <si>
    <t xml:space="preserve">ITEM 113  ·  Illes Balears 2022  ·  illes-balears/2022 / Q116  ·  Named clinical-case section</t>
  </si>
  <si>
    <t xml:space="preserve">Señale la respuesta correcta en caso de cambio de tratamiento:</t>
  </si>
  <si>
    <t xml:space="preserve">A. El infliximab debe ser la primera opción ya que tendría un 75 % de posibilidades de recuperar la respuesta.</t>
  </si>
  <si>
    <t xml:space="preserve">B. El cambio de diana terapéutica tendría más posibilidades de éxito.</t>
  </si>
  <si>
    <t xml:space="preserve">C. Se ha de iniciar el vedolizumab porqué se ha demostrado que es más eficaz que ustekinumab.</t>
  </si>
  <si>
    <t xml:space="preserve">D. Las respuestas b) y c) son ciertas.</t>
  </si>
  <si>
    <t xml:space="preserve">Context IDs: illes-balears-2022-base-caso-5, illes-balears-2022-caso-5-transition-01, illes-balears-2022-caso-5-transition-02, illes-balears-2022-caso-5-transition-03, illes-balears-2022-caso-5-transition-04  |  Source exam PDF page: 41</t>
  </si>
  <si>
    <t xml:space="preserve">ITEM 114  ·  Illes Balears 2022  ·  illes-balears/2022 / Q117  ·  Named clinical-case section</t>
  </si>
  <si>
    <t xml:space="preserve">Señale la respuesta correcta respecto al manejo hospitalario de la colitis ulcerosa grave:</t>
  </si>
  <si>
    <t xml:space="preserve">A. Están indicados los antibióticos de amplio espectro en todos los pacientes.</t>
  </si>
  <si>
    <t xml:space="preserve">B. Debe administrarse profilaxis para tromboembolismo venoso en todos los pacientes.</t>
  </si>
  <si>
    <t xml:space="preserve">C. La dieta absoluta con nutrición parenteral está indicada en todos los pacientes.</t>
  </si>
  <si>
    <t xml:space="preserve">ITEM 115  ·  Illes Balears 2022  ·  illes-balears/2022 / Q118  ·  Named clinical-case section</t>
  </si>
  <si>
    <t xml:space="preserve">Señale la afirmación verdadera respecto al tratamiento médico de la colitis ulcerosa grave:</t>
  </si>
  <si>
    <t xml:space="preserve">A. Los esteroides sistémicos son el tratamiento inicial y se debe añadir una segunda línea de tratamiento si no hay respuesta siete días después de iniciar el tratamiento esteroideo.</t>
  </si>
  <si>
    <t xml:space="preserve">B. En caso de requerir una segunda línea debe indicarse infliximab porqué ha demostrado que es más eficaz y seguro que la ciclosporina en estos pacientes.</t>
  </si>
  <si>
    <t xml:space="preserve">C. Si a los cinco días de la primera dosis de infliximab no hay respuesta, se debe administrar una segunda dosis a 10 mg/kg.</t>
  </si>
  <si>
    <t xml:space="preserve">D. La ciclosporina siempre es la primera elección en caso de fracaso de los esteroides.</t>
  </si>
  <si>
    <t xml:space="preserve">ITEM 116  ·  Illes Balears 2022  ·  illes-balears/2022 / Q119  ·  Named clinical-case section</t>
  </si>
  <si>
    <t xml:space="preserve">¿Qué factor de riesgo de la colitis ulcerosa no se ha asociado a un aumento del riesgo?</t>
  </si>
  <si>
    <t xml:space="preserve">A. Gastroenteritis.</t>
  </si>
  <si>
    <t xml:space="preserve">B. Privación de sueño.</t>
  </si>
  <si>
    <t xml:space="preserve">C. Apendicetomía.</t>
  </si>
  <si>
    <t xml:space="preserve">D. Fármacos como AINES, antibióticos o anticonceptivos orales.</t>
  </si>
  <si>
    <t xml:space="preserve">Context IDs: illes-balears-2022-base-caso-5, illes-balears-2022-caso-5-transition-01, illes-balears-2022-caso-5-transition-02, illes-balears-2022-caso-5-transition-03, illes-balears-2022-caso-5-transition-04  |  Source exam PDF page: 42</t>
  </si>
  <si>
    <t xml:space="preserve">ITEM 117  ·  Illes Balears 2022  ·  illes-balears/2022 / Q120  ·  Named clinical-case section</t>
  </si>
  <si>
    <t xml:space="preserve">Señale la respuesta correcta en referencia a la historia natural de la colitis ulcerosa:</t>
  </si>
  <si>
    <t xml:space="preserve">A. Entre un 20 % y un 30 % de los pacientes de CU requerirán una colectomía por complicaciones agudas o por fracaso del tratamiento médico.</t>
  </si>
  <si>
    <t xml:space="preserve">B. La apendicetomía en pacientes jóvenes previa al diagnóstico de la CU se ha asociado a un riesgo inferior de colectomía.</t>
  </si>
  <si>
    <t xml:space="preserve">C. La curación mucosa conseguida con un tratamiento médico se asocia a un menor riesgo de colectomía.</t>
  </si>
  <si>
    <t xml:space="preserve">ITEM 118  ·  Illes Balears 2022  ·  illes-balears/2022 / Q121  ·  Named clinical-case section</t>
  </si>
  <si>
    <t xml:space="preserve">CLINICAL CONTEXT — PART 1/5
[BASE CLINICAL CONTEXT: illes-balears-2022-base-caso-6]
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t>
  </si>
  <si>
    <t xml:space="preserve">CLINICAL CONTEXT — PART 2/5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t>
  </si>
  <si>
    <t xml:space="preserve">CLINICAL CONTEXT — PART 3/5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t>
  </si>
  <si>
    <t xml:space="preserve">CLINICAL CONTEXT — PART 4/5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t>
  </si>
  <si>
    <t xml:space="preserve">CLINICAL CONTEXT — PART 5/5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</si>
  <si>
    <t xml:space="preserve">¿Qué prueba diagnóstica hay que hacer en este momento, en primer lugar?</t>
  </si>
  <si>
    <t xml:space="preserve">A. Paracentesis diagnóstica.</t>
  </si>
  <si>
    <t xml:space="preserve">B. Paracentesis evacuadora.</t>
  </si>
  <si>
    <t xml:space="preserve">Context IDs: illes-balears-2022-base-caso-6  |  Source exam PDF page: 44</t>
  </si>
  <si>
    <t xml:space="preserve">ITEM 119  ·  Illes Balears 2022  ·  illes-balears/2022 / Q122  ·  Named clinical-case section</t>
  </si>
  <si>
    <t xml:space="preserve">CLINICAL CONTEXT
CONTINUES THE ACTIVE CONTEXT: illes-balears-2022-base-caso-6</t>
  </si>
  <si>
    <t xml:space="preserve">¿Qué determinaciones hay que hacer siempre en una paracentesis en una ascitis de debut?</t>
  </si>
  <si>
    <t xml:space="preserve">A. Determinación de glucosa, proteínas, albúmina y lactato-deshidrogenasa (LDH).</t>
  </si>
  <si>
    <t xml:space="preserve">B. Recuento de células (hematíes y leucocitos con recuento diferencial).</t>
  </si>
  <si>
    <t xml:space="preserve">C. Cultivo en un frasco de hemocultivo.</t>
  </si>
  <si>
    <t xml:space="preserve">ITEM 120  ·  Illes Balears 2022  ·  illes-balears/2022 / Q123  ·  Named clinical-case section</t>
  </si>
  <si>
    <t xml:space="preserve">CLINICAL CONTEXT
[CLINICAL TRANSITION: illes-balears-2022-caso-6-transition-01]
Se hace una paracentesis (diagnóstica y evacuadora), y se obtienen 6.000 ml de ascitis.
Análisis del líquido ascítico:
- Glucosa: 120 mg/dl.
- Proteínas: 1,0 g/dl.
- Albúmina: 0,8 g/dl.
- LDH: 40 ui/ml.
- Hematíes: 100 /mm³.
- Leucocitos: 220 /mm³.</t>
  </si>
  <si>
    <t xml:space="preserve">¿Qué cálculos hay que hacer con los resultados de este análisis del líquido ascítico?</t>
  </si>
  <si>
    <t xml:space="preserve">A. Hay que calcular el gradiente de albúmina entre suero y ascitis (GASA) para determinar si la ascitis es por hipertensión (HT) portal.</t>
  </si>
  <si>
    <t xml:space="preserve">B. Hay que fijarse en el recuento de leucocitos polinucleares para valorar si el líquido está infectado.</t>
  </si>
  <si>
    <t xml:space="preserve">C. Las respuestas a) y b) son correctas.</t>
  </si>
  <si>
    <t xml:space="preserve">Context IDs: illes-balears-2022-base-caso-6, illes-balears-2022-caso-6-transition-01  |  Source exam PDF page: 44</t>
  </si>
  <si>
    <t xml:space="preserve">ITEM 121  ·  Illes Balears 2022  ·  illes-balears/2022 / Q124  ·  Named clinical-case section</t>
  </si>
  <si>
    <t xml:space="preserve">CLINICAL CONTEXT
CONTINUES THE ACTIVE CONTEXT: illes-balears-2022-base-caso-6 → illes-balears-2022-caso-6-transition-01</t>
  </si>
  <si>
    <t xml:space="preserve">Calcule el GASA en este paciente. ¿Qué significa en este paciente el resultado del cálculo del GASA?</t>
  </si>
  <si>
    <t xml:space="preserve">A. Que la ascitis no está causada por una enfermedad neoplásica.</t>
  </si>
  <si>
    <t xml:space="preserve">B. Que la ascitis no está causada por hipertensión portal.</t>
  </si>
  <si>
    <t xml:space="preserve">C. Que la ascitis está causada por hipertensión portal.</t>
  </si>
  <si>
    <t xml:space="preserve">Context IDs: illes-balears-2022-base-caso-6, illes-balears-2022-caso-6-transition-01  |  Source exam PDF page: 45</t>
  </si>
  <si>
    <t xml:space="preserve">ITEM 122  ·  Illes Balears 2022  ·  illes-balears/2022 / Q125  ·  Named clinical-case section</t>
  </si>
  <si>
    <t xml:space="preserve">¿Qué significa el recuento de leucocitos en la ascitis, en este paciente?</t>
  </si>
  <si>
    <t xml:space="preserve">A. Que tiene una peritonitis bacteriana espontánea.</t>
  </si>
  <si>
    <t xml:space="preserve">B. Que tiene una peritonitis bacteriana secundaria.</t>
  </si>
  <si>
    <t xml:space="preserve">C. Que tiene una bacterioascitis.</t>
  </si>
  <si>
    <t xml:space="preserve">D. Que no tiene una peritonitis bacteriana espontánea.</t>
  </si>
  <si>
    <t xml:space="preserve">ITEM 123  ·  Illes Balears 2022  ·  illes-balears/2022 / Q126  ·  Named clinical-case section</t>
  </si>
  <si>
    <t xml:space="preserve">¿Qué tratamiento hay que administrar siempre tras una paracentesis evacuadora para prevenir la disfunción circulatoria y la insuficiencia renal posparacentesis?</t>
  </si>
  <si>
    <t xml:space="preserve">A. Albúmina IV siempre.</t>
  </si>
  <si>
    <t xml:space="preserve">B. Albúmina IV, pero solo en caso de que en la paracentesis se evacúen más de cinco litros de ascitis.</t>
  </si>
  <si>
    <t xml:space="preserve">C. Expansores del plasma siempre.</t>
  </si>
  <si>
    <t xml:space="preserve">D. Expansores del plasma, pero solo en caso de que en la paracentesis se evacúen más de cinco litros de ascitis.</t>
  </si>
  <si>
    <t xml:space="preserve">ITEM 124  ·  Illes Balears 2022  ·  illes-balears/2022 / Q127  ·  Named clinical-case section</t>
  </si>
  <si>
    <t xml:space="preserve">¿Qué dosis de albúmina se recomienda actualmente para prevenir la disfunción circulatoria y la insuficiencia renal posparacentesis?</t>
  </si>
  <si>
    <t xml:space="preserve">A. Depende del nivel de albúmina en sangre del paciente.</t>
  </si>
  <si>
    <t xml:space="preserve">B. 8 g de albúmina por litro de ascitis evacuado.</t>
  </si>
  <si>
    <t xml:space="preserve">C. Depende de la función renal del paciente.</t>
  </si>
  <si>
    <t xml:space="preserve">ITEM 125  ·  Illes Balears 2022  ·  illes-balears/2022 / Q128  ·  Named clinical-case section</t>
  </si>
  <si>
    <t xml:space="preserve">¿Cómo hay que interpretar el consumo diario habitual de alcohol de este paciente?</t>
  </si>
  <si>
    <t xml:space="preserve">A. El paciente bebe una cantidad de alcohol moderada que no supone un riesgo significativo para su salud.</t>
  </si>
  <si>
    <t xml:space="preserve">B. El paciente bebe una cantidad de alcohol excesiva que supone un riesgo significativo de patología orgánica relacionada con el alcohol.</t>
  </si>
  <si>
    <t xml:space="preserve">C. El paciente bebe una cantidad de alcohol posiblemente excesiva, pero el riesgo de patología orgánica relacionada con el alcohol depende de su peso y de su comorbilidad.</t>
  </si>
  <si>
    <t xml:space="preserve">D. Con los datos actuales no podemos juzgar si el consumo de alcohol de este paciente es excesivo o no.</t>
  </si>
  <si>
    <t xml:space="preserve">Context IDs: illes-balears-2022-base-caso-6, illes-balears-2022-caso-6-transition-01  |  Source exam PDF page: 46</t>
  </si>
  <si>
    <t xml:space="preserve">ITEM 126  ·  Illes Balears 2022  ·  illes-balears/2022 / Q129  ·  Named clinical-case section</t>
  </si>
  <si>
    <t xml:space="preserve">¿Qué diagnóstico de enfermedad hepática se puede hacer en este momento con estos datos clínicos?</t>
  </si>
  <si>
    <t xml:space="preserve">A. Ascitis por HT portal y edema.</t>
  </si>
  <si>
    <t xml:space="preserve">B. Cirrosis hepática con HT portal y etiología de la cirrosis por determinar.</t>
  </si>
  <si>
    <t xml:space="preserve">C. Insuficiencia hepática: coagulación (actividad de protrombina) alterada.</t>
  </si>
  <si>
    <t xml:space="preserve">ITEM 127  ·  Illes Balears 2022  ·  illes-balears/2022 / Q130  ·  Named clinical-case section</t>
  </si>
  <si>
    <t xml:space="preserve">¿Qué tratamiento se debe iniciar en este caso?</t>
  </si>
  <si>
    <t xml:space="preserve">A. Abstinencia absoluta de alcohol.</t>
  </si>
  <si>
    <t xml:space="preserve">B. Dieta baja en sal.</t>
  </si>
  <si>
    <t xml:space="preserve">C. Espironolactona, asociada o no a furosemida.</t>
  </si>
  <si>
    <t xml:space="preserve">ITEM 128  ·  Illes Balears 2022  ·  illes-balears/2022 / Q131  ·  Named clinical-case section</t>
  </si>
  <si>
    <t xml:space="preserve">¿Qué otras pruebas hay que hacer a partir de ahora para completar el estudio de la hepatopatía?</t>
  </si>
  <si>
    <t xml:space="preserve">A. Gastroscopia.</t>
  </si>
  <si>
    <t xml:space="preserve">B. Estudio etiológico de la hepatopatía.</t>
  </si>
  <si>
    <t xml:space="preserve">C. Elastografía (Fibroscan®).</t>
  </si>
  <si>
    <t xml:space="preserve">ITEM 129  ·  Illes Balears 2022  ·  illes-balears/2022 / Q132  ·  Named clinical-case section</t>
  </si>
  <si>
    <t xml:space="preserve">¿Qué scores hay que utilizar en este caso para evaluar la gravedad de la enfermedad hepática?</t>
  </si>
  <si>
    <t xml:space="preserve">A. Child-Pugh.</t>
  </si>
  <si>
    <t xml:space="preserve">B. MELD score.</t>
  </si>
  <si>
    <t xml:space="preserve">C. MELD-Na score.</t>
  </si>
  <si>
    <t xml:space="preserve">Context IDs: illes-balears-2022-base-caso-6, illes-balears-2022-caso-6-transition-01  |  Source exam PDF page: 47</t>
  </si>
  <si>
    <t xml:space="preserve">ITEM 130  ·  Illes Balears 2022  ·  illes-balears/2022 / Q133  ·  Named clinical-case section</t>
  </si>
  <si>
    <t xml:space="preserve">¿Qué pruebas serológicas son necesarias en primer lugar para investigar si la hepatopatía crónica de este paciente es de causa vírica?</t>
  </si>
  <si>
    <t xml:space="preserve">A. HBsAg, anti-HBc, anti-VHC.</t>
  </si>
  <si>
    <t xml:space="preserve">B. HBsAg, anti-VHC, RNA VHC.</t>
  </si>
  <si>
    <t xml:space="preserve">C. Anti-HBs, anti-VHC anti-VHD.</t>
  </si>
  <si>
    <t xml:space="preserve">D. HBsAg, anti-VHC, anti-VHD.</t>
  </si>
  <si>
    <t xml:space="preserve">ITEM 131  ·  Illes Balears 2022  ·  illes-balears/2022 / Q134  ·  Named clinical-case section</t>
  </si>
  <si>
    <t xml:space="preserve">¿Qué probabilidad hay de que este paciente tenga hepatitis alcohólica?</t>
  </si>
  <si>
    <t xml:space="preserve">A. Seguro que no la tiene porque no tiene ictericia.</t>
  </si>
  <si>
    <t xml:space="preserve">B. Es posible pero si la tiene es una hepatitis alcohólica sin criterios de gravedad, porque no tiene ictericia y la alteración de la coagulación es moderada.</t>
  </si>
  <si>
    <t xml:space="preserve">C. Es muy probable porque bebe mucho alcohol.</t>
  </si>
  <si>
    <t xml:space="preserve">D. Es seguro que tiene hepatitis alcohólica, porque todos los individuos que beben más de 60 g de alcohol al día tienen siempre cierto grado de hepatitis alcohólica.</t>
  </si>
  <si>
    <t xml:space="preserve">ITEM 132  ·  Illes Balears 2022  ·  illes-balears/2022 / Q135  ·  Named clinical-case section</t>
  </si>
  <si>
    <t xml:space="preserve">Si tuviese una hepatitis alcohólica, ¿qué afirmación sería falsa?</t>
  </si>
  <si>
    <t xml:space="preserve">A. Hay que recomendar abstinencia total y definitiva de alcohol.</t>
  </si>
  <si>
    <t xml:space="preserve">B. Hay que asegurar un aporte nutricional y vitamínico adecuado.</t>
  </si>
  <si>
    <t xml:space="preserve">C. Hay que iniciar un tratamiento con corticoides.</t>
  </si>
  <si>
    <t xml:space="preserve">D. Hay que valorar la gravedad de la hepatitis alcohólica mediante scores específicos antes de valorar el tratamiento que necesita.</t>
  </si>
  <si>
    <t xml:space="preserve">ITEM 133  ·  Illes Balears 2022  ·  illes-balears/2022 / Q136  ·  Named clinical-case section</t>
  </si>
  <si>
    <t xml:space="preserve">Se repite la analítica en este paciente para descartar una enfermedad hepática autoinmune o metabólica. Se detecta ferritina 350 ng/ml y un índice de saturación de transferrina del 33 %. El resto de las determinaciones metabólicas e inmunológicas son negativas. Señale la afirmación correcta:</t>
  </si>
  <si>
    <t xml:space="preserve">A. Este paciente tiene una sobrecarga patológica de hierro por hemocromatosis.</t>
  </si>
  <si>
    <t xml:space="preserve">B. Hay que hacer el test genético (detección de mutaciones C282Y y H63D) para confirmar la sospecha de hemocromatosis hereditaria.</t>
  </si>
  <si>
    <t xml:space="preserve">C. Estos análisis no sugieren que el paciente tiene hemocromatosis.</t>
  </si>
  <si>
    <t xml:space="preserve">D. Para confirmar si tiene hemocromatosis hay que hacer una biopsia hepática.</t>
  </si>
  <si>
    <t xml:space="preserve">Context IDs: illes-balears-2022-base-caso-6, illes-balears-2022-caso-6-transition-01  |  Source exam PDF page: 48</t>
  </si>
  <si>
    <t xml:space="preserve">ITEM 134  ·  Illes Balears 2022  ·  illes-balears/2022 / Q137  ·  Named clinical-case section</t>
  </si>
  <si>
    <t xml:space="preserve">Señale la respuesta correcta en caso de que fuese necesario hacer una biopsia hepática en este paciente:</t>
  </si>
  <si>
    <t xml:space="preserve">A. Se puede hacer la biopsia hepática percutánea sin problemas, siempre que sea con control ecográfico.</t>
  </si>
  <si>
    <t xml:space="preserve">B. Para hacer la biopsia hepática percutánea es necesario evacuar la ascitis primero.</t>
  </si>
  <si>
    <t xml:space="preserve">C. Para hacer la biopsia hepática con seguridad es necesario administrar plasma fresco y plaquetas.</t>
  </si>
  <si>
    <t xml:space="preserve">D. En este paciente solo es posible hacer la biopsia hepática por vía transyugular.</t>
  </si>
  <si>
    <t xml:space="preserve">ITEM 135  ·  Illes Balears 2022  ·  illes-balears/2022 / Q138  ·  Named clinical-case section</t>
  </si>
  <si>
    <t xml:space="preserve">CLINICAL CONTEXT
[CLINICAL TRANSITION: illes-balears-2022-caso-6-transition-02]
Se hace una gastroscopia. El paciente tiene varices esofágicas grandes con puntos rojos y gastropatía por HT portal leve-moderada.</t>
  </si>
  <si>
    <t xml:space="preserve">¿Qué tratamiento hay que recomendar en primera instancia al paciente tras la gastroscopia?</t>
  </si>
  <si>
    <t xml:space="preserve">A. Iniciar profilaxis farmacológica con betabloqueantes, si no tiene contraindicación.</t>
  </si>
  <si>
    <t xml:space="preserve">B. Iniciar profilaxis farmacológica con nitritos, si no tiene contraindicación.</t>
  </si>
  <si>
    <t xml:space="preserve">C. Iniciar profilaxis farmacológica con betabloqueantes y nitritos, si no tiene contraindicación.</t>
  </si>
  <si>
    <t xml:space="preserve">D. Se debe hacer una ligadura profiláctica de las varices esofágicas.</t>
  </si>
  <si>
    <t xml:space="preserve">Context IDs: illes-balears-2022-base-caso-6, illes-balears-2022-caso-6-transition-01, illes-balears-2022-caso-6-transition-02  |  Source exam PDF page: 48</t>
  </si>
  <si>
    <t xml:space="preserve">ITEM 136  ·  Illes Balears 2022  ·  illes-balears/2022 / Q139  ·  Named clinical-case section</t>
  </si>
  <si>
    <t xml:space="preserve">CLINICAL CONTEXT
CONTINUES THE ACTIVE CONTEXT: illes-balears-2022-base-caso-6 → illes-balears-2022-caso-6-transition-01 → illes-balears-2022-caso-6-transition-02</t>
  </si>
  <si>
    <t xml:space="preserve">¿Qué medicamento no se utiliza para la profilaxis de la hemorragia por varices esofágicas en el paciente cirrótico?</t>
  </si>
  <si>
    <t xml:space="preserve">A. Propranolol.</t>
  </si>
  <si>
    <t xml:space="preserve">B. Bisoprolol.</t>
  </si>
  <si>
    <t xml:space="preserve">C. Nadolol.</t>
  </si>
  <si>
    <t xml:space="preserve">D. Carvedilol.</t>
  </si>
  <si>
    <t xml:space="preserve">Context IDs: illes-balears-2022-base-caso-6, illes-balears-2022-caso-6-transition-01, illes-balears-2022-caso-6-transition-02  |  Source exam PDF page: 49</t>
  </si>
  <si>
    <t xml:space="preserve">ITEM 137  ·  Illes Balears 2022  ·  illes-balears/2022 / Q140  ·  Named clinical-case section</t>
  </si>
  <si>
    <t xml:space="preserve">CLINICAL CONTEXT — PART 1/2
[CLINICAL TRANSITION: illes-balears-2022-caso-6-transition-03]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t>
  </si>
  <si>
    <t xml:space="preserve">CLINICAL CONTEXT — PART 2/2
Análisis del líquido ascítico:
- Glucosa: 110 mg/dl
- Proteínas: 1,1 g/dl
- Albúmina: 0,9 g/dl
- LDH: 60 ui/ml
- Hematíes: 200 /mm3
- Leucocitos: 500 /mm3 (LPN: 90 %)</t>
  </si>
  <si>
    <t xml:space="preserve">¿Cómo se interpreta este resultado?</t>
  </si>
  <si>
    <t xml:space="preserve">A. Tiene ascitis transudativa no complicada.</t>
  </si>
  <si>
    <t xml:space="preserve">B. Tiene peritonitis bacteriana espontánea (PBE).</t>
  </si>
  <si>
    <t xml:space="preserve">C. Tiene peritonitis bacteriana secundaria.</t>
  </si>
  <si>
    <t xml:space="preserve">D. Tiene bacterioascitis.</t>
  </si>
  <si>
    <t xml:space="preserve">Context IDs: illes-balears-2022-base-caso-6, illes-balears-2022-caso-6-transition-01, illes-balears-2022-caso-6-transition-02, illes-balears-2022-caso-6-transition-03  |  Source exam PDF page: 49</t>
  </si>
  <si>
    <t xml:space="preserve">ITEM 138  ·  Illes Balears 2022  ·  illes-balears/2022 / Q141  ·  Named clinical-case section</t>
  </si>
  <si>
    <t xml:space="preserve">CLINICAL CONTEXT
CONTINUES THE ACTIVE CONTEXT: illes-balears-2022-base-caso-6 → illes-balears-2022-caso-6-transition-01 → illes-balears-2022-caso-6-transition-02 → illes-balears-2022-caso-6-transition-03</t>
  </si>
  <si>
    <t xml:space="preserve">¿Qué hay que hacer a partir de este momento?</t>
  </si>
  <si>
    <t xml:space="preserve">A. Debe remitirse una muestra de ascitis para cultivo (en frasco de hemocultivo).</t>
  </si>
  <si>
    <t xml:space="preserve">B. Deben cursarse hemocultivos.</t>
  </si>
  <si>
    <t xml:space="preserve">C. Se debe esperar a los resultados de los cultivos para decidir si está indicado iniciar un tratamiento antibiótico</t>
  </si>
  <si>
    <t xml:space="preserve">Context IDs: illes-balears-2022-base-caso-6, illes-balears-2022-caso-6-transition-01, illes-balears-2022-caso-6-transition-02, illes-balears-2022-caso-6-transition-03  |  Source exam PDF page: 50</t>
  </si>
  <si>
    <t xml:space="preserve">ITEM 139  ·  Illes Balears 2022  ·  illes-balears/2022 / Q142  ·  Named clinical-case section</t>
  </si>
  <si>
    <t xml:space="preserve">¿Qué tratamiento hay que iniciar tras este diagnóstico?</t>
  </si>
  <si>
    <t xml:space="preserve">A. Cefalosporina de 3ª generación, IV, al menos siete días.</t>
  </si>
  <si>
    <t xml:space="preserve">B. Albúmina IV, 1,5 g/kg en el primer día y 1 g/kg en el tercer día de tratamiento.</t>
  </si>
  <si>
    <t xml:space="preserve">C. Suspensión del tratamiento diurético.</t>
  </si>
  <si>
    <t xml:space="preserve">ITEM 140  ·  Illes Balears 2022  ·  illes-balears/2022 / Q143  ·  Named clinical-case section</t>
  </si>
  <si>
    <t xml:space="preserve">CLINICAL CONTEXT — PART 1/3
[CLINICAL TRANSITION: illes-balears-2022-caso-6-transition-04]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t>
  </si>
  <si>
    <t xml:space="preserve">CLINICAL CONTEXT — PART 2/3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t>
  </si>
  <si>
    <t xml:space="preserve">CLINICAL CONTEXT — PART 3/3
- Hematíes: 120 /mm3
- Leucocitos: 180 /mm3 (LPN: 50 %)</t>
  </si>
  <si>
    <t xml:space="preserve">¿Qué tratamiento hay que iniciar ahora, tras completar y finalizar el tratamiento y resolver el caso clínico?</t>
  </si>
  <si>
    <t xml:space="preserve">A. Levofloxacino.</t>
  </si>
  <si>
    <t xml:space="preserve">B. Rifaximina.</t>
  </si>
  <si>
    <t xml:space="preserve">C. Norfloxacino.</t>
  </si>
  <si>
    <t xml:space="preserve">Context IDs: illes-balears-2022-base-caso-6, illes-balears-2022-caso-6-transition-01, illes-balears-2022-caso-6-transition-02, illes-balears-2022-caso-6-transition-03, illes-balears-2022-caso-6-transition-04  |  Source exam PDF page: 51</t>
  </si>
  <si>
    <t xml:space="preserve">ITEM 141  ·  Illes Balears 2022  ·  illes-balears/2022 / Q144  ·  Named clinical-case section</t>
  </si>
  <si>
    <t xml:space="preserve">CLINICAL CONTEXT
CONTINUES THE ACTIVE CONTEXT: illes-balears-2022-base-caso-6 → illes-balears-2022-caso-6-transition-01 → illes-balears-2022-caso-6-transition-02 → illes-balears-2022-caso-6-transition-03 → illes-balears-2022-caso-6-transition-04</t>
  </si>
  <si>
    <t xml:space="preserve">Señale la respuesta correcta respecto a la posibilidad de indicar un trasplante hepático en este paciente:</t>
  </si>
  <si>
    <t xml:space="preserve">A. Este paciente no tiene ninguna indicación de trasplante hepático porque es alcohólico.</t>
  </si>
  <si>
    <t xml:space="preserve">B. Este paciente no tiene indicación de trasplante hepático porque la función hepática no está suficientemente alterada.</t>
  </si>
  <si>
    <t xml:space="preserve">C. Este paciente tiene indicación de trasplante hepático porque tiene ascitis y ha tenido PBE.</t>
  </si>
  <si>
    <t xml:space="preserve">D. Antes de indicar y de hacer un trasplante hepático es necesario que el paciente consiga y mantenga la abstinencia completa de alcohol.</t>
  </si>
  <si>
    <t xml:space="preserve">ITEM 142  ·  Illes Balears 2022  ·  illes-balears/2022 / Q145  ·  Named clinical-case section</t>
  </si>
  <si>
    <t xml:space="preserve">CLINICAL CONTEXT — PART 1/12
[BASE CLINICAL CONTEXT: illes-balears-2022-base-caso-7]
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</si>
  <si>
    <t xml:space="preserve">CLINICAL CONTEXT — PART 2/12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t>
  </si>
  <si>
    <t xml:space="preserve">CLINICAL CONTEXT — PART 3/12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t>
  </si>
  <si>
    <t xml:space="preserve">CLINICAL CONTEXT — PART 4/12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t>
  </si>
  <si>
    <t xml:space="preserve">CLINICAL CONTEXT — PART 5/12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t>
  </si>
  <si>
    <t xml:space="preserve">CLINICAL CONTEXT — PART 6/12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</si>
  <si>
    <t xml:space="preserve">CLINICAL CONTEXT — PART 7/12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t>
  </si>
  <si>
    <t xml:space="preserve">CLINICAL CONTEXT — PART 8/12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t>
  </si>
  <si>
    <t xml:space="preserve">CLINICAL CONTEXT — PART 9/12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t>
  </si>
  <si>
    <t xml:space="preserve">CLINICAL CONTEXT — PART 10/12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</si>
  <si>
    <t xml:space="preserve">CLINICAL CONTEXT — PART 11/12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</si>
  <si>
    <t xml:space="preserve">CLINICAL CONTEXT — PART 12/12
Tras una semana de ingreso hospitalario en los que no produce una recidiva hemorrágica, tras instaurar los tratamientos recomendados y a la espera de la valoración del comité de tumores hepáticos, es dada de alta para control ambulatorio.</t>
  </si>
  <si>
    <t xml:space="preserve">¿Cuál de las siguientes actuaciones está recomendada en este paciente tras la exploración y la analítica de urgencias?</t>
  </si>
  <si>
    <t xml:space="preserve">A. Transfusión de plaquetas.</t>
  </si>
  <si>
    <t xml:space="preserve">B. Transfusión de concentrados de hematíes.</t>
  </si>
  <si>
    <t xml:space="preserve">C. Administración de 250 mg de eritromicina endovenosa entre 30 y 120 minutos antes de la endoscopia.</t>
  </si>
  <si>
    <t xml:space="preserve">Context IDs: illes-balears-2022-base-caso-7  |  Source exam PDF page: 54</t>
  </si>
  <si>
    <t xml:space="preserve">ITEM 143  ·  Illes Balears 2022  ·  illes-balears/2022 / Q146  ·  Named clinical-case section</t>
  </si>
  <si>
    <t xml:space="preserve">CLINICAL CONTEXT
CONTINUES THE ACTIVE CONTEXT: illes-balears-2022-base-caso-7</t>
  </si>
  <si>
    <t xml:space="preserve">Señale la respuesta correcta con respecto a una endoscopia oral en un paciente con sospecha de hemorragia por varices esofágicas:</t>
  </si>
  <si>
    <t xml:space="preserve">A. Debe hacerse lo antes posible, independientemente del estado hemodinámico del paciente.</t>
  </si>
  <si>
    <t xml:space="preserve">B. Debe hacerse en las primeras doce horas desde la presentación del paciente tras la correcta resucitación hemodinámica.</t>
  </si>
  <si>
    <t xml:space="preserve">C. Antes de hacer la endoscopia oral debe hacerse una intubación orotraqueal a todos los pacientes con sospecha de hemorragia por varices esofágicas.</t>
  </si>
  <si>
    <t xml:space="preserve">ITEM 144  ·  Illes Balears 2022  ·  illes-balears/2022 / Q147  ·  Named clinical-case section</t>
  </si>
  <si>
    <t xml:space="preserve">¿En cuál de las siguientes situaciones debe asumirse el origen varicoso de la hemorragia durante una endoscopia?</t>
  </si>
  <si>
    <t xml:space="preserve">A. Variz esofágica grande con manchas rojas y un tapón plaquetario o pezón.</t>
  </si>
  <si>
    <t xml:space="preserve">B. Varices esofágicas grandes con manchas rojas abundantes, sin sangrado activo ni signos de hemostasia reciente y presencia de restos hemáticos en el estómago. No se observan otras lesiones potencialmente sangrantes en el estudio endoscópico.</t>
  </si>
  <si>
    <t xml:space="preserve">C. Varices esofágicas pequeñas sin signos rojos y sin sangrado activo ni signos de hemostasia reciente sobre las varices y sin restos hemáticos en el estómago.</t>
  </si>
  <si>
    <t xml:space="preserve">Context IDs: illes-balears-2022-base-caso-7  |  Source exam PDF page: 55</t>
  </si>
  <si>
    <t xml:space="preserve">ITEM 145  ·  Illes Balears 2022  ·  illes-balears/2022 / Q148  ·  Named clinical-case section</t>
  </si>
  <si>
    <t xml:space="preserve">¿Cuál debe ser el tratamiento endoscópico?</t>
  </si>
  <si>
    <t xml:space="preserve">A. Ligadura con bandas.</t>
  </si>
  <si>
    <t xml:space="preserve">B. Escleroterapia.</t>
  </si>
  <si>
    <t xml:space="preserve">C. Hemospray®.</t>
  </si>
  <si>
    <t xml:space="preserve">D. Inyección de cianoacrilato.</t>
  </si>
  <si>
    <t xml:space="preserve">ITEM 146  ·  Illes Balears 2022  ·  illes-balears/2022 / Q149  ·  Named clinical-case section</t>
  </si>
  <si>
    <t xml:space="preserve">De los siguientes factores, ¿cuál no es útil para predecir el riesgo de resangrado precoz en un paciente con sangrado por varices?</t>
  </si>
  <si>
    <t xml:space="preserve">A. Nivel de conciencia.</t>
  </si>
  <si>
    <t xml:space="preserve">B. Presencia de sangrado activo durante la endoscopia.</t>
  </si>
  <si>
    <t xml:space="preserve">C. Gradiente de presión venosa hepática.</t>
  </si>
  <si>
    <t xml:space="preserve">D. Puntuación de Child-Pugh.</t>
  </si>
  <si>
    <t xml:space="preserve">ITEM 147  ·  Illes Balears 2022  ·  illes-balears/2022 / Q150  ·  Named clinical-case section</t>
  </si>
  <si>
    <t xml:space="preserve">¿Qué puntuación de Child-Pugh tiene este paciente?</t>
  </si>
  <si>
    <t xml:space="preserve">A. Child-Pugh A6.</t>
  </si>
  <si>
    <t xml:space="preserve">B. Child-Pugh B8.</t>
  </si>
  <si>
    <t xml:space="preserve">C. Child-Pugh C10.</t>
  </si>
  <si>
    <t xml:space="preserve">D. Child-Pugh B9.</t>
  </si>
  <si>
    <t xml:space="preserve">ITEM 148  ·  Illes Balears 2022  ·  illes-balears/2022 / Q151  ·  Named clinical-case section</t>
  </si>
  <si>
    <t xml:space="preserve">Tras el tratamiento endoscópico del paciente, ¿cuál de las siguientes medidas no está recomendada?</t>
  </si>
  <si>
    <t xml:space="preserve">A. Mantener antibioterapia con ceftriaxona 1 gr cada 24 h endovenosa hasta completar siete días de tratamiento.</t>
  </si>
  <si>
    <t xml:space="preserve">B. Colocar un TIPS (del inglés transjugular intrahepatic portosystemic shunt) en las primeras 72 horas tras el episodio de sangrado.</t>
  </si>
  <si>
    <t xml:space="preserve">C. Mantener el tratamiento vasoactivo con somatostatina durante cinco días y tras la suspensión iniciar el tratamiento betabloqueante.</t>
  </si>
  <si>
    <t xml:space="preserve">D. Administración de lactulosa oral o en enemas.</t>
  </si>
  <si>
    <t xml:space="preserve">Context IDs: illes-balears-2022-base-caso-7  |  Source exam PDF page: 56</t>
  </si>
  <si>
    <t xml:space="preserve">ITEM 149  ·  Illes Balears 2022  ·  illes-balears/2022 / Q152  ·  Named clinical-case section</t>
  </si>
  <si>
    <t xml:space="preserve">Señale la respuesta correcta con respecto a la profilaxis secundaria de la hemorragia digestiva por varices esofágicas:</t>
  </si>
  <si>
    <t xml:space="preserve">A. La pauta de tratamiento recomendada es el uso de betabloqueantes (propranolol o carvedilol) en combinación con el tratamiento endoscópico.</t>
  </si>
  <si>
    <t xml:space="preserve">B. En pacientes con cirrosis hepática y Child-Pugh B o C el uso de betabloqueantes está contraindicado.</t>
  </si>
  <si>
    <t xml:space="preserve">C. El tratamiento endoscópico debe hacerse por medio de una ligadura endoscópica con bandas con un intervalo de entre una y cuatro semanas hasta la erradicación de las varices.</t>
  </si>
  <si>
    <t xml:space="preserve">D. Las respuestas a) y c) son correctas.</t>
  </si>
  <si>
    <t xml:space="preserve">ITEM 150  ·  Illes Balears 2022  ·  illes-balears/2022 / Q153  ·  Named clinical-case section</t>
  </si>
  <si>
    <t xml:space="preserve">Señale la respuesta correcta si durante la endoscopia oral se inicia un sangrado varicoso que no puede ser controlado con el tratamiento hemostático endoscópico:</t>
  </si>
  <si>
    <t xml:space="preserve">A. 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</si>
  <si>
    <t xml:space="preserve">B. El taponamiento con un balón de Sengstaken-Blakemore es un procedimiento seguro y permite demorar hasta siete días la colocación del TIPS de rescate.</t>
  </si>
  <si>
    <t xml:space="preserve">C. La colocación de un stent metálico completamente recubierto autoexpandible es mucho más efectivo que el taponamiento con un balón de Sengstaken-Blakemore para el control inicial de la hemorragia.</t>
  </si>
  <si>
    <t xml:space="preserve">ITEM 151  ·  Illes Balears 2022  ·  illes-balears/2022 / Q154  ·  Named clinical-case section</t>
  </si>
  <si>
    <t xml:space="preserve">Señale la afirmación falsa respecto a la historia natural de la infección de VHB:</t>
  </si>
  <si>
    <t xml:space="preserve">A. La edad de adquisición de la infección por el VHB es un factor que predice la evolución a la cronicidad.</t>
  </si>
  <si>
    <t xml:space="preserve">B. Es más frecuente que se cronifique la infección adquirida en la edad adulta que la infección perinatal.</t>
  </si>
  <si>
    <t xml:space="preserve">C. La fase de infección crónica AgHBe positivo (fase de inmunotolerancia) se caracteriza por niveles muy elevados de DNA VHB y una progresión lenta o nula de la fibrosis.</t>
  </si>
  <si>
    <t xml:space="preserve">D. Los pacientes que permanecen años en la fase de hepatitis crónica AgHBe positivo tienen más riesgo de desarrollar cirrosis y hepatocarcinoma.</t>
  </si>
  <si>
    <t xml:space="preserve">Context IDs: illes-balears-2022-base-caso-7  |  Source exam PDF page: 57</t>
  </si>
  <si>
    <t xml:space="preserve">ITEM 152  ·  Illes Balears 2022  ·  illes-balears/2022 / Q155  ·  Named clinical-case section</t>
  </si>
  <si>
    <t xml:space="preserve">¿Cuál de los siguientes no es un objetivo del tratamiento de la infección por VHB?</t>
  </si>
  <si>
    <t xml:space="preserve">A. Reducir el riesgo de descompensación en pacientes con cirrosis hepática.</t>
  </si>
  <si>
    <t xml:space="preserve">B. Reducir el riesgo de desarrollo de un hepatocarcinoma.</t>
  </si>
  <si>
    <t xml:space="preserve">C. Reducir el riesgo de recurrencia de la hepatitis B postrasplante.</t>
  </si>
  <si>
    <t xml:space="preserve">D. Todos los anteriores son objetivos esperables del tratamiento de la infección por VHB.</t>
  </si>
  <si>
    <t xml:space="preserve">ITEM 153  ·  Illes Balears 2022  ·  illes-balears/2022 / Q156  ·  Named clinical-case section</t>
  </si>
  <si>
    <t xml:space="preserve">¿Cuál de las siguientes no es una indicación de tratamiento antiviral en pacientes con una infección por VHB?</t>
  </si>
  <si>
    <t xml:space="preserve">A. Cirrosis hepática compensada con DNA VHB 200 UI/ml.</t>
  </si>
  <si>
    <t xml:space="preserve">B. Hepatitis crónica AgHBe negativo y AcHBe positivo con transaminasas elevadas tres veces por encima del valor normal, DNA VHB 40.000 UI/ml y fibrosis F2 en la escala Metavir.</t>
  </si>
  <si>
    <t xml:space="preserve">C. Cirrosis hepática descompensada con DNA VHB indetectable.</t>
  </si>
  <si>
    <t xml:space="preserve">D. Infección crónica AgHBe negativo (portador inactivo) que precisa tratamiento con prednisona durante una semana por una reagudización de una enfermedad pulmonar obstructiva crónica (EPOC).</t>
  </si>
  <si>
    <t xml:space="preserve">ITEM 154  ·  Illes Balears 2022  ·  illes-balears/2022 / Q157  ·  Named clinical-case section</t>
  </si>
  <si>
    <t xml:space="preserve">¿Cuál es el tratamiento de elección para la infección por el VHB en este paciente?</t>
  </si>
  <si>
    <t xml:space="preserve">A. Lamivudina.</t>
  </si>
  <si>
    <t xml:space="preserve">B. Adefovir dipivoxil.</t>
  </si>
  <si>
    <t xml:space="preserve">C. Entecavir.</t>
  </si>
  <si>
    <t xml:space="preserve">D. Interferón.</t>
  </si>
  <si>
    <t xml:space="preserve">ITEM 155  ·  Illes Balears 2022  ·  illes-balears/2022 / Q158  ·  Named clinical-case section</t>
  </si>
  <si>
    <t xml:space="preserve">Señale la afirmación falsa en relación con el tratamiento de la infección por VHB en este paciente:</t>
  </si>
  <si>
    <t xml:space="preserve">A. Debe iniciarse el tratamiento con análogos nucleósidos y nucleótidos lo antes posible.</t>
  </si>
  <si>
    <t xml:space="preserve">B. Los análogos nucleósidos y nucleótidos indicados en esta situación son entecavir o tenofovir disoproxil fumarato (TDF).</t>
  </si>
  <si>
    <t xml:space="preserve">C. Dado que la paciente presenta osteoporosis es preferible usar de tenofovir disoproxil fumarato (TDF).</t>
  </si>
  <si>
    <t xml:space="preserve">D. El tratamiento de la infección por VHB puede reducir el riesgo de recurrencia del hepatocarcinoma postrasplante hepático.</t>
  </si>
  <si>
    <t xml:space="preserve">Context IDs: illes-balears-2022-base-caso-7  |  Source exam PDF page: 58</t>
  </si>
  <si>
    <t xml:space="preserve">ITEM 156  ·  Illes Balears 2022  ·  illes-balears/2022 / Q159  ·  Named clinical-case section</t>
  </si>
  <si>
    <t xml:space="preserve">Señale la respuesta falsa con respecto al diagnóstico de hepatocarcinoma en pacientes con cirrosis hepática:</t>
  </si>
  <si>
    <t xml:space="preserve">A. El diagnóstico de hepatocarcinoma debe basarse en los hallazgos típicos en las técnicas de imagen y/o hallazgos anatomopatológicos.</t>
  </si>
  <si>
    <t xml:space="preserve">B. En pacientes con una cirrosis hepática y una lesión hepática superior a 1 cm, el diagnóstico puede basarse únicamente en la presencia de los hallazgos típicos de las técnicas de imagen (TC con contraste multifase o RM con contraste multifase).</t>
  </si>
  <si>
    <t xml:space="preserve">C. El diagnóstico requiere una biopsia en todos los casos.</t>
  </si>
  <si>
    <t xml:space="preserve">D. Los hallazgos típicos en la TC con contraste multifase son la presencia de realce de la lesión en la fase arterial y lavado del realce en la fase venosa o tardía.</t>
  </si>
  <si>
    <t xml:space="preserve">ITEM 157  ·  Illes Balears 2022  ·  illes-balears/2022 / Q160  ·  Named clinical-case section</t>
  </si>
  <si>
    <t xml:space="preserve">Señale la respuesta correcta en el caso de detectar una lesión hepática inferior a 1 cm en un paciente con cirrosis hepática durante una ecografía de cribado:</t>
  </si>
  <si>
    <t xml:space="preserve">A. La mayoría de las lesiones hepáticas inferiores a 1 cm detectadas por una ecografía en pacientes cirróticos son hepatocarcinomas.</t>
  </si>
  <si>
    <t xml:space="preserve">B. Para poder hacer un diagnóstico correcto es recomendable biopsiar la lesión.</t>
  </si>
  <si>
    <t xml:space="preserve">C. Es recomendable hacer un seguimiento de la lesión con ecografías cada tres o cuatro meses durante uno o dos años y, en caso de estabilidad de la lesión durante este periodo, volver al cribado habitual.</t>
  </si>
  <si>
    <t xml:space="preserve">ITEM 158  ·  Illes Balears 2022  ·  illes-balears/2022 / Q161  ·  Named clinical-case section</t>
  </si>
  <si>
    <t xml:space="preserve">¿Cuál es la actitud recomendada en el caso de que en la TC del abdomen con contraste multifase la lesión hepática no presente los hallazgos típicos del hepatocarcinoma?</t>
  </si>
  <si>
    <t xml:space="preserve">A. Hacer una biopsia de la lesión hepática.</t>
  </si>
  <si>
    <t xml:space="preserve">B. Hacer una RM con contraste multifase.</t>
  </si>
  <si>
    <t xml:space="preserve">C. Volver a los controles ecográficos semestrales.</t>
  </si>
  <si>
    <t xml:space="preserve">D. Hacer una PET-TC.</t>
  </si>
  <si>
    <t xml:space="preserve">Context IDs: illes-balears-2022-base-caso-7  |  Source exam PDF page: 59</t>
  </si>
  <si>
    <t xml:space="preserve">ITEM 159  ·  Illes Balears 2022  ·  illes-balears/2022 / Q162  ·  Named clinical-case section</t>
  </si>
  <si>
    <t xml:space="preserve">De los siguientes factores, ¿cuál no se considera un factor pronóstico en un paciente con cirrosis hepática al que se le ha diagnosticado un hepatocarcinoma?</t>
  </si>
  <si>
    <t xml:space="preserve">A. Número y tamaño de los nódulos.</t>
  </si>
  <si>
    <t xml:space="preserve">B. Función hepática.</t>
  </si>
  <si>
    <t xml:space="preserve">C. Etiología de la cirrosis hepática.</t>
  </si>
  <si>
    <t xml:space="preserve">D. Performance status.</t>
  </si>
  <si>
    <t xml:space="preserve">ITEM 160  ·  Illes Balears 2022  ·  illes-balears/2022 / Q163  ·  Named clinical-case section</t>
  </si>
  <si>
    <t xml:space="preserve">¿En qué estadio de la clasificación BCLC se clasifica este paciente?</t>
  </si>
  <si>
    <t xml:space="preserve">A. Estadio 0.</t>
  </si>
  <si>
    <t xml:space="preserve">B. Estadio D.</t>
  </si>
  <si>
    <t xml:space="preserve">C. Estadio B.</t>
  </si>
  <si>
    <t xml:space="preserve">D. Estadio A.</t>
  </si>
  <si>
    <t xml:space="preserve">ITEM 161  ·  Illes Balears 2022  ·  illes-balears/2022 / Q164  ·  Named clinical-case section</t>
  </si>
  <si>
    <t xml:space="preserve">¿Cuál es el tratamiento recomendado para el hepatocarcinoma que presenta este paciente?</t>
  </si>
  <si>
    <t xml:space="preserve">A. Resección quirúrgica.</t>
  </si>
  <si>
    <t xml:space="preserve">B. Trasplante hepático.</t>
  </si>
  <si>
    <t xml:space="preserve">C. Ablación térmica por radiofrecuencia.</t>
  </si>
  <si>
    <t xml:space="preserve">D. Quimioembolización.</t>
  </si>
  <si>
    <t xml:space="preserve">ITEM 162  ·  Illes Balears 2022  ·  illes-balears/2022 / Q165  ·  Named clinical-case section</t>
  </si>
  <si>
    <t xml:space="preserve">Señale la respuesta correcta respecto al riesgo de resangrado precoz por varices esofágicas:</t>
  </si>
  <si>
    <t xml:space="preserve">A. El mejor predictor de resangrado precoz es la medición del gradiente de presión venosa hepática (GPVH).</t>
  </si>
  <si>
    <t xml:space="preserve">B. Un GPVH de 12 indica un alto riesgo de resangrado.</t>
  </si>
  <si>
    <t xml:space="preserve">C. Este paciente no presenta un riesgo alto de resangrado.</t>
  </si>
  <si>
    <t xml:space="preserve">Context IDs: illes-balears-2022-base-caso-7  |  Source exam PDF page: 60</t>
  </si>
  <si>
    <t xml:space="preserve">ITEM 163  ·  Illes Balears 2022  ·  illes-balears/2022 / Q166  ·  Named clinical-case section</t>
  </si>
  <si>
    <t xml:space="preserve">¿Cuál de los siguientes no es un factor de riesgo para el desarrollo de un hepatocarcinoma?</t>
  </si>
  <si>
    <t xml:space="preserve">A. Cirrosis hepática.</t>
  </si>
  <si>
    <t xml:space="preserve">B. Exposición a la aflatoxina B1.</t>
  </si>
  <si>
    <t xml:space="preserve">C. Consumo de café.</t>
  </si>
  <si>
    <t xml:space="preserve">D. Infección crónica de VHB.</t>
  </si>
  <si>
    <t xml:space="preserve">ITEM 164  ·  Illes Balears 2022  ·  illes-balears/2022 / Q167  ·  Named clinical-case section</t>
  </si>
  <si>
    <t xml:space="preserve">Señale la respuesta correcta con respecto a hacer un tratamiento neoadyuvante en el caso de que se indique un trasplante hepático como tratamiento del hepatocarcinoma y el tiempo estimado en lista de espera sea superior a seis meses:</t>
  </si>
  <si>
    <t xml:space="preserve">A. El tratamiento neoadyuvante podría reducir el riesgo de exclusión de la lista de trasplante por crecimiento tumoral y el riesgo de recidiva postrasplante.</t>
  </si>
  <si>
    <t xml:space="preserve">B. La quimioembolización sería la opción de tratamiento neoadyuvante recomendada en este paciente.</t>
  </si>
  <si>
    <t xml:space="preserve">C. La ablación mediante radiofrecuencia sería la opción de tratamiento neoadyuvante recomendada en este paciente.</t>
  </si>
  <si>
    <t xml:space="preserve">ITEM 165  ·  Illes Balears 2022  ·  illes-balears/2022 / Q168  ·  Named clinical-case section</t>
  </si>
  <si>
    <t xml:space="preserve">En el caso de que este paciente sea trasplantado y llegue al trasplante con DNA VHB indetectable, ¿cuál debe ser la pauta de tratamiento recomendado para evitar la recurrencia de la hepatitis B postrasplante?</t>
  </si>
  <si>
    <t xml:space="preserve">A. Análogos nucleósidos y nucleótidos + gammaglobulina hiperinmune antihepatitis B durante cuatro semanas y continuar con análogos nucleósidos y nucleótidos indefinidamente.</t>
  </si>
  <si>
    <t xml:space="preserve">B. Análogos nucleósidos y nucleótidos + gammaglobulina hiperinmune antihepatitis B durante cuatro semanas.</t>
  </si>
  <si>
    <t xml:space="preserve">C. Análogos nucleósidos y nucleótidos + gammaglobulina hiperinmune antihepatitis B durante un año y continuar con análogos nucleósidos y nucleótidos indefinidamente.</t>
  </si>
  <si>
    <t xml:space="preserve">D. Análogos nucleósidos y nucleótidos + gammaglobulina hiperinmune antihepatitis B durante un año.</t>
  </si>
  <si>
    <t xml:space="preserve">Context IDs: illes-balears-2022-base-caso-7  |  Source exam PDF page: 61</t>
  </si>
  <si>
    <t xml:space="preserve">ITEM 166  ·  Navarra 2022  ·  navarra/2022 / Q91  ·  Named clinical-case section</t>
  </si>
  <si>
    <t xml:space="preserve">CLINICAL CONTEXT — PART 1/2
[FULL CLINICAL CONTEXT: navarra-2022-case-01]
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t>
  </si>
  <si>
    <t xml:space="preserve">CLINICAL CONTEXT — PART 2/2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t>
  </si>
  <si>
    <t xml:space="preserve">Si seguimos las recomendaciones de la ESGE (European Society of Gastrointestinal Endoscopy), cuándo le deberíamos realizar la gastroscopia. Señale la respuesta CORRECTA:</t>
  </si>
  <si>
    <t xml:space="preserve">A. Emergente (antes de 6h)</t>
  </si>
  <si>
    <t xml:space="preserve">B. Urgente (antes de 12h)</t>
  </si>
  <si>
    <t xml:space="preserve">C. Precoz (antes de 24h)</t>
  </si>
  <si>
    <t xml:space="preserve">D. Demorada (&gt;24 horas)</t>
  </si>
  <si>
    <t xml:space="preserve">Context IDs: navarra-2022-case-01  |  Source exam PDF page: 20</t>
  </si>
  <si>
    <t xml:space="preserve">ITEM 167  ·  Navarra 2022  ·  navarra/2022 / Q92  ·  Named clinical-case section</t>
  </si>
  <si>
    <t xml:space="preserve">CLINICAL CONTEXT
CONTINUES THE ACTIVE CONTEXT: navarra-2022-case-01</t>
  </si>
  <si>
    <t xml:space="preserve">En la gastroscopia se objetiva una úlcera duodenal de 15mm con un fondo hemático oscuro y no hay restos hemáticos intraluminales. En relación a la forma de presentación de la úlcera péptica, señale la respuesta INCORRECTA:</t>
  </si>
  <si>
    <t xml:space="preserve">A. Las causas más frecuentes son la infección por Helicobacter pylori y la ingesta de AINES</t>
  </si>
  <si>
    <t xml:space="preserve">B. Hasta el 70% de las úlceras pépticas son asintomáticas</t>
  </si>
  <si>
    <t xml:space="preserve">C. La complicación más frecuente de la úlcera péptica es la hemorragia</t>
  </si>
  <si>
    <t xml:space="preserve">D. La perforación es la menos frecuente de las 3 complicaciones clásicas (hemorragia, estenosis, perforación)</t>
  </si>
  <si>
    <t xml:space="preserve">ITEM 168  ·  Navarra 2022  ·  navarra/2022 / Q93  ·  Named clinical-case section</t>
  </si>
  <si>
    <t xml:space="preserve">En el transcurso de la gastroscopia a la paciente se le tomó una muestra para Test de ureasa con resultado negativo. A la vista de este hallazgo, señale la respuesta CORRECTA:</t>
  </si>
  <si>
    <t xml:space="preserve">A. Como ha tomado AINES, asumimos que ésa es la causa de la úlcera y, en el futuro, sólo deberemos aconsejar que no tome AINES o que asocie gastroprotección en caso de ser imprescindibles</t>
  </si>
  <si>
    <t xml:space="preserve">B. Como tiene una hemorragia, el test de ureasa puede ser un falso negativo y habrá que confirmar el resultado con un test del aliento</t>
  </si>
  <si>
    <t xml:space="preserve">C. Como tiene una hemorragia, el test de ureasa puede ser un falso negativo y habrá que realizar nueva gastroscopia para confirmar la cicatrización de la úlcera y tomar nuevas muestras</t>
  </si>
  <si>
    <t xml:space="preserve">D. Como tiene más de 65 años, y ha sido una úlcera complicada, deberá hacer gastroprotección indefinida por lo que la presencia de Helicobácter es irrelevante</t>
  </si>
  <si>
    <t xml:space="preserve">ITEM 169  ·  Navarra 2022  ·  navarra/2022 / Q94  ·  Named clinical-case section</t>
  </si>
  <si>
    <t xml:space="preserve">Si la paciente hubiera sido Helicobacter pylori positivo, y teniendo en cuenta los datos de la última Conferencia de consenso, señale la respuesta CORRECTA:</t>
  </si>
  <si>
    <t xml:space="preserve">A. Se recomienda un tratamiento que sea capaz de curar la infección en un porcentaje próximo al 90%</t>
  </si>
  <si>
    <t xml:space="preserve">B. Se recomienda asociar probióticos al tratamiento erradicador</t>
  </si>
  <si>
    <t xml:space="preserve">C. La duración adecuada del tratamiento ha de ser 7 días</t>
  </si>
  <si>
    <t xml:space="preserve">D. OLAB-14 sería el tratamiento de elección de segunda línea</t>
  </si>
  <si>
    <t xml:space="preserve">Context IDs: navarra-2022-case-01  |  Source exam PDF page: 21</t>
  </si>
  <si>
    <t xml:space="preserve">ITEM 170  ·  Navarra 2022  ·  navarra/2022 / Q95  ·  Named clinical-case section</t>
  </si>
  <si>
    <t xml:space="preserve">Si nuestra paciente hubiera sido Helicobacter pylori positivo, cuánto tiempo aconsejarías mantener el tratamiento con inhibidores de la bomba de protones:</t>
  </si>
  <si>
    <t xml:space="preserve">A. Indefinido ya que tiene &gt; 65 años</t>
  </si>
  <si>
    <t xml:space="preserve">B. 8 semanas</t>
  </si>
  <si>
    <t xml:space="preserve">C. El tiempo que dure el tratamiento erradicador</t>
  </si>
  <si>
    <t xml:space="preserve">D. Hasta confirmación de la erradicación</t>
  </si>
  <si>
    <t xml:space="preserve">ITEM 171  ·  Navarra 2022  ·  navarra/2022 / Q96  ·  Named clinical-case section</t>
  </si>
  <si>
    <t xml:space="preserve">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</si>
  <si>
    <t xml:space="preserve">A. La edad</t>
  </si>
  <si>
    <t xml:space="preserve">B. La asociación de AINES con anticoagulantes</t>
  </si>
  <si>
    <t xml:space="preserve">C. El antecedente ulceroso</t>
  </si>
  <si>
    <t xml:space="preserve">D. El sexo</t>
  </si>
  <si>
    <t xml:space="preserve">ITEM 172  ·  Navarra 2022  ·  navarra/2022 / Q97  ·  Named clinical-case section</t>
  </si>
  <si>
    <t xml:space="preserve">CLINICAL CONTEXT
[FULL CLINICAL CONTEXT: navarra-2022-case-02]
Una mañana en la sala de endoscopias en la agenda de cribado de cáncer colorrectal (CCR):</t>
  </si>
  <si>
    <t xml:space="preserve">Requisitos a cumplir en el programa de cribado de CCR. Señala la VERDADERA</t>
  </si>
  <si>
    <t xml:space="preserve">A. Una demora de 3 meses en la realización de las colonoscopias de cribado se considera adecuado</t>
  </si>
  <si>
    <t xml:space="preserve">B. Se recomienda que los endoscopistas que realizan las endoscopias de cribado cumplan unos criterios de calidad, como tener una adecuada tasa de detección de adenomas</t>
  </si>
  <si>
    <t xml:space="preserve">C. En Navarra los pacientes pueden elegir por test de sangre oculta en heces o por colonoscopia directa</t>
  </si>
  <si>
    <t xml:space="preserve">D. Los vídeo-colonoscopios que no tienen alta definición de imagen son aptos para este tipo de endoscopia.</t>
  </si>
  <si>
    <t xml:space="preserve">Context IDs: navarra-2022-case-02  |  Source exam PDF page: 22</t>
  </si>
  <si>
    <t xml:space="preserve">ITEM 173  ·  Navarra 2022  ·  navarra/2022 / Q98  ·  Named clinical-case section</t>
  </si>
  <si>
    <t xml:space="preserve">CLINICAL CONTEXT
CONTINUES THE ACTIVE CONTEXT: navarra-2022-case-02</t>
  </si>
  <si>
    <t xml:space="preserve">Realizando una de las colonoscopias encontramos un pólipo en el pliegue distal a la válvula íleocecal, de unos 15 mm. Señala la respuesta FALSA:</t>
  </si>
  <si>
    <t xml:space="preserve">A. Nuestro informe debería describir la morfología básica del pólipo, utilizando la Clasificación de París o al menos nombrando si es plano, sésil o polipoide.</t>
  </si>
  <si>
    <t xml:space="preserve">B. Se debería realizar una correcta inspección del pólipo, incluyendo aspectos básicos del patrón de superficie que nos permitan conocer si el pólipo tiene un carácter o no invasivo</t>
  </si>
  <si>
    <t xml:space="preserve">C. Los pólipos de colon derecho, de este tamaño, aunque tengan aspecto benigno, deben ser enviados para resección por los endoscopistas más expertos de la unidad.</t>
  </si>
  <si>
    <t xml:space="preserve">D. Los endoscopistas del programa de cribado deben de estar capacitados para extirpar este tipo de pólipos, si no están localizados en zonas de excesiva complejidad</t>
  </si>
  <si>
    <t xml:space="preserve">ITEM 174  ·  Navarra 2022  ·  navarra/2022 / Q99  ·  Named clinical-case section</t>
  </si>
  <si>
    <t xml:space="preserve">En otra colonoscopia de cribado nos encontramos un pólipo plano granular homogéneo de 4 cm en el colon derecho que se decide derivar para resección posterior. Señala la respuesta VERDADERA</t>
  </si>
  <si>
    <t xml:space="preserve">A. El informe describe que el pólipo se encontraba a 90cm del ano. Incluir en este informe la distancia en cm a la cual hemos encontrado el pólipo es muy útil, ya que será de gran ayuda para el endoscopista que realice la resección</t>
  </si>
  <si>
    <t xml:space="preserve">B. La morfología del pólipo indica alto poder de invasión submucosa e implica técnicas de resección en bloque como la disección endoscópica submucosa</t>
  </si>
  <si>
    <t xml:space="preserve">C. Como el endoscopista que realiza la exploración se considera competente en realizar la resección, decide realizar una resección bajo el agua, ya que la probabilidad de resecar esta lesión en bloque con esta técnica se acerca al 95%.</t>
  </si>
  <si>
    <t xml:space="preserve">D. El endoscopista considera adecuado indicar una resección fragmentada que se podría haber realizado en la primera colonoscopia o de forma diferida según la experiencia del mismo.</t>
  </si>
  <si>
    <t xml:space="preserve">ITEM 175  ·  Navarra 2022  ·  navarra/2022 / Q100  ·  Named clinical-case section</t>
  </si>
  <si>
    <t xml:space="preserve">Según las clasificaciones morfológicas de los pólipos: la clasificación de París y sobre todo la clasificación LST (laterally spreading tumors). Señala la VERDADERA</t>
  </si>
  <si>
    <t xml:space="preserve">A. Se sabe que los pólipos con nódulos menores de 1cm y de tamaño similar, se llaman granulares mixtos</t>
  </si>
  <si>
    <t xml:space="preserve">B. Los pólipos planos elevados tienen un porcentaje estimado de invasividad menor del 5%</t>
  </si>
  <si>
    <t xml:space="preserve">C. Los pólipos no granulares se dividen en planos elevados y en pseudodeprimidos</t>
  </si>
  <si>
    <t xml:space="preserve">D. Los pólipos pseudodeprimidos tienen un porcentaje de invasividad del 10%</t>
  </si>
  <si>
    <t xml:space="preserve">Context IDs: navarra-2022-case-02  |  Source exam PDF page: 23</t>
  </si>
  <si>
    <t xml:space="preserve">ITEM 176  ·  Navarra 2022  ·  navarra/2022 / Q101  ·  Named clinical-case section</t>
  </si>
  <si>
    <t xml:space="preserve">En la siguiente colonoscopia nos encontramos un pólipo plano de 5 cm situado en el colon transverso. Describe la actitud CORRECTA</t>
  </si>
  <si>
    <t xml:space="preserve">A. Cogemos múltiples biopsias del pólipo, ya que tiene un patrón NICE II que nos indica invasividad</t>
  </si>
  <si>
    <t xml:space="preserve">B. Realizamos un tatuaje proximal y distal ya que tiene un patrón JNET IIa y probablemente necesite cirugía</t>
  </si>
  <si>
    <t xml:space="preserve">C. Presenta una zona central con patrón JNET IIb e indicamos una resección diferida en bloque</t>
  </si>
  <si>
    <t xml:space="preserve">D. Tiene un claro patrón JNET III, lo que es clara indicación de disección endoscópica submucosa</t>
  </si>
  <si>
    <t xml:space="preserve">ITEM 177  ·  Navarra 2022  ·  navarra/2022 / Q102  ·  Named clinical-case section</t>
  </si>
  <si>
    <t xml:space="preserve">En la última colonoscopia de la mañana, vemos un pólipo de recto medio de unos 6 cm con un gran nódulo central de aproximadamente de 3 cm, señale la respuesta CORRECTA:</t>
  </si>
  <si>
    <t xml:space="preserve">A. Siempre hay que hacer RMN y TC en este tipo de pólipos independientemente de su patrón óptico mucoso y de su morfología</t>
  </si>
  <si>
    <t xml:space="preserve">B. En el nódulo central podría existir un “covert cancer” o cáncer oculto, en un porcentaje significativo</t>
  </si>
  <si>
    <t xml:space="preserve">C. El patrón mucoso es de benignidad, lo que indica que puede realizar resección fragmentada e inclusión de todos los fragmentos en un solo bote de anatomía patológica.</t>
  </si>
  <si>
    <t xml:space="preserve">D. El patrón mucoso es un NICE I, lo que indica que con alta probabilidad se trate de un adenoma</t>
  </si>
  <si>
    <t xml:space="preserve">ITEM 178  ·  Navarra 2022  ·  navarra/2022 / Q103  ·  Named clinical-case section</t>
  </si>
  <si>
    <t xml:space="preserve">CLINICAL CONTEXT — PART 1/3
[FULL CLINICAL CONTEXT: navarra-2022-case-03]
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</si>
  <si>
    <t xml:space="preserve">CLINICAL CONTEXT — PART 2/3
Analítica: Hemoglobina 8,5 g/dL, plaquetas 78 x 109/L, actividad de protrombina 52%. Creatinina 0,98 mg/dL, Sodio 129 mmol/L, bilirrubina total 3,1 mg/dL, albúmina 32 g/L. AST 125 U/L, ALT 101 U/L.
Serologías: IgM e IgG VHA negativo, HBsAg negativo, anti-HBs positivo, HBcAc total positivo, VIH negativo.</t>
  </si>
  <si>
    <t xml:space="preserve">CLINICAL CONTEXT — PART 3/3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</si>
  <si>
    <t xml:space="preserve">En cuanto al manejo inicial del paciente, ¿cuál de las siguientes recomendaciones sería INCORRECTA?</t>
  </si>
  <si>
    <t xml:space="preserve">A. Inicio de fármacos vasoactivos (somatostatina/terlipresina)</t>
  </si>
  <si>
    <t xml:space="preserve">B. Profilaxis antibiótica con cefotaxima 1mg/8h</t>
  </si>
  <si>
    <t xml:space="preserve">C. Reposición de la volemia con cristaloides (o coloides) en caso de inestabilidad hemodinámica</t>
  </si>
  <si>
    <t xml:space="preserve">D. El paciente sería candidatos a TIPS preventivo</t>
  </si>
  <si>
    <t xml:space="preserve">Context IDs: navarra-2022-case-03  |  Source exam PDF page: 24</t>
  </si>
  <si>
    <t xml:space="preserve">ITEM 179  ·  Navarra 2022  ·  navarra/2022 / Q104  ·  Named clinical-case section</t>
  </si>
  <si>
    <t xml:space="preserve">CLINICAL CONTEXT
CONTINUES THE ACTIVE CONTEXT: navarra-2022-case-03</t>
  </si>
  <si>
    <t xml:space="preserve">NO se considera una contraindicación para la colocación de un TIPS (transjugular intrahepatic portosystemic shunt):</t>
  </si>
  <si>
    <t xml:space="preserve">A. Presión arterial pulmonar media 50 mmHg</t>
  </si>
  <si>
    <t xml:space="preserve">B. Insuficiencia tricuspídea grave</t>
  </si>
  <si>
    <t xml:space="preserve">C. Infección sistémica activa o sepsis</t>
  </si>
  <si>
    <t xml:space="preserve">D. Insuficiencia renal estadio 2</t>
  </si>
  <si>
    <t xml:space="preserve">ITEM 180  ·  Navarra 2022  ·  navarra/2022 / Q105  ·  Named clinical-case section</t>
  </si>
  <si>
    <t xml:space="preserve">Teniendo en cuenta el seguimiento ambulatorio de este paciente, una vez dado de alta del ingreso inicial. ¿Cuál de las siguientes recomendaciones respecto a la prevención secundaria de la hemorragia varicosa es CORRECTA?</t>
  </si>
  <si>
    <t xml:space="preserve">A. Ligadura endoscópica con bandas y bisoprolol</t>
  </si>
  <si>
    <t xml:space="preserve">B. Ligadura endoscópica con bandas y carvedilol</t>
  </si>
  <si>
    <t xml:space="preserve">C. Inyección de cianoacrilato y bisoprolol</t>
  </si>
  <si>
    <t xml:space="preserve">D. Inyección de cianoacrilato y carvedilol</t>
  </si>
  <si>
    <t xml:space="preserve">ITEM 181  ·  Navarra 2022  ·  navarra/2022 / Q106  ·  Named clinical-case section</t>
  </si>
  <si>
    <t xml:space="preserve">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</si>
  <si>
    <t xml:space="preserve">A. Sofosbuvir+velpatasvir+ribavirina 24 semanas</t>
  </si>
  <si>
    <t xml:space="preserve">B. Sofosbuvir+velpatasvir 12 semanas</t>
  </si>
  <si>
    <t xml:space="preserve">C. Glecaprevir+pibrentasvir 16 semanas</t>
  </si>
  <si>
    <t xml:space="preserve">D. Grazoprevir+elbasvir 16 semanas</t>
  </si>
  <si>
    <t xml:space="preserve">Context IDs: navarra-2022-case-03  |  Source exam PDF page: 25</t>
  </si>
  <si>
    <t xml:space="preserve">ITEM 182  ·  Navarra 2022  ·  navarra/2022 / Q107  ·  Named clinical-case section</t>
  </si>
  <si>
    <t xml:space="preserve">En la ecografía de screening semestral se objetiva trombosis reciente que ocupa el 60% de la vena porta principal. Según las últimas recomendaciones de la AASLD (American Association Study Liver Diseases 2020), señale la FALSA:</t>
  </si>
  <si>
    <t xml:space="preserve">A. Realizar prueba de imagen con contraste</t>
  </si>
  <si>
    <t xml:space="preserve">B. Iniciar anticoagulación</t>
  </si>
  <si>
    <t xml:space="preserve">C. Realizar estudio exhaustivo de trombofilia</t>
  </si>
  <si>
    <t xml:space="preserve">D. La aparición de isquemia intestinal es menos frecuente que en los pacientes que no presentan cirrosis</t>
  </si>
  <si>
    <t xml:space="preserve">ITEM 183  ·  Navarra 2022  ·  navarra/2022 / Q108  ·  Named clinical-case section</t>
  </si>
  <si>
    <t xml:space="preserve">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</si>
  <si>
    <t xml:space="preserve">A. Quimiembolización transarterial</t>
  </si>
  <si>
    <t xml:space="preserve">B. Sorafenib</t>
  </si>
  <si>
    <t xml:space="preserve">C. Trasplante hepático</t>
  </si>
  <si>
    <t xml:space="preserve">D. Atezolizumab + bevacizumab</t>
  </si>
  <si>
    <t xml:space="preserve">ITEM 184  ·  Navarra 2022  ·  navarra/2022 / Q109  ·  Named clinical-case section</t>
  </si>
  <si>
    <t xml:space="preserve">Pregunta de reserva Caso Clínico numero 1: Cuál de las siguientes afirmaciones es INCORRECTA en relación a la prevención de las úlceras por AINEs:</t>
  </si>
  <si>
    <t xml:space="preserve">A. Misoprostol reduce el riesgo de úlcera asociada a AINEs, independientemente de la dosis</t>
  </si>
  <si>
    <t xml:space="preserve">B. Más del 30% de los pacientes que toman misoprostol lo suspenden por efectos secundarios</t>
  </si>
  <si>
    <t xml:space="preserve">C. La prevención de las complicaciones ulcerosas sólo se consigue dosis más altas de misoprostol</t>
  </si>
  <si>
    <t xml:space="preserve">D. Los antiH2 a dosis estándar son eficaces en la prevención de las úlceras secundaria a AINES</t>
  </si>
  <si>
    <t xml:space="preserve">Context IDs: navarra-2022-case-01  |  Source exam PDF page: 26</t>
  </si>
  <si>
    <t xml:space="preserve">ITEM 185  ·  Navarra 2022  ·  navarra/2022 / Q110  ·  Named clinical-case section</t>
  </si>
  <si>
    <t xml:space="preserve">Pregunta de reserva Caso Clínico número 2: Transcurridos 15 días recibimos el informe histológico de uno de los pólipos resecados, con resultado de adenocarcinoma. ¿Cuál de los siguientes es un criterio de mal pronóstico histológico?</t>
  </si>
  <si>
    <t xml:space="preserve">A. Ausencia de budding (nidos tumorales)</t>
  </si>
  <si>
    <t xml:space="preserve">B. Infiltración submucosa mayor de 2000 µ (2 mm)</t>
  </si>
  <si>
    <t xml:space="preserve">C. Ausencia de invasión linfática o vascular</t>
  </si>
  <si>
    <t xml:space="preserve">D. Pólipo pediculado con invasión Haggitt 2</t>
  </si>
  <si>
    <t xml:space="preserve">Context IDs: navarra-2022-case-02  |  Source exam PDF page: 26</t>
  </si>
  <si>
    <t xml:space="preserve">ITEM 186  ·  Navarra 2022  ·  navarra/2022 / Q111  ·  Named clinical-case section</t>
  </si>
  <si>
    <t xml:space="preserve">Pregunta de reserva Caso Clínico número 3: A las 72 horas de la gastroscopia inicial el paciente presenta nuevo episodio de hematemesis atribuible a sangrado variceal. Analíticamente destaca hemoglobina de 7,5g/dL, plaquetas 50 x 109/L, INR 2, actividad de protrombina 33%, fibrinógeno 200mg/dL, creatinina 1 mg/dL, bilirrubina total 2,8 mg/dL, ¿cuál de las siguientes actuaciones sería INCORRECTA?:</t>
  </si>
  <si>
    <t xml:space="preserve">A. Segundo intento de hemostasia endoscópica</t>
  </si>
  <si>
    <t xml:space="preserve">B. Trasfusión de 1 gramo de fibrinógeno</t>
  </si>
  <si>
    <t xml:space="preserve">C. Sería candidato a un TIPS de rescate</t>
  </si>
  <si>
    <t xml:space="preserve">D. El resangrado variceal tras un tratamiento endoscópico inicial puede ocurrir en el 10 -20% de los pacientes</t>
  </si>
  <si>
    <t xml:space="preserve">Context IDs: navarra-2022-case-03  |  Source exam PDF page: 26</t>
  </si>
  <si>
    <t xml:space="preserve">ITEM 187  ·  Comunidad de Madrid 2021  ·  comunidad-de-madrid/2021 / Q48  ·  Standard/main</t>
  </si>
  <si>
    <t xml:space="preserve">¿A cuál de los siguientes pacientes, con un episodio de hemorragia digestiva baja (HDB), autolimitada, atendido en Urgencias, daría usted el alta y procedería a realizar su estudio y manejo de forma mbulatoria?</t>
  </si>
  <si>
    <t xml:space="preserve">A. Varón, 73 años, sin episodios previos de HDB, tacto rectal con dedil limpio, Fc 63 lpm, TAS 133mm Hg, Hb 16 g/dl.</t>
  </si>
  <si>
    <t xml:space="preserve">B. Mujer, 52 años, HDB hace 8 meses atendida en otro centro, tacto rectal con dedil limpio, Fc 93 lpm, TAS 112mm Hg, Hb 10,3 g/dl.</t>
  </si>
  <si>
    <t xml:space="preserve">C. Varón, 57 años, sin episodios previos de HDB, tacto rectal con restos hemáticos, Fc 85 lpm, TAS 120mm Hg, Hb 11,2 g/dl.</t>
  </si>
  <si>
    <t xml:space="preserve">D. Mujer, 72 años, sin episodios previos, tacto rectal con dedil limpio, 92 lpm, TAS 109 mm Hg, Hb 12,5 g/dl.</t>
  </si>
  <si>
    <t xml:space="preserve">Source exam PDF page: 10</t>
  </si>
  <si>
    <t xml:space="preserve">ITEM 188  ·  Castilla y León 2019  ·  castilla-y-leon/2019 / Q160  ·  Non-case reserve</t>
  </si>
  <si>
    <t xml:space="preserve">En una hepatitis aguda, de los síntomas abajo indicados ¿Cuál de ellos aconsejaría el ingreso del/la paciente?</t>
  </si>
  <si>
    <t xml:space="preserve">A. Ascitis</t>
  </si>
  <si>
    <t xml:space="preserve">B. Datos de encefalopatía</t>
  </si>
  <si>
    <t xml:space="preserve">C. Síntomas de hipoglucemia</t>
  </si>
  <si>
    <t xml:space="preserve">D. Todos los anteriores</t>
  </si>
  <si>
    <t xml:space="preserve">Source exam PDF page: 36</t>
  </si>
  <si>
    <t xml:space="preserve">ITEM 189  ·  Región de Murcia 2019  ·  region-de-murcia/2019 / Q140  ·  Standard/main</t>
  </si>
  <si>
    <t xml:space="preserve">En relación al tratamiento de la ascitis en el paciente cirrótico, señale la respuesta falsa:</t>
  </si>
  <si>
    <t xml:space="preserve">A. La paracentesis de gran volumen (PGV) se debe realizar conjuntamente con la administración de albumina iv a razón de 80 g por litro extraído.</t>
  </si>
  <si>
    <t xml:space="preserve">B. En PGV de más de 5 litros el uso de expansores plasmáticos distintos a la albúmina no está recomendado.</t>
  </si>
  <si>
    <t xml:space="preserve">C. Los pacientes con un primer episodio de ascitis grado 2 (moderada) deben recibir solo antagonistas de la aldosterona, empezando a dosis de 100 mg/día.</t>
  </si>
  <si>
    <t xml:space="preserve">D. La restricción moderada de la ingesta de sal es un componente importante en el manejo de la ascitis.</t>
  </si>
  <si>
    <t xml:space="preserve">Source exam PDF page: 23</t>
  </si>
  <si>
    <t xml:space="preserve">ITEM 190  ·  Comunidad de Madrid 2021  ·  comunidad-de-madrid/2021 / Q112  ·  Standard/main</t>
  </si>
  <si>
    <t xml:space="preserve">Señala cual NO es un efecto secundario de tacrolimus</t>
  </si>
  <si>
    <t xml:space="preserve">A. Insuficiencia renal</t>
  </si>
  <si>
    <t xml:space="preserve">B. Cefalea</t>
  </si>
  <si>
    <t xml:space="preserve">C. Convulsiones</t>
  </si>
  <si>
    <t xml:space="preserve">D. Pancreatitis aguda</t>
  </si>
  <si>
    <t xml:space="preserve">Source exam PDF page: 21</t>
  </si>
  <si>
    <t xml:space="preserve">ITEM 191  ·  Galicia 2016  ·  galicia/ope-2016 / Q110  ·  Non-case reserve</t>
  </si>
  <si>
    <t xml:space="preserve">Señale la respuesta correcta en relación con la hepatitis por VHC:</t>
  </si>
  <si>
    <t xml:space="preserve">A. Todo paciente con hepatitis aguda por VHC debe recibir tratamiento antiviral.</t>
  </si>
  <si>
    <t xml:space="preserve">B. El tratamiento con ledipasvir y sofosbuvir durante 4 ó 6 semanas es muy seguro y eficaz en pacientes con hepatitis aguda por VHC con genotipo 1.</t>
  </si>
  <si>
    <t xml:space="preserve">C. El tratamiento de la hepatitis C post trasplante hepático está indicado en todos los pacientes, estando contraindicada la ribavirina.</t>
  </si>
  <si>
    <t xml:space="preserve">D. En pacientes con cirrosis por VHC no existen exámenes no invasivos que permitan descartar con un 90 por ciento de seguridad la existencia de varices esofágicas.</t>
  </si>
  <si>
    <t xml:space="preserve">Source exam PDF page: 26</t>
  </si>
  <si>
    <t xml:space="preserve">ITEM 192  ·  Navarra 2022  ·  navarra/2022 / Q75  ·  Mixed theory–practical</t>
  </si>
  <si>
    <t xml:space="preserve">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</si>
  <si>
    <t xml:space="preserve">A. Colangiocarcinoma tipo Klatskin</t>
  </si>
  <si>
    <t xml:space="preserve">B. Quiste de colédoco</t>
  </si>
  <si>
    <t xml:space="preserve">C. Síndrome de Mirizzi</t>
  </si>
  <si>
    <t xml:space="preserve">D. Colangiocarcinoma proximal</t>
  </si>
  <si>
    <t xml:space="preserve">Source exam PDF page: 16</t>
  </si>
  <si>
    <t xml:space="preserve">ITEM 193  ·  Andalucía 2021  ·  andalucia/2021-22-libre / Q126  ·  Practical</t>
  </si>
  <si>
    <t xml:space="preserve">CLINICAL CONTEXT — PART 1/2
[Full clinical context: andalucia-2021-22-libre-case-007]
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t>
  </si>
  <si>
    <t xml:space="preserve">CLINICAL CONTEXT — PART 2/2
tubulovelloso con displasia de bajo grado. No se encontraron otras lesiones. La puntuación de la escala de Boston fue 5 (2 en colon izquierdo, 1 en colon transverso y 1 en ciego-colon ascendente).</t>
  </si>
  <si>
    <t xml:space="preserve">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</si>
  <si>
    <t xml:space="preserve">A. Iniciar ya colonoscopias, con una periodicidad cada 10 años.</t>
  </si>
  <si>
    <t xml:space="preserve">B. Participar en el programa de cribado poblacional de cáncer colorrectal de Andalucía cuando se le invite.</t>
  </si>
  <si>
    <t xml:space="preserve">C. Iniciar colonoscopias a partir de los 40 años con una periodicidad cada 5 años.</t>
  </si>
  <si>
    <t xml:space="preserve">D. Iniciar colonoscopias a partir de los 50 años con una periodicidad cada 5 años.</t>
  </si>
  <si>
    <t xml:space="preserve">Context IDs: andalucia-2021-22-libre-case-007  |  Source exam PDF page: 33</t>
  </si>
  <si>
    <t xml:space="preserve">ITEM 194  ·  Comunitat Valenciana 2022  ·  comunitat-valenciana/2022 / Q56  ·  Standard/main</t>
  </si>
  <si>
    <t xml:space="preserve">Paciente con hepatitis crónica B con ALT 35 UI, DNA-VHB 9800 UI y Fibroscan 9,5 Kpa debe tratarse con:</t>
  </si>
  <si>
    <t xml:space="preserve">A. Interferon pegilado indefinido.</t>
  </si>
  <si>
    <t xml:space="preserve">B. Glecaprevir.</t>
  </si>
  <si>
    <t xml:space="preserve">C. Tenofovir indefinido.</t>
  </si>
  <si>
    <t xml:space="preserve">D. No tiene indicación de tratamiento.</t>
  </si>
  <si>
    <t xml:space="preserve">Source exam PDF page: 18</t>
  </si>
  <si>
    <t xml:space="preserve">ITEM 195  ·  Aragón 2020  ·  aragon/2020 / Q93  ·  Standard/main</t>
  </si>
  <si>
    <t xml:space="preserve">En la enfermedad perianal (enfermedad de Crohn) si hay dolor intenso, usted sospechará:</t>
  </si>
  <si>
    <t xml:space="preserve">A. Absceso.</t>
  </si>
  <si>
    <t xml:space="preserve">B. Fístula compleja.</t>
  </si>
  <si>
    <t xml:space="preserve">C. Fístula transesfinteriana.</t>
  </si>
  <si>
    <t xml:space="preserve">D. Actividad rectal.</t>
  </si>
  <si>
    <t xml:space="preserve">ITEM 196  ·  Comunidad de Madrid 2021  ·  comunidad-de-madrid/2021 / Q135  ·  Standard/main</t>
  </si>
  <si>
    <t xml:space="preserve">En el contexto de un paciente con colangitis biliar primaria ¿qué hallazgo histológico es característico y se considera diagnóstico cuando se observa en la biopsia hepática?</t>
  </si>
  <si>
    <t xml:space="preserve">A. Cuerpos de Councilman</t>
  </si>
  <si>
    <t xml:space="preserve">B. Infiltrado linfocítico periportal con destrucción de los ductos biliares</t>
  </si>
  <si>
    <t xml:space="preserve">C. Fibrosis en puentes</t>
  </si>
  <si>
    <t xml:space="preserve">D. Granulomas no caseificantes</t>
  </si>
  <si>
    <t xml:space="preserve">Source exam PDF page: 24</t>
  </si>
  <si>
    <t xml:space="preserve">ITEM 197  ·  Galicia 2016  ·  galicia/ope-2016 / Q103  ·  Non-case reserve</t>
  </si>
  <si>
    <t xml:space="preserve">¿En cuál de las siguientes entidades no está recomendado, según las guías EASL, realizar estudios para detectar hemocromatosis?</t>
  </si>
  <si>
    <t xml:space="preserve">A. Diabetes tipo I.</t>
  </si>
  <si>
    <t xml:space="preserve">B. Diabetes tipo II.</t>
  </si>
  <si>
    <t xml:space="preserve">C. Porfiria cutánea tardía.</t>
  </si>
  <si>
    <t xml:space="preserve">D. Condrocalcinosis.</t>
  </si>
  <si>
    <t xml:space="preserve">ITEM 198  ·  Castilla-La Mancha 2017  ·  castilla-la-mancha/2017-2018 / Q102  ·  Non-case reserve</t>
  </si>
  <si>
    <t xml:space="preserve">En los gráficos de cajas (box-plot, box and whisker plot), ¿Qué representa la línea horizontal que está dentro de la caja?</t>
  </si>
  <si>
    <t xml:space="preserve">A. La moda</t>
  </si>
  <si>
    <t xml:space="preserve">B. Cuartil 2</t>
  </si>
  <si>
    <t xml:space="preserve">C. El rango</t>
  </si>
  <si>
    <t xml:space="preserve">D. Desviación estándar</t>
  </si>
  <si>
    <t xml:space="preserve">ITEM 199  ·  Andalucía 2021  ·  andalucia/2021-22-libre / Q134  ·  Practical</t>
  </si>
  <si>
    <t xml:space="preserve">CLINICAL CONTEXT — PART 1/3
[Full clinical context: andalucia-2021-22-libre-case-010]
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t>
  </si>
  <si>
    <t xml:space="preserve">CLINICAL CONTEXT — PART 2/3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t>
  </si>
  <si>
    <t xml:space="preserve">CLINICAL CONTEXT — PART 3/3
la palpación de la fosa ilíaca izquierda, sin datos de irritación peritoneal. Analíticamente destacaba hemoglobina de 9.2 gr/dL, con elevación de reactantes de fase aguda (proteína C reactiva 84 mg/L, leucocitos 16.500/mcL) y de creatinquinasa 994 U/l, siendo el resto normal.</t>
  </si>
  <si>
    <t xml:space="preserve">En relación a las pruebas complementarias necesarias en función del diagnóstico inicial, ¿Cuál de estas afirmaciones es falsa?:</t>
  </si>
  <si>
    <t xml:space="preserve">A. Se deben obtener muestras de heces para cultivo, parásitos y toxina de Clostridium difficile.</t>
  </si>
  <si>
    <t xml:space="preserve">B. La tomografía computarizada (TC) es el examen de imagen más útil.</t>
  </si>
  <si>
    <t xml:space="preserve">C. La colonoscopia es la técnica principal para el diagnóstico, siempre que no haya datos de peritonitis.</t>
  </si>
  <si>
    <t xml:space="preserve">D. La leucocitosis en un hallazgo frecuente desde las fases iniciales de la enfermedad.</t>
  </si>
  <si>
    <t xml:space="preserve">Context IDs: andalucia-2021-22-libre-case-010  |  Source exam PDF page: 36</t>
  </si>
  <si>
    <t xml:space="preserve">ITEM 200  ·  La Rioja 2021  ·  la-rioja/2020-2021 / Q109  ·  Non-case reserve</t>
  </si>
  <si>
    <t xml:space="preserve">El tratamiento indicado en la Enfermedad de Caroli limitada a un solo lóbulo es:</t>
  </si>
  <si>
    <t xml:space="preserve">A. Ácido Ursodesoxicólico.</t>
  </si>
  <si>
    <t xml:space="preserve">B. Trasplante Hepático.</t>
  </si>
  <si>
    <t xml:space="preserve">C. Resección quirúrgica del lóbulo afectado.</t>
  </si>
  <si>
    <t xml:space="preserve">D. Litotricia extracorpórea.</t>
  </si>
  <si>
    <t xml:space="preserve">Source exam PDF page: 39</t>
  </si>
  <si>
    <t xml:space="preserve">ITEM 201  ·  Región de Murcia 2019  ·  region-de-murcia/2019 / Q16  ·  Standard/main</t>
  </si>
  <si>
    <t xml:space="preserve">En el tratamiento del cáncer de esófago, señale la opción FALSA:</t>
  </si>
  <si>
    <t xml:space="preserve">A. En pacientes con adenocarcinoma esofágico en estadio T1a N0 M0 la terapéutica endoscópica es de elección.</t>
  </si>
  <si>
    <t xml:space="preserve">B. La esofagectomía radical y transtorácica (procedimiento de Ivor-Lewis) es la técnica quirúrgica de elección en el cáncer de esófago localizado, más allá de las etapas muy tempranas (T1b-T2 N0 M0).</t>
  </si>
  <si>
    <t xml:space="preserve">C. En los pacientes con adenocarcinoma de esófago con enfermedad localmente avanzada (T3-T4 N1-3 M0), después de una respuesta tumoral completa a la quimio radioterapia, nunca es preciso realizar cirugía.</t>
  </si>
  <si>
    <t xml:space="preserve">D. En pacientes con enfermedad metastásica (M1) de adenocarcinoma esofágico y buen estado general, está indicada la quimioterapia como tratamiento paliativo.</t>
  </si>
  <si>
    <t xml:space="preserve">Source exam PDF page: 3</t>
  </si>
  <si>
    <t xml:space="preserve">ITEM 202  ·  Comunitat Valenciana 2022  ·  comunitat-valenciana/2022 / Q54  ·  Standard/main</t>
  </si>
  <si>
    <t xml:space="preserve">Sólo una de las siguientes frases referentes al Dolor Rectal Funcional no es cierta, señálela:</t>
  </si>
  <si>
    <t xml:space="preserve">A. Los episodios de dolor en la Proctalgia Fugax duran de segundos a minutos.</t>
  </si>
  <si>
    <t xml:space="preserve">B. El Síndrome del Elevador del Ano afecta típicamente a mujeres de menos 45 años.</t>
  </si>
  <si>
    <t xml:space="preserve">C. Los criterios de Roma IV reconocen tres tipos de Dolor Rectal Funcional: Proctalgia Fugax, el Síndrome del Elevador del Ano y la Fisura Anal Crónica Idiopática.</t>
  </si>
  <si>
    <t xml:space="preserve">D. El salbutamol inhalado se utiliza para el tratamiento del Síndrome del Elevador del Ano.</t>
  </si>
  <si>
    <t xml:space="preserve">Source exam PDF page: 17</t>
  </si>
  <si>
    <t xml:space="preserve">ITEM 203  ·  Aragón 2017  ·  aragon/2017 / Q109  ·  Non-case reserve</t>
  </si>
  <si>
    <t xml:space="preserve">Entre los datos siguientes uno NO es típico del síndrome hepatorenal tipo I?</t>
  </si>
  <si>
    <t xml:space="preserve">A. Sodio en sangre 115.</t>
  </si>
  <si>
    <t xml:space="preserve">B. Creatinina en sangre 5 mg/dl.</t>
  </si>
  <si>
    <t xml:space="preserve">C. Excreción de sodio en orina 50%.</t>
  </si>
  <si>
    <t xml:space="preserve">D. Proteinuria indetectable.</t>
  </si>
  <si>
    <t xml:space="preserve">ITEM 204  ·  Comunitat Valenciana 2022  ·  comunitat-valenciana/2022 / Q23  ·  Standard/main</t>
  </si>
  <si>
    <t xml:space="preserve">Señale cuál de las siguientes respuestas hace referencia a una prueba cuantitativa de función hepática:</t>
  </si>
  <si>
    <t xml:space="preserve">A. Eliminación del verde de Indocianina.</t>
  </si>
  <si>
    <t xml:space="preserve">B. Prueba de espiración de aminopirina.</t>
  </si>
  <si>
    <t xml:space="preserve">C. Eliminación de cafeína.</t>
  </si>
  <si>
    <t xml:space="preserve">D. Todas son correctas.</t>
  </si>
  <si>
    <t xml:space="preserve">Source exam PDF page: 9</t>
  </si>
  <si>
    <t xml:space="preserve">ITEM 205  ·  Comunitat Valenciana 2022  ·  comunitat-valenciana/2022 / Q6  ·  Standard/main</t>
  </si>
  <si>
    <t xml:space="preserve">De conformidad con el Capítulo IV del V Convenio Colectivo del Consorcio HGUV –Planificación, Ordenación y Gestión del empleo público- ¿cuál de las siguientes plazas quedan excluidas de su regulación?</t>
  </si>
  <si>
    <t xml:space="preserve">A. Las de libre designación.</t>
  </si>
  <si>
    <t xml:space="preserve">B. Las plazas asistenciales vinculadas a otras de carácter docente.</t>
  </si>
  <si>
    <t xml:space="preserve">C. Las plazas de jefatura.</t>
  </si>
  <si>
    <t xml:space="preserve">Source exam PDF page: 4</t>
  </si>
  <si>
    <t xml:space="preserve">ITEM 206  ·  Castilla-La Mancha 2017  ·  castilla-la-mancha/2017-2018 / Q53  ·  Standard/main</t>
  </si>
  <si>
    <t xml:space="preserve">Señale cuál de los siguientes fármacos NO se ha relacionado con pancreatitis aguda</t>
  </si>
  <si>
    <t xml:space="preserve">A. Azatioprina</t>
  </si>
  <si>
    <t xml:space="preserve">B. Ácido valproico</t>
  </si>
  <si>
    <t xml:space="preserve">C. Tamsulosina</t>
  </si>
  <si>
    <t xml:space="preserve">D. IECA</t>
  </si>
  <si>
    <t xml:space="preserve">ITEM 207  ·  Región de Murcia 2019  ·  region-de-murcia/2019 / Q99  ·  Standard/main</t>
  </si>
  <si>
    <t xml:space="preserve">Con respecto al tratamiento farmacológico de la pancreatitis crónica, señale la opción cierta:</t>
  </si>
  <si>
    <t xml:space="preserve">A. No existen datos que apoyen el uso de omeprazol asociado al tratamiento sustitutivo enzimático.</t>
  </si>
  <si>
    <t xml:space="preserve">B. En la diabetes mellitus secundaria a pancreatitis crónica está indicado el tratamiento inicial con antidiabéticos orales.</t>
  </si>
  <si>
    <t xml:space="preserve">C. El tratamiento sustitutivo enzimático se debe controlar siempre mediante test de funcionalismo pancreático.</t>
  </si>
  <si>
    <t xml:space="preserve">D. La dosis de tratamiento sustitutivo enzimático correcta es de 40000-50000 unidades con las comidas principales y 20000-25000 con los snacks.</t>
  </si>
  <si>
    <t xml:space="preserve">ITEM 208  ·  La Rioja 2021  ·  la-rioja/2020-2021 / Q103  ·  Non-case reserve</t>
  </si>
  <si>
    <t xml:space="preserve">Cuál de los siguientes no es un criterio de definición de donante marginal para trasplante hepático:</t>
  </si>
  <si>
    <t xml:space="preserve">A. Edad del donante mayor de 65 años.</t>
  </si>
  <si>
    <t xml:space="preserve">B. Un IMC mayor de 30.</t>
  </si>
  <si>
    <t xml:space="preserve">C. Esteatosis hepática mayor del 60%.</t>
  </si>
  <si>
    <t xml:space="preserve">D. Bilirrubina en suero mayor de 3 mg/dL.</t>
  </si>
  <si>
    <t xml:space="preserve">Source exam PDF page: 37</t>
  </si>
  <si>
    <t xml:space="preserve">ITEM 209  ·  Castilla-La Mancha 2022  ·  castilla-la-mancha/2022 / Q17  ·  Standard/main</t>
  </si>
  <si>
    <t xml:space="preserve">Paciente con cáncer gástrico precoz bien diferenciado sin signos endoscópicos sugestivos de invasión submucosa en el que se plantea realizar una resección endoscópica. Señale la respuesta falsa</t>
  </si>
  <si>
    <t xml:space="preserve">A. Las técnicas de cromoendoscopia pueden ser útiles para determinar los límites de la lesión.</t>
  </si>
  <si>
    <t xml:space="preserve">B. La ecoendoscopia puede ser útil para evaluar la profundidad de la lesión.</t>
  </si>
  <si>
    <t xml:space="preserve">C. Se debería suprimir el tratamiento con inhibidores de la bomba de protones pues aumentan las complicaciones tras la resección.</t>
  </si>
  <si>
    <t xml:space="preserve">D. La resección endoscópica podría realizarse en lesiones menores o iguales a 2 centímetros no ulceradas.</t>
  </si>
  <si>
    <t xml:space="preserve">ITEM 210  ·  Comunitat Valenciana 2022  ·  comunitat-valenciana/2022 / Q77  ·  Standard/main</t>
  </si>
  <si>
    <t xml:space="preserve">Según la European Society of Gastrointestinal Endoscopy (ESGE) señale cuál de las siguientes afirmaciones en el tratamiento de la estenosis biliar secundaria a pancreatitis crónica no es cierta:</t>
  </si>
  <si>
    <t xml:space="preserve">A. La elevación asintomática de la fosfatasa alcalina tres veces los limites altos de la normalidad con elevación de la bilirrubina durante 1 mes se acepta como indicación para el drenaje de la vía biliar</t>
  </si>
  <si>
    <t xml:space="preserve">B. Se debe considerar la cirugía cuando hay fracaso del tratamiento endoscópico después de 1 año.</t>
  </si>
  <si>
    <t xml:space="preserve">C. Se recomienda la utilización de prótesis metálicas autoexpandibles no cubiertas.</t>
  </si>
  <si>
    <t xml:space="preserve">D. La ictericia se puede resolver espontáneamente en el plazo de 1 mes en el 20-50% de los casos.</t>
  </si>
  <si>
    <t xml:space="preserve">Source exam PDF page: 22</t>
  </si>
  <si>
    <t xml:space="preserve">ITEM 211  ·  Galicia 2016  ·  galicia/ope-2016 / Q108  ·  Non-case reserve</t>
  </si>
  <si>
    <t xml:space="preserve">En relación con la enfermedad celíaca en el adulto, señale la opción incorrecta:</t>
  </si>
  <si>
    <t xml:space="preserve">A. En un porcentaje significativo de los adultos que siguen la dieta sin gluten, las biopsias solo muestran una mejoría parcial, recuperándose más rápidamente el íleon que el duodeno</t>
  </si>
  <si>
    <t xml:space="preserve">B. Se recomienda repetir la biopsia duodenal al año de iniciar la dieta sin gluten a todos los pacientes adultos celíacos.</t>
  </si>
  <si>
    <t xml:space="preserve">C. Se recomienda realizar una densitometría ósea al año del diagnóstico a todos los pacientes adultos celíacos.</t>
  </si>
  <si>
    <t xml:space="preserve">D. Además de la dieta sin gluten, algunos pacientes celíacos precisan suplementos de hierro, vitamina D, vitamina B12, ácido fólico o vitamina K.</t>
  </si>
  <si>
    <t xml:space="preserve">Source exam PDF page: 25</t>
  </si>
  <si>
    <t xml:space="preserve">ITEM 212  ·  Comunitat Valenciana 2022  ·  comunitat-valenciana/2022 / Q73  ·  Standard/main</t>
  </si>
  <si>
    <t xml:space="preserve">Respecto a la patología benigna que afecta a la vesícula biliar y a los cálculos biliares (señale la respuesta incorrecta):</t>
  </si>
  <si>
    <t xml:space="preserve">A. El síndrome de Bouveret hace referencia a la obstrucción al vaciamiento gástrico por impactación de una litiasis vesicular en el duodeno</t>
  </si>
  <si>
    <t xml:space="preserve">B. El síndrome de Mirizzi se presenta en la mayoría de casos con dolor, fiebre e ictericia</t>
  </si>
  <si>
    <t xml:space="preserve">C. La diabetes mellitus es un factor predisponente para la colecistitis enfisematosa.</t>
  </si>
  <si>
    <t xml:space="preserve">D. La colelitiasis son principalmente cálculos de bilirrubinato cálcico.</t>
  </si>
  <si>
    <t xml:space="preserve">ITEM 213  ·  Comunitat Valenciana 2022  ·  comunitat-valenciana/2022 / Q4  ·  Standard/main</t>
  </si>
  <si>
    <t xml:space="preserve">Según establece el artículo 12 del Decreto 74/2007, de 18 de mayo, del Consell, por el que se aprueba el Reglamento sobre estructura, organización y funcionamiento de la atención sanitaria en la Comunitat Valenciana, señale cuál de las siguientes es una prestación de los centros de salud y consultorios:</t>
  </si>
  <si>
    <t xml:space="preserve">A. Atención a la salud laboral.</t>
  </si>
  <si>
    <t xml:space="preserve">B. Atención a problemas de salud mental y conductas adictivas.</t>
  </si>
  <si>
    <t xml:space="preserve">C. Tratamientos de hemodiálisis.</t>
  </si>
  <si>
    <t xml:space="preserve">D. Cirugía mayor ambulatoria.</t>
  </si>
  <si>
    <t xml:space="preserve">ITEM 214  ·  La Rioja 2024  ·  la-rioja/2023-2024 / Q58  ·  Standard/main</t>
  </si>
  <si>
    <t xml:space="preserve">¿Cuál de los siguientes NO es un índice empleado para cuantificar la actividad inflamatoria intestinal de la enfermedad de Crohn?:</t>
  </si>
  <si>
    <t xml:space="preserve">A. Walmsley.</t>
  </si>
  <si>
    <t xml:space="preserve">B. Harvey-Bradshaw.</t>
  </si>
  <si>
    <t xml:space="preserve">C. Lewis.</t>
  </si>
  <si>
    <t xml:space="preserve">D. IBUS-SAS.</t>
  </si>
  <si>
    <t xml:space="preserve">Source exam PDF page: 15</t>
  </si>
  <si>
    <t xml:space="preserve">ITEM 215  ·  Comunidad de Madrid 2021  ·  comunidad-de-madrid/2021 / Q159  ·  Non-case reserve</t>
  </si>
  <si>
    <t xml:space="preserve">Usted sabe que el tratamiento de la encefalopatía hepática ha de incluir recomendaciones nutricionales. Señale por favor cuál de las siguientes es INCORRECTA</t>
  </si>
  <si>
    <t xml:space="preserve">A. Se debe evaluar la presencia de sarcopenia y el estatus nutricional de todos los pacientes con encefalopatía hepática</t>
  </si>
  <si>
    <t xml:space="preserve">B. La ingesta calórica y proteica no debe ser diferente de la recomendada para cualquier paciente con cirrosis</t>
  </si>
  <si>
    <t xml:space="preserve">C. La nutrición enteral es recomendable en los pacientes con encefalopatía grado II</t>
  </si>
  <si>
    <t xml:space="preserve">D. Las proteinas vegetales y las procedentes de la leche son preferibles a las proteinas animales en pacientes con encefalopatía hepática</t>
  </si>
  <si>
    <t xml:space="preserve">Source exam PDF page: 28</t>
  </si>
  <si>
    <t xml:space="preserve">ITEM 216  ·  Castilla y León 2022  ·  castilla-y-leon/2022 / Q93  ·  Non-case reserve</t>
  </si>
  <si>
    <t xml:space="preserve">Señale la opción INCORRECTA con respecto al síndrome de intestino corto:</t>
  </si>
  <si>
    <t xml:space="preserve">A. Las principales manifestaciones clínicas son la diarrea y la esteatorrea.</t>
  </si>
  <si>
    <t xml:space="preserve">B. La resección extensa de intestino delgado se relaciona con hiposecreción gástrica por disminución en los niveles de gastrina.</t>
  </si>
  <si>
    <t xml:space="preserve">C. La malabsorción de grasas secundaria a una resección ileal extensa se asocia a mayor riesgo de cálculos renales de oxalato cálcico.</t>
  </si>
  <si>
    <t xml:space="preserve">D. —</t>
  </si>
  <si>
    <t xml:space="preserve">ITEM 217  ·  Andalucía 2022  ·  andalucia/2022-extraordinaria-libre / Q115  ·  Practical</t>
  </si>
  <si>
    <t xml:space="preserve">CLINICAL CONTEXT — PART 1/2
[Full clinical context: andalucia-2022-extraordinaria-libre-caso-07]
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t>
  </si>
  <si>
    <t xml:space="preserve">CLINICAL CONTEXT — PART 2/2
interno. Una resonancia magnética observa una fístula perianal simple, sin abscesos.</t>
  </si>
  <si>
    <t xml:space="preserve">Indique cuál es el tratamiento adecuado en este caso.</t>
  </si>
  <si>
    <t xml:space="preserve">A. Debemos iniciar tratamiento antibiótico con ciprofloxacino o metronidazol.</t>
  </si>
  <si>
    <t xml:space="preserve">B. Además del antibiótico se debe intensificar el infliximab, o pasar adalimumab para controlar la enfermedad rectal.</t>
  </si>
  <si>
    <t xml:space="preserve">C. Debemos solicitar una ecografía endoanal previa a cualquier opción terapéutica.</t>
  </si>
  <si>
    <t xml:space="preserve">D. Al ser asintomática, basta realizar un seguimiento del paciente, no siendo preciso un tratamiento específico de la fístula.</t>
  </si>
  <si>
    <t xml:space="preserve">Context IDs: andalucia-2022-extraordinaria-libre-caso-07  |  Source exam PDF page: 31</t>
  </si>
  <si>
    <t xml:space="preserve">ITEM 218  ·  La Rioja 2021  ·  la-rioja/2020-2021 / Q62  ·  Standard/main</t>
  </si>
  <si>
    <t xml:space="preserve">Según los criterios de Roma IV, se define el síndrome de intestino irritable como:</t>
  </si>
  <si>
    <t xml:space="preserve">A. 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</si>
  <si>
    <t xml:space="preserve">B. 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</si>
  <si>
    <t xml:space="preserve">C. 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</si>
  <si>
    <t xml:space="preserve">D. 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</si>
  <si>
    <t xml:space="preserve">ITEM 219  ·  Región de Murcia 2019  ·  region-de-murcia/2019 / Q57  ·  Standard/main</t>
  </si>
  <si>
    <t xml:space="preserve">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</si>
  <si>
    <t xml:space="preserve">A. Corresponde a un índice de Rutgeerts i1, continua con azatioprina.</t>
  </si>
  <si>
    <t xml:space="preserve">B. Corresponde a un índice de Rutgeerts i0, continua con azatioprina.</t>
  </si>
  <si>
    <t xml:space="preserve">C. Corresponde a un índice de Rutgeerts i2b, cambiamos el tratamiento a un anti TNF.</t>
  </si>
  <si>
    <t xml:space="preserve">D. Corresponde a un índice de Rutgeerts i2a, continua con azatioprina.</t>
  </si>
  <si>
    <t xml:space="preserve">Source exam PDF page: 11</t>
  </si>
  <si>
    <t xml:space="preserve">ITEM 220  ·  Región de Murcia 2019  ·  region-de-murcia/2019 / Q119  ·  Standard/main</t>
  </si>
  <si>
    <t xml:space="preserve">Paciente 39 años, mujer, que acude por aumento de FA: 450 con GOT 65 y BRt de 2, Virus negativos, ANA -, LKM1: - AMA: 1/640. P-ANCA:-, BHCG -, ECO abdominal normal. ¿Cuál es el diagnóstico más probable?:</t>
  </si>
  <si>
    <t xml:space="preserve">A. Colangitis Biliar Primaria.</t>
  </si>
  <si>
    <t xml:space="preserve">B. Colangitis esclerosante primaria.</t>
  </si>
  <si>
    <t xml:space="preserve">C. Hepatitis autoinmune tipo I.</t>
  </si>
  <si>
    <t xml:space="preserve">D. Hepatitis autoinmune tipo II.</t>
  </si>
  <si>
    <t xml:space="preserve">Source exam PDF page: 20</t>
  </si>
  <si>
    <t xml:space="preserve">ITEM 221  ·  Castilla-La Mancha 2017  ·  castilla-la-mancha/2017-2018 / Q87  ·  Standard/main</t>
  </si>
  <si>
    <t xml:space="preserve">Atendiendo a las guías de Práctica Clínica Americanas de enfermedades vasculares hepáticas de 2020 de la Asociación Americana para el Estudio de las Enfermedades Hepáticas (AASLD), ¿Cuál de los siguientes enunciados es FALSO acerca del Síndrome de Budd-Chiari (SBC)?</t>
  </si>
  <si>
    <t xml:space="preserve">A. El cribado de varices esofágicas en el paciente con SBC crónico es igual que el del paciente cirrótico.</t>
  </si>
  <si>
    <t xml:space="preserve">B. Todos los pacientes con SBC deben recibir tratamiento anticoagulante.</t>
  </si>
  <si>
    <t xml:space="preserve">C. Si no hay respuesta al tratamiento médico debe de realizarse un tratamiento quirúrgico para la hipertensión portal.</t>
  </si>
  <si>
    <t xml:space="preserve">D. El trasplante hepático es útil en pacientes con fallo hepático agudo secundario a SBC y en pacientes con fracaso de otras terapias.</t>
  </si>
  <si>
    <t xml:space="preserve">ITEM 222  ·  Castilla-La Mancha 2022  ·  castilla-la-mancha/2022 / Q23  ·  Standard/main</t>
  </si>
  <si>
    <t xml:space="preserve">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</si>
  <si>
    <t xml:space="preserve">A. Vólvulo gástrico</t>
  </si>
  <si>
    <t xml:space="preserve">B. Síndrome de Bouveret</t>
  </si>
  <si>
    <t xml:space="preserve">C. Bezoar gástrico</t>
  </si>
  <si>
    <t xml:space="preserve">D. Síndrome de la pinza aorto-mesentérica</t>
  </si>
  <si>
    <t xml:space="preserve">Source exam PDF page: 5</t>
  </si>
  <si>
    <t xml:space="preserve">ITEM 223  ·  Aragón 2020  ·  aragon/2020 / Q102  ·  Non-case reserve</t>
  </si>
  <si>
    <t xml:space="preserve">En relación con la biopsia hepática, ¿cuál de estas afirmaciones es INCORRECTA?:</t>
  </si>
  <si>
    <t xml:space="preserve">A. Los estudios controlados no demuestran que la biopsia con control ecográfico ~~reduzca~~ la mortalidad, pero sí la incidencia de complicaciones graves.</t>
  </si>
  <si>
    <t xml:space="preserve">B. La indicación fundamental de la biopsia transyugular (BTY) es la presencia de una alteración grave de la coagulación.</t>
  </si>
  <si>
    <t xml:space="preserve">C. La eficacia diagnóstica de la BTY es muy elevada, lo que permite obtener un diagnóstico histológico correcto en cerca del 80% de los pacientes.</t>
  </si>
  <si>
    <t xml:space="preserve">D. La hemorragia peritoneal significativa es una complicación frecuente en la BTY.</t>
  </si>
  <si>
    <t xml:space="preserve">ITEM 224  ·  Comunitat Valenciana 2022  ·  comunitat-valenciana/2022 / Q24  ·  Standard/main</t>
  </si>
  <si>
    <t xml:space="preserve">Según las recomendaciones de la European Society of Gastrointestinal Endoscopy (ESGE) sobre la ecoendoscopia terapéutica ¿Cuál es el tiempo óptimo que debe transcurrir antes de realizar una CPRE transgástrica dirigida por ecoendoscopia después de la colocación de una prótesis de aposición luminal?</t>
  </si>
  <si>
    <t xml:space="preserve">A. Al menos 2 días.</t>
  </si>
  <si>
    <t xml:space="preserve">B. Al menos 5 días.</t>
  </si>
  <si>
    <t xml:space="preserve">C. Al menos 7 días.</t>
  </si>
  <si>
    <t xml:space="preserve">D. Al menos 10 días.</t>
  </si>
  <si>
    <t xml:space="preserve">ITEM 225  ·  Comunidad de Madrid 2021  ·  comunidad-de-madrid/2021 / Q125  ·  Standard/main</t>
  </si>
  <si>
    <t xml:space="preserve">En pacientes con síndrome de Lynch, ¿qué tipo de vigilancia endoscópica se recomienda para el cribado de cáncer colorrectal?</t>
  </si>
  <si>
    <t xml:space="preserve">A. Colonoscopia cada 1-2 años a partir de los 20-25 años</t>
  </si>
  <si>
    <t xml:space="preserve">B. Test inmunológico de sangre oculta en heces (SOHi) bienal a partir de los 50 años</t>
  </si>
  <si>
    <t xml:space="preserve">C. Colonoscopia cada 5 años a partir de los 30 años</t>
  </si>
  <si>
    <t xml:space="preserve">D. Sigmoidoscopia anual desde los 40 años</t>
  </si>
  <si>
    <t xml:space="preserve">ITEM 226  ·  Castilla-La Mancha 2017  ·  castilla-la-mancha/2017-2018 / Q14  ·  Standard/main</t>
  </si>
  <si>
    <t xml:space="preserve">Señale la complicación más frecuente de la úlcera péptica</t>
  </si>
  <si>
    <t xml:space="preserve">A. Perforación.</t>
  </si>
  <si>
    <t xml:space="preserve">B. Hemorragia.</t>
  </si>
  <si>
    <t xml:space="preserve">C. Obstrucción.</t>
  </si>
  <si>
    <t xml:space="preserve">D. Penetración.</t>
  </si>
  <si>
    <t xml:space="preserve">ITEM 227  ·  Región de Murcia 2019  ·  region-de-murcia/2019 / Q71  ·  Standard/main</t>
  </si>
  <si>
    <t xml:space="preserve">En estreñimiento funcional se recomiendan las siguientes medidas dietéticas menos una:</t>
  </si>
  <si>
    <t xml:space="preserve">A. Ingesta de 25-30 g de fibra soluble con la dieta al día.</t>
  </si>
  <si>
    <t xml:space="preserve">B. Ingesta adecuada de líquido (1,5-2 l al día).</t>
  </si>
  <si>
    <t xml:space="preserve">C. Patrón regular de comidas.</t>
  </si>
  <si>
    <t xml:space="preserve">D. Dieta sin gluten.</t>
  </si>
  <si>
    <t xml:space="preserve">Source exam PDF page: 13</t>
  </si>
  <si>
    <t xml:space="preserve">ITEM 228  ·  Andalucía 2022  ·  andalucia/2022-extraordinaria-libre / Q143  ·  Practical</t>
  </si>
  <si>
    <t xml:space="preserve">CLINICAL CONTEXT — PART 1/3
[Full clinical context: andalucia-2022-extraordinaria-libre-caso-17]
Paciente de 76 años con antecedentes de cáncer de endometrio 12 años antes, tratado con éxito mediante cirugía y raditerapia, e hipertensión arterial, en tratamiento con Omeprazol, Losartan, Lormetazepam, Levosulpiride, Metamizol y Optovite, que acude a urgencias por cuadro de dolor abdominal en epigastrio irradiado a hipocondrio derecho, constante, de gran intensidad, náuseas y vómitos de contenido alimentario-bilioso, así como sensación febril no termometrada sin clara tiritona. Exploración: TA: 161/68 mmHg; frecuencia</t>
  </si>
  <si>
    <t xml:space="preserve">CLINICAL CONTEXT — PART 2/3
cardíaca: 69 lpm; Temperatura: 37,6 ºC; Saturación: 97% (aire ambiente). Buen estado general. Consciente, alerta y orientada. Eupneica en reposo. No cortejo vegetativo ni bacteriémico. ACR: Tonos rítmicos, sin soplos audibles. Abdomen: Blando y depresible. Dolor a la palpación en epigastrio e hipocondrio derecho. No signos de peritonismo; ruidos algo disminuidos, de timbre normal. No se palpan masas ni megalias. Miembros inferiores sin edemas. ANALÍTICA: Destaca leucocitosis de 18.420/mm³ (91% PMN), amilasa 5.518 U/L, AST: 93 U/L, ALT: 63 U/L, Fosfatasa alcalina: 350 U/L, GammaGT: 267 U/L,</t>
  </si>
  <si>
    <t xml:space="preserve">CLINICAL CONTEXT — PART 3/3
Bilirrubina total 3 mg/dL; PCR: 200,1 mg/L, procalcitonina 9,72 ng/mL.</t>
  </si>
  <si>
    <t xml:space="preserve">Teniendo en cuenta su anterior respuesta, ¿de qué tipo de pancreatitis estaríamos hablando, según la clasificación de Atlanta?</t>
  </si>
  <si>
    <t xml:space="preserve">A. Es una pancreatitis aguda leve, porque el fallo orgánico es transitorio y no hay complicaciones locales.</t>
  </si>
  <si>
    <t xml:space="preserve">B. Es una pancreatitis aguda moderadamente severa, porque el fallo orgánico puede ser transitorio.</t>
  </si>
  <si>
    <t xml:space="preserve">C. Es una pancreatitis aguda necrotizante, no pudiendo precisarse más porque estamos en fase temprana de la enfermedad.</t>
  </si>
  <si>
    <t xml:space="preserve">D. Es una pancreatitis aguda grave, porque presenta un fallo respiratorio que ya no puede considerarse transitorio, pues se prolonga más de 48 horas.</t>
  </si>
  <si>
    <t xml:space="preserve">Context IDs: andalucia-2022-extraordinaria-libre-caso-17  |  Source exam PDF page: 40</t>
  </si>
  <si>
    <t xml:space="preserve">ITEM 229  ·  Comunitat Valenciana 2022  ·  comunitat-valenciana/2022 / Q58  ·  Standard/main</t>
  </si>
  <si>
    <t xml:space="preserve">El dato clínico para establecer el diagnóstico de insuficiencia hepática aguda en un adulto es:</t>
  </si>
  <si>
    <t xml:space="preserve">A. Subictericia.</t>
  </si>
  <si>
    <t xml:space="preserve">B. Ascitis.</t>
  </si>
  <si>
    <t xml:space="preserve">C. Encefalopatía.</t>
  </si>
  <si>
    <t xml:space="preserve">D. Cualquiera de ellas.</t>
  </si>
  <si>
    <t xml:space="preserve">ITEM 230  ·  Región de Murcia 2019  ·  region-de-murcia/2019 / Q69  ·  Standard/main</t>
  </si>
  <si>
    <t xml:space="preserve">Paciente de 25 años que consulta por dolor abdominal recidivante, que presenta 3 días a la semana en los últimos 4 meses, asociado hábito alternante con predominio de estreñimiento, sin criterios clínicos de alarma. ¿Cuál sería el fármaco indicado como primera opción?:</t>
  </si>
  <si>
    <t xml:space="preserve">A. Fibra soluble.</t>
  </si>
  <si>
    <t xml:space="preserve">B. Laxante osmótico.</t>
  </si>
  <si>
    <t xml:space="preserve">C. Linaclotida.</t>
  </si>
  <si>
    <t xml:space="preserve">D. Prucaloprida.</t>
  </si>
  <si>
    <t xml:space="preserve">Source exam PDF page: 12</t>
  </si>
  <si>
    <t xml:space="preserve">ITEM 231  ·  La Rioja 2021  ·  la-rioja/2020-2021 / Q44  ·  Standard/main</t>
  </si>
  <si>
    <t xml:space="preserve">En relación al manejo de la ascitis en la cirrosis descompensada, indique la respuesta incorrecta:</t>
  </si>
  <si>
    <t xml:space="preserve">A. Es recomendable una dieta con un contenido muy bajo de sodio (&lt;40 mmol / día) en pacientes con ascitis moderada.</t>
  </si>
  <si>
    <t xml:space="preserve">B. La administración de baclofeno es beneficiosa en pacientes con calambres musculares secundarios al tratamiento diurético.</t>
  </si>
  <si>
    <t xml:space="preserve">C. En la actualidad, no se recomienda la adición de clonidina o midodrina al tratamiento diurético en la ascitis refractaria.</t>
  </si>
  <si>
    <t xml:space="preserve">D. Después de la paracentesis evacuadora, los pacientes deben recibir la dosis mínima de diuréticos necesaria para prevenir la reaparición de la ascitis.</t>
  </si>
  <si>
    <t xml:space="preserve">ITEM 232  ·  Aragón 2017  ·  aragon/2017 / Q83  ·  Standard/main</t>
  </si>
  <si>
    <t xml:space="preserve">Una de las siguientes medidas terapéuticas NO ha demostrado ser de utilidad alguna en el tratamiento de la enfermedad de Ménétrier</t>
  </si>
  <si>
    <t xml:space="preserve">A. Anticuerpos monoclonales frente al factor de crecimiento transformante alfa (TGF-alfa).</t>
  </si>
  <si>
    <t xml:space="preserve">B. Erradicar la infección por H. pylori</t>
  </si>
  <si>
    <t xml:space="preserve">C. Anticolinérgicos.</t>
  </si>
  <si>
    <t xml:space="preserve">D. Infliximab</t>
  </si>
  <si>
    <t xml:space="preserve">Source exam PDF page: 29</t>
  </si>
  <si>
    <t xml:space="preserve">ITEM 233  ·  Comunidad de Madrid 2021  ·  comunidad-de-madrid/2021 / Q151  ·  Non-case reserve</t>
  </si>
  <si>
    <t xml:space="preserve">¿Cual de las siguientes es correcta en relacion con el tratamiento con ácido ursodesoxicolico en la colangitis biliar primaria?</t>
  </si>
  <si>
    <t xml:space="preserve">A. La dosis recomendada es de 5 mg/kg/día</t>
  </si>
  <si>
    <t xml:space="preserve">B. La respuesta se valora por la normalización de la GGT</t>
  </si>
  <si>
    <t xml:space="preserve">C. La respuesta al tratamiento tiene valor pronóstico</t>
  </si>
  <si>
    <t xml:space="preserve">D. No debe iniciarse hasta que la bilirrubina supere los 2 mg/dl</t>
  </si>
  <si>
    <t xml:space="preserve">Source exam PDF page: 27</t>
  </si>
  <si>
    <t xml:space="preserve">ITEM 234  ·  Región de Murcia 2019  ·  region-de-murcia/2019 / Q43  ·  Standard/main</t>
  </si>
  <si>
    <t xml:space="preserve">La bondad de la FIBRA en la dieta es consecuencia de los siguientes efectos beneficiosos (señale la opción FALSA):</t>
  </si>
  <si>
    <t xml:space="preserve">A. Disminución del pH fecal mediante transformación a ácidos grasos de cadena corta.</t>
  </si>
  <si>
    <t xml:space="preserve">B. Disminución fecal de los ácidos biliares secundarios y mutágenos.</t>
  </si>
  <si>
    <t xml:space="preserve">C. Disminución del volumen fecal.</t>
  </si>
  <si>
    <t xml:space="preserve">D. Aumento del volumen fecal.</t>
  </si>
  <si>
    <t xml:space="preserve">Source exam PDF page: 8</t>
  </si>
  <si>
    <t xml:space="preserve">ITEM 235  ·  Castilla-La Mancha 2022  ·  castilla-la-mancha/2022 / Q102  ·  Non-case reserve</t>
  </si>
  <si>
    <t xml:space="preserve">El síndrome de Stauffer es un cuadro de colestasis intrahepática de origen paraneoplásico descrito inicialmente asociado a</t>
  </si>
  <si>
    <t xml:space="preserve">A. Cáncer pulmonar microcítico.</t>
  </si>
  <si>
    <t xml:space="preserve">B. Carcinoma hepatocelular.</t>
  </si>
  <si>
    <t xml:space="preserve">C. Carcinoma de células renales.</t>
  </si>
  <si>
    <t xml:space="preserve">D. Adenocarcinoma de páncreas.</t>
  </si>
  <si>
    <t xml:space="preserve">ITEM 236  ·  Galicia 2019  ·  galicia/ope-2019 / Q105  ·  Non-case reserve</t>
  </si>
  <si>
    <t xml:space="preserve">¿Cuál de las siguientes entidades es una causa típica de hipertensión portal presinusoidal?</t>
  </si>
  <si>
    <t xml:space="preserve">A. Esquistosomiasis.</t>
  </si>
  <si>
    <t xml:space="preserve">B. Síndrome de Budd-Chiari.</t>
  </si>
  <si>
    <t xml:space="preserve">C. Insuficiencia cardíaca congestiva.</t>
  </si>
  <si>
    <t xml:space="preserve">D. Pericarditis constrictiva.</t>
  </si>
  <si>
    <t xml:space="preserve">ITEM 237  ·  Castilla y León 2019  ·  castilla-y-leon/2019 / Q159  ·  Non-case reserve</t>
  </si>
  <si>
    <t xml:space="preserve">La paracentesis evacuadora en paciente con Cirrosis Hepática y descompensación hidrópica puede realizarse:</t>
  </si>
  <si>
    <t xml:space="preserve">A. Sólo si hay fracaso a tratamiento con diuréticos</t>
  </si>
  <si>
    <t xml:space="preserve">B. Sólo si la ascitis es a tensión</t>
  </si>
  <si>
    <t xml:space="preserve">C. En cualquier circunstancia en que no esté contraindicada</t>
  </si>
  <si>
    <t xml:space="preserve">D. Solo si el paciente presenta datos concomitantes de encefalopatía hepática</t>
  </si>
  <si>
    <t xml:space="preserve">ITEM 238  ·  Castilla-La Mancha 2022  ·  castilla-la-mancha/2022 / Q105  ·  Non-case reserve</t>
  </si>
  <si>
    <t xml:space="preserve">Conforme al artículo 17.1 del Estatuto Marco son derechos individuales del personal estatutario de los servicios de salud</t>
  </si>
  <si>
    <t xml:space="preserve">A. El descanso necesario, mediante la limitación de la jornada, las vacaciones periódicas retribuidas y permisos en los términos que se establezcan.</t>
  </si>
  <si>
    <t xml:space="preserve">B. El derecho de reunión.</t>
  </si>
  <si>
    <t xml:space="preserve">C. La negociación colectiva.</t>
  </si>
  <si>
    <t xml:space="preserve">D. La libre sindicación</t>
  </si>
  <si>
    <t xml:space="preserve">ITEM 239  ·  Castilla y León 2022  ·  castilla-y-leon/2022 / Q27  ·  Standard/main</t>
  </si>
  <si>
    <t xml:space="preserve">En relación con el colangiocarcinoma, ¿cuál de las siguientes afirmaciones es falsa?:</t>
  </si>
  <si>
    <t xml:space="preserve">A. El tipo histológico más frecuentes es el adenocarcinoma.</t>
  </si>
  <si>
    <t xml:space="preserve">B. El colangiocarcinoma intrahepático tiende a la formación de masas.</t>
  </si>
  <si>
    <t xml:space="preserve">C. Los adenocarcinomas intraductales-papilares se extienden en profundidad a lo largo de la mucosa biliar invadiendo las capas de las paredes fibromusculares.</t>
  </si>
  <si>
    <t xml:space="preserve">ITEM 240  ·  Andalucía 2022  ·  andalucia/2022-extraordinaria-libre / Q133  ·  Practical</t>
  </si>
  <si>
    <t xml:space="preserve">CLINICAL CONTEXT
[Full clinical context: andalucia-2022-extraordinaria-libre-caso-14]
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</si>
  <si>
    <t xml:space="preserve">¿Cuál es la actitud más adecuada?</t>
  </si>
  <si>
    <t xml:space="preserve">A. Acido Ursodesoxicólico a dosis elevadas.</t>
  </si>
  <si>
    <t xml:space="preserve">B. Hepatectomía de los segmentos afectos.</t>
  </si>
  <si>
    <t xml:space="preserve">C. Iniciar protocolo pretrasplante hepático.</t>
  </si>
  <si>
    <t xml:space="preserve">D. CPRE con colangioscopia y drenaje biliar selectivo de las zonas afectas.</t>
  </si>
  <si>
    <t xml:space="preserve">Context IDs: andalucia-2022-extraordinaria-libre-caso-14  |  Source exam PDF page: 36</t>
  </si>
  <si>
    <t xml:space="preserve">ITEM 241  ·  Castilla y León 2022  ·  castilla-y-leon/2022 / Q87  ·  Standard/main</t>
  </si>
  <si>
    <t xml:space="preserve">Entre los factores asociados a un aumento de frecuencia en la población de enfermedad de Crohn NO se encuentra uno de los siguientes:</t>
  </si>
  <si>
    <t xml:space="preserve">A. Antibióticos en la infancia.</t>
  </si>
  <si>
    <t xml:space="preserve">B. Dieta pobre en fibra.</t>
  </si>
  <si>
    <t xml:space="preserve">C. Lactancia materna.</t>
  </si>
  <si>
    <t xml:space="preserve">ITEM 242  ·  Castilla y León 2022  ·  castilla-y-leon/2022 / Q42  ·  Standard/main</t>
  </si>
  <si>
    <t xml:space="preserve">Ante un paciente que inicia tratamiento con Rituximab, deberíamos plantear tratamiento preventivo de reactivación del VBH:</t>
  </si>
  <si>
    <t xml:space="preserve">A. Solo en los pacientes con HBsAg POSITIVO.</t>
  </si>
  <si>
    <t xml:space="preserve">B. Solo en los pacientes con HBcAc POSITIVO.</t>
  </si>
  <si>
    <t xml:space="preserve">C. Tanto en los pacientes HBsAg POSITIVO como en los HBcAc POSITIVO.</t>
  </si>
  <si>
    <t xml:space="preserve">ITEM 243  ·  Comunidad de Madrid 2021  ·  comunidad-de-madrid/2021 / Q147  ·  Standard/main</t>
  </si>
  <si>
    <t xml:space="preserve">La primera línea de tratamiento farmacológico para la colangitis biliar primaria es:</t>
  </si>
  <si>
    <t xml:space="preserve">A. Metotrexato</t>
  </si>
  <si>
    <t xml:space="preserve">B. Ácido ursodesoxicólico (UDCA)</t>
  </si>
  <si>
    <t xml:space="preserve">C. Azatioprina</t>
  </si>
  <si>
    <t xml:space="preserve">D. Ciclosporina</t>
  </si>
  <si>
    <t xml:space="preserve">ITEM 244  ·  Aragón 2020  ·  aragon/2020 / Q108  ·  Non-case reserve</t>
  </si>
  <si>
    <t xml:space="preserve">En el tratamiento del fallo hepático agudo sobre crónico con fallo renal agudo (AKI: acute kidney injury) son ciertas las siguientes afirmaciones EXCEPTO:</t>
  </si>
  <si>
    <t xml:space="preserve">A. Se deben retirar los diuréticos.</t>
  </si>
  <si>
    <t xml:space="preserve">B. En la reanimación hemodinámica están contraindicados los preparados a base de coloides de almidón.</t>
  </si>
  <si>
    <t xml:space="preserve">C. En caso de shock persistente el vasopresor indicado es norepinefrina.</t>
  </si>
  <si>
    <t xml:space="preserve">D. La diálisis de albúmina mediante el Sistema Recirculante de Absorción Molecular (MARS) mejora la supervivencia a corto plazo (28 días).</t>
  </si>
  <si>
    <t xml:space="preserve">ITEM 245  ·  Comunitat Valenciana 2022  ·  comunitat-valenciana/2022 / Q31  ·  Standard/main</t>
  </si>
  <si>
    <t xml:space="preserve">¿Cuál de los siguientes es el tumor metastásico más frecuente en el estómago?</t>
  </si>
  <si>
    <t xml:space="preserve">A. Mama.</t>
  </si>
  <si>
    <t xml:space="preserve">B. Melanoma.</t>
  </si>
  <si>
    <t xml:space="preserve">C. Pulmón.</t>
  </si>
  <si>
    <t xml:space="preserve">D. Ovario.</t>
  </si>
  <si>
    <t xml:space="preserve">ITEM 246  ·  Galicia 2019  ·  galicia/ope-2019 / Q109  ·  Non-case reserve</t>
  </si>
  <si>
    <t xml:space="preserve">¿Cuál de las siguientes entidades se asocia con más frecuencia a la colangitis esclerosante primaria?</t>
  </si>
  <si>
    <t xml:space="preserve">A. Lupus eritematoso sistémico.</t>
  </si>
  <si>
    <t xml:space="preserve">B. Esclerodermia.</t>
  </si>
  <si>
    <t xml:space="preserve">C. Enfermedad celíaca.</t>
  </si>
  <si>
    <t xml:space="preserve">ITEM 247  ·  Comunidad de Madrid 2021  ·  comunidad-de-madrid/2021 / Q156  ·  Non-case reserve</t>
  </si>
  <si>
    <t xml:space="preserve">Farmacoterapia y sedación en endoscopia. ¿Cuál de las siguientes asociaciones entre fármaco y objetivo terapéutico es FALSA?</t>
  </si>
  <si>
    <t xml:space="preserve">A. Propofol- Sedación profunda.</t>
  </si>
  <si>
    <t xml:space="preserve">B. Fentanilo- Analgesia.</t>
  </si>
  <si>
    <t xml:space="preserve">C. Naloxona- Antagonista benzodiacepinico.</t>
  </si>
  <si>
    <t xml:space="preserve">D. Midazolam- Sedación superficial.</t>
  </si>
  <si>
    <t xml:space="preserve">ITEM 248  ·  Comunidad de Madrid 2021  ·  comunidad-de-madrid/2021 / Q157  ·  Non-case reserve</t>
  </si>
  <si>
    <t xml:space="preserve">¿Cuál de las afirmaciones siguientes es FALSA en relación con la infección por H pylori?</t>
  </si>
  <si>
    <t xml:space="preserve">A. Se debe excluir gastritis por H. pylori antes de hacer un diagnóstico de dispepsia funcional</t>
  </si>
  <si>
    <t xml:space="preserve">B. Antes de testar por la presencia de infección por H. pylori, los IBP deben suspenderse 2 semanas antes y los compuestos con bismuto y los antibióticos 4 semanas antes</t>
  </si>
  <si>
    <t xml:space="preserve">C. Como tratamiento de primera línea de la infección por H. pylori se recomienda una pauta cuádruple concomitante sin bismuto (IBP, claritromicina, amoxicilina y metronidazol) o una combinación cuádruple con bismuto (IBP, bismuto, tetraciclina y metronidazol)</t>
  </si>
  <si>
    <t xml:space="preserve">D. Se recomienda que la duración del tratamiento con terapia cuádruple sin bismuto o cuádruple con bismuto sea de 14 días</t>
  </si>
  <si>
    <t xml:space="preserve">ITEM 249  ·  Aragón 2020  ·  aragon/2020 / Q101  ·  Non-case reserve</t>
  </si>
  <si>
    <t xml:space="preserve">Respecto al octreótido, un análogo sintético de la somatostatina, ¿qué afirmación NO es cierta?</t>
  </si>
  <si>
    <t xml:space="preserve">A. Su vida media es de unas 8 horas.</t>
  </si>
  <si>
    <t xml:space="preserve">B. Está indicado en el síndrome de Zollinger-Ellison.</t>
  </si>
  <si>
    <t xml:space="preserve">C. Está indicado en el síndrome del intestino corto.</t>
  </si>
  <si>
    <t xml:space="preserve">D. Puede utilizarse en el síndrome carcinoide.</t>
  </si>
  <si>
    <t xml:space="preserve">ITEM 250  ·  Aragón 2020  ·  aragon/2020 / Q106  ·  Non-case reserve</t>
  </si>
  <si>
    <t xml:space="preserve">La clasificación de Chicago se refiere a:</t>
  </si>
  <si>
    <t xml:space="preserve">A. Una clasificación de la candidiasis esofágica.</t>
  </si>
  <si>
    <t xml:space="preserve">B. Una clasificación de los trastornos motores esofágicos basada en manometría de alta resolución.</t>
  </si>
  <si>
    <t xml:space="preserve">C. Una clasificación de la esofagitis por cáusticos.</t>
  </si>
  <si>
    <t xml:space="preserve">D. Una clasificación del tipo de estenosis esofágica.</t>
  </si>
  <si>
    <t xml:space="preserve">ITEM 251  ·  Región de Murcia 2019  ·  region-de-murcia/2019 / Q142  ·  Standard/main</t>
  </si>
  <si>
    <t xml:space="preserve">En relación a la peritonitis Bacteriana espontanea (PBE), señale la respuesta verdadera:</t>
  </si>
  <si>
    <t xml:space="preserve">A. Se resuelve con tratamiento antibiótico en la mayoría de los pacientes.</t>
  </si>
  <si>
    <t xml:space="preserve">B. Los organismos más comúnmente aislados son bacterias Gram positivas.</t>
  </si>
  <si>
    <t xml:space="preserve">C. La aparición de PBE en un paciente cirrótico no condiciona un empeoramiento del pronóstico de la enfermedad.</t>
  </si>
  <si>
    <t xml:space="preserve">D. Nunca hay que plantear diagnóstico diferencial con una peritonitis bacteriana secundaria.</t>
  </si>
  <si>
    <t xml:space="preserve">ITEM 252  ·  Aragón 2017  ·  aragon/2017 / Q53  ·  Standard/main</t>
  </si>
  <si>
    <t xml:space="preserve">Señale cuál de estas afirmaciones NO es cierta respecto al uso de propofol en exploraciones endoscópicas:</t>
  </si>
  <si>
    <t xml:space="preserve">A. El uso de propofol por personal de enfermería entrenado es equiparable en seguridad a los sedantes tradicionales si se hace en las condiciones de monitorización y vigilancia adecuadas</t>
  </si>
  <si>
    <t xml:space="preserve">B. La utilización de propofol por personal de endoscopias en pacientes ASA III es posible y segura cuando se realiza en unidades de endoscopia con experiencia en el uso del mismo</t>
  </si>
  <si>
    <t xml:space="preserve">C. La dosificación del propofol debe individualizarse de acuerdo a la respuesta y condiciones basales del paciente</t>
  </si>
  <si>
    <t xml:space="preserve">D. La administración de midazolam previa al propofol permite reducir sus dosis y disminuir los efectos adversos, especialmente la hipotensión en cardiópatas o en situaciones de hipovolemia, porque disminuye el tiempo de recuperación</t>
  </si>
  <si>
    <t xml:space="preserve">ITEM 253  ·  Galicia 2019  ·  galicia/ope-2019 / Q102  ·  Non-case reserve</t>
  </si>
  <si>
    <t xml:space="preserve">Los siguientes factores incrementan el riesgo de pancreatitis postCPRE EXCEPTO:</t>
  </si>
  <si>
    <t xml:space="preserve">A. Pancreatitis crónica.</t>
  </si>
  <si>
    <t xml:space="preserve">B. Sexo femenino.</t>
  </si>
  <si>
    <t xml:space="preserve">C. Vía biliar no dilatada.</t>
  </si>
  <si>
    <t xml:space="preserve">D. Disfunción del esfínter de Oddi.</t>
  </si>
  <si>
    <t xml:space="preserve">ITEM 254  ·  Galicia 2019  ·  galicia/ope-2019 / Q104  ·  Non-case reserve</t>
  </si>
  <si>
    <t xml:space="preserve">En cuanto a la diarrea secretora, es VERDADERO:</t>
  </si>
  <si>
    <t xml:space="preserve">A. Una causa es el déficit adquirido de la lactasa.</t>
  </si>
  <si>
    <t xml:space="preserve">B. Se puede producir por consumo excesivo de sorbitol.</t>
  </si>
  <si>
    <t xml:space="preserve">C. Continúa a pesar del ayuno.</t>
  </si>
  <si>
    <t xml:space="preserve">D. Es el mecanismo de acción de la lactulosa.</t>
  </si>
  <si>
    <t xml:space="preserve">ITEM 255  ·  Región de Murcia 2019  ·  region-de-murcia/2019 / Q11  ·  Standard/main</t>
  </si>
  <si>
    <t xml:space="preserve">Respecto a la Esofagitis por Candida, señale la opción FALSA:</t>
  </si>
  <si>
    <t xml:space="preserve">A. La ausencia de afectación orofaríngea, excluye el diagnóstico de esofagitis candidiásica.</t>
  </si>
  <si>
    <t xml:space="preserve">B. Las infecciones esofágicas por Candida albicans son las más frecuentes tanto en los pacientes inmunodeprimidos como en los inmunocompetentes.</t>
  </si>
  <si>
    <t xml:space="preserve">C. Candida albicans puede encontrarse en el esófago como comensal.</t>
  </si>
  <si>
    <t xml:space="preserve">D. En cuanto al tratamiento, es de elección el fluconazol en dosis de 200-400 mg/día durante 14-21 días.</t>
  </si>
  <si>
    <t xml:space="preserve">Source exam PDF page: 2</t>
  </si>
  <si>
    <t xml:space="preserve">ITEM 256  ·  Andalucía 2021  ·  andalucia/2021-22-libre / Q40  ·  Theoretical</t>
  </si>
  <si>
    <t xml:space="preserve">De las siguientes acciones se recomienda en una primera visita de diarrea crónica acuosa sin sangre, de características funcionales. Señale cual es la apropiada:</t>
  </si>
  <si>
    <t xml:space="preserve">A. Solicitaría un Tc abdominal con contraste endovenoso.</t>
  </si>
  <si>
    <t xml:space="preserve">B. Solicitaría serologías de Yersinia enterocolítica.</t>
  </si>
  <si>
    <t xml:space="preserve">C. Revisaría si hay algún fármaco potencialmente asociado a la diarrea.</t>
  </si>
  <si>
    <t xml:space="preserve">D. Dado que se trata de una diarrea de características funcionales no precisa realizar exploración física.</t>
  </si>
  <si>
    <t xml:space="preserve">ITEM 257  ·  Comunidad de Madrid 2021  ·  comunidad-de-madrid/2021 / Q155  ·  Non-case reserve</t>
  </si>
  <si>
    <t xml:space="preserve">¿Cuál de los siguientes criterios es imprescindible para realizar el diagnóstico de pancreatitis aguda?</t>
  </si>
  <si>
    <t xml:space="preserve">A. Elevación de amilasa y lipasa sérica más de tres veces el límite superior de la normalidad</t>
  </si>
  <si>
    <t xml:space="preserve">B. Dolor abdominal en piso abdominal superior</t>
  </si>
  <si>
    <t xml:space="preserve">C. Datos compatibles en prueba de imagen (ecografía, TC o resonancia magnética) compatibles</t>
  </si>
  <si>
    <t xml:space="preserve">D. Ninguno de las anteriores</t>
  </si>
  <si>
    <t xml:space="preserve">ITEM 258  ·  Andalucía 2022  ·  andalucia/2022-extraordinaria-libre / Q101  ·  Practical</t>
  </si>
  <si>
    <t xml:space="preserve">CLINICAL CONTEXT — PART 1/3
[Full clinical context: andalucia-2022-extraordinaria-libre-caso-01]
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t>
  </si>
  <si>
    <t xml:space="preserve">CLINICAL CONTEXT — PART 2/3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t>
  </si>
  <si>
    <t xml:space="preserve">CLINICAL CONTEXT — PART 3/3
HBsAg negativo, Ac-HBc positivos, Ac-VHC negativos.</t>
  </si>
  <si>
    <t xml:space="preserve">Una de las afirmaciones siguientes, en el contexto de una primera evaluación del paciente, es INCORRECTA:</t>
  </si>
  <si>
    <t xml:space="preserve">A. La encefalopatía del paciente en fases iniciales justificaría una dieta baja en proteínas.</t>
  </si>
  <si>
    <t xml:space="preserve">B. Entre las actuaciones iniciales debe incluirse una paracentesis diagnóstica y una ecografía.</t>
  </si>
  <si>
    <t xml:space="preserve">C. A pesar de los antecedentes clínicos de este paciente y sus hábitos tóxicos, no se puede establecer de entrada una contraindicación absoluta para trasplante hepático.</t>
  </si>
  <si>
    <t xml:space="preserve">D. La utilización de diuréticos en este paciente tiene un alto riesgo de efectos secundarios.</t>
  </si>
  <si>
    <t xml:space="preserve">Context IDs: andalucia-2022-extraordinaria-libre-caso-01  |  Source exam PDF page: 27</t>
  </si>
  <si>
    <t xml:space="preserve">ITEM 259  ·  Castilla y León 2022  ·  castilla-y-leon/2022 / Q94  ·  Non-case reserve</t>
  </si>
  <si>
    <t xml:space="preserve">Con respecto a la hepatitis autoinmune ¿Qué es falso?</t>
  </si>
  <si>
    <t xml:space="preserve">A. La presencia de niveles elevados de IgG, especialmente en ausencia de cirrosis, es una característica distintiva de la Hepatitis autoinmune. Una IgG selectivamente elevada en ausencia de IgA e IgM es particularmente sugestiva de HAI.</t>
  </si>
  <si>
    <t xml:space="preserve">B. La demostración histológica de hepatitis era un requisito previo para el diagnóstico de Hepatitis autoinmune, pero en la actualidad puede sustituirse por la elastografía hepática mucho menos invasiva.</t>
  </si>
  <si>
    <t xml:space="preserve">C. La coexistencia de características de Hepatitis autoinmune e hígado colestásico pueden observarse, tanto en el momento del diagnóstico como durante el seguimiento por los que deben realizarse pruebas de diagnóstico de CBP y CEP en pacientes que muestran características de colestasis.</t>
  </si>
  <si>
    <t xml:space="preserve">ITEM 260  ·  Galicia 2022  ·  galicia/ope-2022 / Q106  ·  Non-case reserve</t>
  </si>
  <si>
    <t xml:space="preserve">Señale la respuesta FALSA en relación con el trasplante hepático en pacientes con fallo hepático agudo:</t>
  </si>
  <si>
    <t xml:space="preserve">A. El contacto con el centro de trasplante y la planificación apropiada del traslado debe hacerse de forma temprana en la evaluación del paciente.</t>
  </si>
  <si>
    <t xml:space="preserve">B. Están indicados los sistemas de soporte hepático como puente al trasplante.</t>
  </si>
  <si>
    <t xml:space="preserve">C. En pacientes con hepatomegalia gigante debe descartarse infiltración maligna mediante pruebas de imagen o biopsia.</t>
  </si>
  <si>
    <t xml:space="preserve">D. Debe indicarse el trasplante en aquellos pacientes que cumplen criterios del Kings College o de Clichy.</t>
  </si>
  <si>
    <t xml:space="preserve">ITEM 261  ·  Andalucía 2021  ·  andalucia/2021-22-libre / Q50  ·  Theoretical</t>
  </si>
  <si>
    <t xml:space="preserve">El virus de la hepatitis B tiene varias mutaciones, la más importante es la mutación pre-C o pre-core, que es la más frecuente en nuestro medio. Indique lo que considere falso:</t>
  </si>
  <si>
    <t xml:space="preserve">A. Es una variante mas agresiva, con peor pronóstico</t>
  </si>
  <si>
    <t xml:space="preserve">B. Se caracteriza por no detectarse el Ag HBe</t>
  </si>
  <si>
    <t xml:space="preserve">C. Nunca coexiste con la variante no mutada</t>
  </si>
  <si>
    <t xml:space="preserve">D. La mutación mas frecuente es la sustitución de una única base</t>
  </si>
  <si>
    <t xml:space="preserve">ITEM 262  ·  Galicia 2022  ·  galicia/ope-2022 / Q108  ·  Non-case reserve</t>
  </si>
  <si>
    <t xml:space="preserve">En cuanto al cáncer colo-rectal, señale la respuesta INCORRECTA:</t>
  </si>
  <si>
    <t xml:space="preserve">A. Es el más frecuente en España globalmente.</t>
  </si>
  <si>
    <t xml:space="preserve">B. La forma hereditaria más frecuente es el Síndrome de Lynch.</t>
  </si>
  <si>
    <t xml:space="preserve">C. La obesidad es un factor de riesgo.</t>
  </si>
  <si>
    <t xml:space="preserve">D. Se recomienda administrar suplementos de vitamina D en poblaciones de riesgo de cáncer de colon.</t>
  </si>
  <si>
    <t xml:space="preserve">ITEM 263  ·  La Rioja 2024  ·  la-rioja/2023-2024 / Q62  ·  Standard/main</t>
  </si>
  <si>
    <t xml:space="preserve">Respecto al tratamiento con Mirikizumab en colitis ulcerosa, señale la respuesta VERDADERA:</t>
  </si>
  <si>
    <t xml:space="preserve">A. Es un anticuerpo monoclonal IgG4 humanizado que se une a la subunidad p19 de la IL-23.</t>
  </si>
  <si>
    <t xml:space="preserve">B. La inducción extendida (3 dosis más de 300 mg iv cada 4 semanas), consigue que más del 80% de pacientes alcancen respuesta clínica en semana 24 en los estudios de registro.</t>
  </si>
  <si>
    <t xml:space="preserve">C. Está indicado en pacientes que han perdido respuesta al tratamiento con Ustekinumab (anti IL-12/23).</t>
  </si>
  <si>
    <t xml:space="preserve">D. Todas las anteriores son ciertas.</t>
  </si>
  <si>
    <t xml:space="preserve">ITEM 264  ·  Galicia 2022  ·  galicia/ope-2022 / Q101  ·  Non-case reserve</t>
  </si>
  <si>
    <t xml:space="preserve">En los cánceres ductales de cabeza de páncreas, ¿cuál de los siguientes criterios NO se corresponde con un tumor resecable "borderline"?</t>
  </si>
  <si>
    <t xml:space="preserve">A. Contacto con la arteria mesentérica superior menos de 180 grados.</t>
  </si>
  <si>
    <t xml:space="preserve">B. Invasión de la pared duodenal.</t>
  </si>
  <si>
    <t xml:space="preserve">C. Contacto con la vena cava inferior.</t>
  </si>
  <si>
    <t xml:space="preserve">D. Contacto con la vena mesentérica superior más de 180 grados.</t>
  </si>
  <si>
    <t xml:space="preserve">ITEM 265  ·  Galicia 2022  ·  galicia/ope-2022 / Q105  ·  Non-case reserve</t>
  </si>
  <si>
    <t xml:space="preserve">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</si>
  <si>
    <t xml:space="preserve">A. Resección.</t>
  </si>
  <si>
    <t xml:space="preserve">B. Ablación.</t>
  </si>
  <si>
    <t xml:space="preserve">C. Trasplante hepático.</t>
  </si>
  <si>
    <t xml:space="preserve">D. Quimioembolización transarterial.</t>
  </si>
  <si>
    <t xml:space="preserve">ITEM 266  ·  Aragón 2017  ·  aragon/2017 / Q106  ·  Non-case reserve</t>
  </si>
  <si>
    <t xml:space="preserve">Respecto al tratamiento del estreñimiento crónico idiopático, ¿Cuál de las siguientes afirmaciones NO es cierta?</t>
  </si>
  <si>
    <t xml:space="preserve">A. Se recomienda un consumo de fibra dietética de 20 a 35 gr al día</t>
  </si>
  <si>
    <t xml:space="preserve">B. El psyllium es un laxante formador de volumen</t>
  </si>
  <si>
    <t xml:space="preserve">C. La prucaloprida actúa activando los canales de cloro</t>
  </si>
  <si>
    <t xml:space="preserve">D. La linaclotida es un agonista de la guanilato-ciclasa</t>
  </si>
  <si>
    <t xml:space="preserve">ITEM 267  ·  La Rioja 2021  ·  la-rioja/2020-2021 / Q77  ·  Standard/main</t>
  </si>
  <si>
    <t xml:space="preserve">Indique la respuesta falsa respecto a la litotricia mecánica biliar.</t>
  </si>
  <si>
    <t xml:space="preserve">A. Fue descrita por primera vez en la década de 1980.</t>
  </si>
  <si>
    <t xml:space="preserve">B. Es imprescindible la visión directa de la litiasis mediante colangioscopia para poder practicarla.</t>
  </si>
  <si>
    <t xml:space="preserve">C. La mayoría de los dispositivos son rígidos y de cierta dificultad de manejo.</t>
  </si>
  <si>
    <t xml:space="preserve">D. Es la modalidad de litotricia más económica.</t>
  </si>
  <si>
    <t xml:space="preserve">ITEM 268  ·  Castilla-La Mancha 2017  ·  castilla-la-mancha/2017-2018 / Q51  ·  Standard/main</t>
  </si>
  <si>
    <t xml:space="preserve">Uno de los siguientes Criterios del Síndrome de Lynch no se incluye en los Criterios de Ámsterdam II</t>
  </si>
  <si>
    <t xml:space="preserve">A. Tres o más individuos afectados de CCR o neoplasia relacionada (endometrio, intestino delgado, uréter o pelvis renal), uno de ellos familiar de primer grado de los otros dos.</t>
  </si>
  <si>
    <t xml:space="preserve">B. Afectación de 2 generaciones consecutivas.</t>
  </si>
  <si>
    <t xml:space="preserve">C. Como mínimo un caso diagnosticado antes de los 40 años.</t>
  </si>
  <si>
    <t xml:space="preserve">D. Exclusión del diagnóstico de poliposis adenomatosa familiar.</t>
  </si>
  <si>
    <t xml:space="preserve">ITEM 269  ·  Aragón 2020  ·  aragon/2020 / Q83  ·  Standard/main</t>
  </si>
  <si>
    <t xml:space="preserve">En la pancreatitis crónica es cierto que:</t>
  </si>
  <si>
    <t xml:space="preserve">A. Se puede producir déficit de B12 secundaria a menor proteolisis del compuesto vitamina B12- proteínas R fijadoras.</t>
  </si>
  <si>
    <t xml:space="preserve">B. La anemia ferropénica es la norma en estos pacientes.</t>
  </si>
  <si>
    <t xml:space="preserve">C. La anemia habitual es mixta, ferropénica y de proceso crónico.</t>
  </si>
  <si>
    <t xml:space="preserve">D. Lo habitual es una anemia asociada al tratamiento con enzimas pancreáticas.</t>
  </si>
  <si>
    <t xml:space="preserve">ITEM 270  ·  Comunitat Valenciana 2022  ·  comunitat-valenciana/2022 / Q78  ·  Standard/main</t>
  </si>
  <si>
    <t xml:space="preserve">Según la Guía Europea de Gastroenterología basada en la evidencia para el diagnóstico y tratamiento de la pancreatitis crónica (HaPanEU), ante un paciente diagnosticado de pancreatitis crónica con insuficiencia pancreática exocrina, una de las siguientes aseveraciones no es cierta:</t>
  </si>
  <si>
    <t xml:space="preserve">A. No se precisan de forma sistemática pruebas de función pancreática exocrina para controlar eficacia del tratamiento enzimático.</t>
  </si>
  <si>
    <t xml:space="preserve">B. La presencia de insuficiencia pancreática exocrina debe evaluarse anualmente en pacientes con pancreatitis crónica.</t>
  </si>
  <si>
    <t xml:space="preserve">C. Todo paciente con nuevo diagnóstico de pancreatitis crónica debe realizarse pruebas de detección de insuficiencia exocrina pancreática.</t>
  </si>
  <si>
    <t xml:space="preserve">D. Mayores niveles de elastasa fecal reflejan mayor grado de insuficiencia pancreática.</t>
  </si>
  <si>
    <t xml:space="preserve">ITEM 271  ·  Andalucía 2022  ·  andalucia/2022-extraordinaria-libre / Q132  ·  Practical</t>
  </si>
  <si>
    <t xml:space="preserve">CLINICAL CONTEXT — PART 1/2
[Full clinical context: andalucia-2022-extraordinaria-libre-caso-13]
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t>
  </si>
  <si>
    <t xml:space="preserve">CLINICAL CONTEXT — PART 2/2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</si>
  <si>
    <t xml:space="preserve">¿Cuál es el paso más adecuado en el tratamiento subsiguiente de este paciente?</t>
  </si>
  <si>
    <t xml:space="preserve">A. Ampulectomía endoscópica dependiendo de su tamaño y extensión intraductal.</t>
  </si>
  <si>
    <t xml:space="preserve">B. Ampulectomía quirúrgica dependiendo de su tamaño y extensión intraductal.</t>
  </si>
  <si>
    <t xml:space="preserve">C. Duodenopancreatectomía cefálica.</t>
  </si>
  <si>
    <t xml:space="preserve">D. Tratamiento neoadyuvante.</t>
  </si>
  <si>
    <t xml:space="preserve">Context IDs: andalucia-2022-extraordinaria-libre-caso-13  |  Source exam PDF page: 36</t>
  </si>
  <si>
    <t xml:space="preserve">ITEM 272  ·  Galicia 2022  ·  galicia/ope-2022 / Q103  ·  Non-case reserve</t>
  </si>
  <si>
    <t xml:space="preserve">NO se asocia a uso crónico de IBP (Inhibidores de la Bomba de protones):</t>
  </si>
  <si>
    <t xml:space="preserve">A. Aumento de riesgo de infección por Clostridium Difficile.</t>
  </si>
  <si>
    <t xml:space="preserve">B. Déficit de vitamina B12.</t>
  </si>
  <si>
    <t xml:space="preserve">C. Hipomagnesemia.</t>
  </si>
  <si>
    <t xml:space="preserve">D. Hipogastrinemia.</t>
  </si>
  <si>
    <t xml:space="preserve">ITEM 273  ·  Andalucía 2022  ·  andalucia/2022-extraordinaria-libre / Q10  ·  Theoretical</t>
  </si>
  <si>
    <t xml:space="preserve">Usted está leyendo un artículo que publica los resultados de un gran ensayo clínico aleatorizado y doble ciego, de gran interés en su ámbito profesional. En concreto le llama la atención el resultado que muestra este estudio sobre la mortalidad global al comparar un nuevo tratamiento experimental con la terapia estándar hasta este momento, en una población de pacientes que tienen un perfil muy similar a los que se tratan en su Unidad. Este resultado publicado es: RR = 0.71 (IC95% 0.98-0.59, p=0.046). ¿Cuál de las siguientes afirmaciones es correcta?</t>
  </si>
  <si>
    <t xml:space="preserve">A. El valor p asociado al contraste no es significativo estadísticamente.</t>
  </si>
  <si>
    <t xml:space="preserve">B. La reducción relativa del riesgo (RRR) para la variable "mortalidad global" es aproximadamente del 29%.</t>
  </si>
  <si>
    <t xml:space="preserve">C. El NNT (número de pacientes que necesitaría tratarse con el nuevo tratamiento en vez del estándar para reducir un resultado de muerte por cualquier causa) sería 71.</t>
  </si>
  <si>
    <t xml:space="preserve">D. La probabilidad de que estos resultados se deban al error del muestreo es del 95%.</t>
  </si>
  <si>
    <t xml:space="preserve">ITEM 274  ·  Galicia 2022  ·  galicia/ope-2022 / Q110  ·  Non-case reserve</t>
  </si>
  <si>
    <t xml:space="preserve">Señale la afirmación INCORRECTA:</t>
  </si>
  <si>
    <t xml:space="preserve">A. Los AINEs se asocian a un aumento del riesgo de complicaciones en todo el tracto digestivo.</t>
  </si>
  <si>
    <t xml:space="preserve">B. El daño gastrointestinal mediado por AINEs se debe en su mayoría, a la inhibición sistémica de la COX-1.</t>
  </si>
  <si>
    <t xml:space="preserve">C. Los IBP reducen la incidencia de úlcera péptica en pacientes con factores de riesgo para el desarrollo de complicaciones gastrointestinales asociadas al uso de AINEs.</t>
  </si>
  <si>
    <t xml:space="preserve">D. El uso de COXIB, frente a AINEs clásicos, se asocia a una mayor tasa de úlcera péptica, complicaciones y síntomas gastrointestinales.</t>
  </si>
  <si>
    <t xml:space="preserve">ITEM 275  ·  Andalucía 2021  ·  andalucia/2021-22-libre / Q73  ·  Theoretical</t>
  </si>
  <si>
    <t xml:space="preserve">¿Cuál de los siguientes pólipos se considera lesión colorrectal avanzada?</t>
  </si>
  <si>
    <t xml:space="preserve">A. Pólipo serrado con displasia</t>
  </si>
  <si>
    <t xml:space="preserve">B. Adenoma tubular de 8 mm</t>
  </si>
  <si>
    <t xml:space="preserve">C. Adenoma con displasia de bajo grado</t>
  </si>
  <si>
    <t xml:space="preserve">D. Pólipo hiperplásico</t>
  </si>
  <si>
    <t xml:space="preserve">ITEM 276  ·  La Rioja 2021  ·  la-rioja/2020-2021 / Q106  ·  Non-case reserve</t>
  </si>
  <si>
    <t xml:space="preserve">En relación a la enfermedad hepática inducida por fármacos (DILI), señale la respuesta incorrecta:</t>
  </si>
  <si>
    <t xml:space="preserve">A. La edad avanzada es un factor de riesgo de hepatotoxicidad por isoniazida y predominantemente el tipo de lesión es hepatocelular.</t>
  </si>
  <si>
    <t xml:space="preserve">B. La ingesta regular de alcohol es un factor que contribuye a DILI asociado con fármacos específicos como la isoniazida, el metotrexato y el halotano.</t>
  </si>
  <si>
    <t xml:space="preserve">C. La edad avanzada parece ser un factor de riesgo para DILI inducido por ácido valproico.</t>
  </si>
  <si>
    <t xml:space="preserve">D. Se ha observado una mayor susceptibilidad del sexo femenino a agentes causales específicos, como la minociclina y la nitrofurantoína.</t>
  </si>
  <si>
    <t xml:space="preserve">Source exam PDF page: 38</t>
  </si>
  <si>
    <t xml:space="preserve">ITEM 277  ·  Castilla-La Mancha 2022  ·  castilla-la-mancha/2022 / Q24  ·  Standard/main</t>
  </si>
  <si>
    <t xml:space="preserve">En cuanto a los datos de alarma en un cuadro de diarrea, señale la respuesta incorrecta</t>
  </si>
  <si>
    <t xml:space="preserve">A. Sangrado rectal</t>
  </si>
  <si>
    <t xml:space="preserve">B. Edad menor de 50 años.</t>
  </si>
  <si>
    <t xml:space="preserve">C. Pérdida de peso no explicada</t>
  </si>
  <si>
    <t xml:space="preserve">D. Anemia</t>
  </si>
  <si>
    <t xml:space="preserve">Source exam PDF page: 6</t>
  </si>
  <si>
    <t xml:space="preserve">ITEM 278  ·  Comunitat Valenciana 2022  ·  comunitat-valenciana/2022 / Q29  ·  Standard/main</t>
  </si>
  <si>
    <t xml:space="preserve">La European Society of Gastrointestinal Endoscopy (ESGE) recomienda el tratamiento endoscópico de primera línea en el caso de perforación iatrogénica esofágica relacionada con la endoscopia, sugiriendo el uso de clips OTS (over-the-scope) en el caso de perforaciones:</t>
  </si>
  <si>
    <t xml:space="preserve">A. &lt; 10 mm.</t>
  </si>
  <si>
    <t xml:space="preserve">B. &gt; 10 mm.</t>
  </si>
  <si>
    <t xml:space="preserve">C. &gt; 20 mm.</t>
  </si>
  <si>
    <t xml:space="preserve">D. Ninguna de las anteriores es correcta.</t>
  </si>
  <si>
    <t xml:space="preserve">ITEM 279  ·  La Rioja 2021  ·  la-rioja/2020-2021 / Q74  ·  Standard/main</t>
  </si>
  <si>
    <t xml:space="preserve">Respecto a la posición del paciente para una CPRE, indique cuál respuesta es falsa:</t>
  </si>
  <si>
    <t xml:space="preserve">A. La posición en decúbito prono puede dificultar la ventilación en pacientes obesos.</t>
  </si>
  <si>
    <t xml:space="preserve">B. Colocar al paciente en decúbito lateral izquierdo puede facilitar atravesar el píloro.</t>
  </si>
  <si>
    <t xml:space="preserve">C. En pacientes intubados se puede realizar la exploración en decúbito supino.</t>
  </si>
  <si>
    <t xml:space="preserve">D. La visión óptima de la vía biliar se consigue con el paciente en decúbito lateral izquierdo.</t>
  </si>
  <si>
    <t xml:space="preserve">ITEM 280  ·  Castilla-La Mancha 2017  ·  castilla-la-mancha/2017-2018 / Q104  ·  Non-case reserve</t>
  </si>
  <si>
    <t xml:space="preserve">Uno de los siguientes compuestos no está implicado en la etiopatogenia de la Enfermedad hepática grasa no alcohólica</t>
  </si>
  <si>
    <t xml:space="preserve">A. Ácidos grasos polinsaturados.</t>
  </si>
  <si>
    <t xml:space="preserve">B. Ceramidas.</t>
  </si>
  <si>
    <t xml:space="preserve">C. Colesterol.</t>
  </si>
  <si>
    <t xml:space="preserve">D. Lisofosfatidil colina</t>
  </si>
  <si>
    <t xml:space="preserve">Source exam PDF page: 19</t>
  </si>
  <si>
    <t xml:space="preserve">ITEM 281  ·  Región de Murcia 2019  ·  region-de-murcia/2019 / Q87  ·  Standard/main</t>
  </si>
  <si>
    <t xml:space="preserve">En el diagnóstico de una isquemia mesentérica aguda (IMA) es falso que:</t>
  </si>
  <si>
    <t xml:space="preserve">A. El dímero D &gt;0,9 mg/L puede guiar el diagnóstico, aunque no es específico.</t>
  </si>
  <si>
    <t xml:space="preserve">B. Ante un dolor abdominal grave sin una exploración reveladora, es obligado descartar una IMA en primera instancia.</t>
  </si>
  <si>
    <t xml:space="preserve">C. La historia clínica ayuda a diferenciar entre los diferentes tipos de IMA (trombosis o embolia arterial, trombosis venosa o isquemia no oclusiva).</t>
  </si>
  <si>
    <t xml:space="preserve">D. La angiografía percutánea es la técnica inicial indicada para realizar el diagnóstico precoz de IMA.</t>
  </si>
  <si>
    <t xml:space="preserve">ITEM 282  ·  La Rioja 2021  ·  la-rioja/2020-2021 / Q107  ·  Non-case reserve</t>
  </si>
  <si>
    <t xml:space="preserve">Una fístula transesfinteriana con trayecto secundario en la fosa isquiorrectal corresponde según la clasificación de Saint James a un grado:</t>
  </si>
  <si>
    <t xml:space="preserve">A. I</t>
  </si>
  <si>
    <t xml:space="preserve">B. II</t>
  </si>
  <si>
    <t xml:space="preserve">C. III</t>
  </si>
  <si>
    <t xml:space="preserve">D. IV</t>
  </si>
  <si>
    <t xml:space="preserve">ITEM 283  ·  Navarra 2022  ·  navarra/2022 / Q79  ·  Mixed theory–practical</t>
  </si>
  <si>
    <t xml:space="preserve">Señale la respuesta INCORRECTA sobre la pancreatitis autoinmune:</t>
  </si>
  <si>
    <t xml:space="preserve">A. La tasa de recaídas tras la suspensión del tratamiento con corticoides es significativamente mayo en la tipo I respecto a la tipo II</t>
  </si>
  <si>
    <t xml:space="preserve">B. Clínicamente suele manifestarse en forma de ictericia obstructiva por masa pancreática</t>
  </si>
  <si>
    <t xml:space="preserve">C. La pancreatitis autoinmune tipo I rara vez presenta flebitis obliterativa</t>
  </si>
  <si>
    <t xml:space="preserve">D. La pancreatitis autoinmune tipo II se asocia con más frecuencia a la enfermedad inflamatoria intestinal</t>
  </si>
  <si>
    <t xml:space="preserve">ITEM 284  ·  Castilla y León 2019  ·  castilla-y-leon/2019 / Q158  ·  Non-case reserve</t>
  </si>
  <si>
    <t xml:space="preserve">En relación con la extracción endoscópica de cuerpos extraños, una de las siguientes recomendaciones es falsa según la Guía Clínica de la European Society of Gastrointestinal Endoscopy (ESGE):</t>
  </si>
  <si>
    <t xml:space="preserve">A. Se recomienda endoscopia urgente, dentro de las primeras 24 horas, para cuerpos extraños esofágicos sin obstrucción completa.</t>
  </si>
  <si>
    <t xml:space="preserve">B. ESGE no recomienda el estudio con bario.</t>
  </si>
  <si>
    <t xml:space="preserve">C. Se recomienda la evaluación radiológica para pacientes con impactación de bolo alimenticio sin presencia de hueso y sin complicaciones.</t>
  </si>
  <si>
    <t xml:space="preserve">D. Se recomienda endoscopia no urgente (dentro de las 72 horas) para cuerpos extraños romos de tamaño mediano localizados en el estómago.</t>
  </si>
  <si>
    <t xml:space="preserve">Source exam PDF page: 35</t>
  </si>
  <si>
    <t xml:space="preserve">ITEM 285  ·  La Rioja 2024  ·  la-rioja/2023-2024 / Q81  ·  Standard/main</t>
  </si>
  <si>
    <t xml:space="preserve">Señale en cuál de los siguientes pacientes indicaría un TIPS precoz:</t>
  </si>
  <si>
    <t xml:space="preserve">A. 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</si>
  <si>
    <t xml:space="preserve">B. Primer episodio de hematemesis en paciente sin enfermedad hepática conocida hasta la fecha. Inestabilidad hemodinámica. Endoscopia: hemorragia incoercible, se coloca balón de Sengstaken. Bil. 1,1; Crea. 0,75; Alb. 4,3; INR 1,1.</t>
  </si>
  <si>
    <t xml:space="preserve">C. 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</si>
  <si>
    <t xml:space="preserve">D. 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</si>
  <si>
    <t xml:space="preserve">ITEM 286  ·  Aragón 2017  ·  aragon/2017 / Q107  ·  Non-case reserve</t>
  </si>
  <si>
    <t xml:space="preserve">La dosis de entecavir y tenofovir en el tratamiento de la hepatitis crónica B debe ajustarse a la función renal. ¿Cuál es el dintel de filtrado glomerular estimado por debajo del cual debe reducirse la dosis de los mismos?</t>
  </si>
  <si>
    <t xml:space="preserve">A. 60 ml/min</t>
  </si>
  <si>
    <t xml:space="preserve">B. 50 ml/min</t>
  </si>
  <si>
    <t xml:space="preserve">C. 40 ml/min</t>
  </si>
  <si>
    <t xml:space="preserve">D. 30 ml/min</t>
  </si>
  <si>
    <t xml:space="preserve">ITEM 287  ·  Castilla-La Mancha 2022  ·  castilla-la-mancha/2022 / Q31  ·  Standard/main</t>
  </si>
  <si>
    <t xml:space="preserve">Entre las enfermedades que cursan con estreñimiento no se encuentra</t>
  </si>
  <si>
    <t xml:space="preserve">A. Diabetes Mellitus</t>
  </si>
  <si>
    <t xml:space="preserve">B. Hipertiroidismo</t>
  </si>
  <si>
    <t xml:space="preserve">C. Enfermedad de Parkinson</t>
  </si>
  <si>
    <t xml:space="preserve">D. Enfermedad de Hirschsprung</t>
  </si>
  <si>
    <t xml:space="preserve">Source exam PDF page: 7</t>
  </si>
  <si>
    <t xml:space="preserve">ITEM 288  ·  Castilla y León 2022  ·  castilla-y-leon/2022 / Q92  ·  Non-case reserve</t>
  </si>
  <si>
    <t xml:space="preserve">Señale la respuesta correcta en relación con la Candidiasis Esofágica:</t>
  </si>
  <si>
    <t xml:space="preserve">A. La inmensa mayoría de ellas se deben a Cándida Glabrata.</t>
  </si>
  <si>
    <t xml:space="preserve">B. El aspecto endoscópico se caracteriza por ulceraciones redondeadas o lineales.</t>
  </si>
  <si>
    <t xml:space="preserve">C. Se ha observado una prevalencia de la colonización del esófago por Cándida en adultos ambulatorios sanos del 20%, aproximadamente.</t>
  </si>
  <si>
    <t xml:space="preserve">ITEM 289  ·  Castilla y León 2022  ·  castilla-y-leon/2022 / Q88  ·  Standard/main</t>
  </si>
  <si>
    <t xml:space="preserve">Sobre los tumores del estroma gastrointestinal (GIST) indique cuál de las siguientes afirmaciones es FALSA:</t>
  </si>
  <si>
    <t xml:space="preserve">A. Las metástasis más frecuentes son las hepáticas.</t>
  </si>
  <si>
    <t xml:space="preserve">B. La afectación ganglionar es frecuente.</t>
  </si>
  <si>
    <t xml:space="preserve">C. La ruptura capsular tumoral se considera un factor de mal pronóstico.</t>
  </si>
  <si>
    <t xml:space="preserve">ITEM 290  ·  Aragón 2017  ·  aragon/2017 / Q105  ·  Non-case reserve</t>
  </si>
  <si>
    <t xml:space="preserve">¿Cuál de estas entidades NO suele cursar con esteatorrea?:</t>
  </si>
  <si>
    <t xml:space="preserve">A. Clorhidrorrea congénita</t>
  </si>
  <si>
    <t xml:space="preserve">B. Giardiasis</t>
  </si>
  <si>
    <t xml:space="preserve">C. Amiloidosis</t>
  </si>
  <si>
    <t xml:space="preserve">D. Enteritis rádica</t>
  </si>
  <si>
    <t xml:space="preserve">ITEM 291  ·  Castilla y León 2022  ·  castilla-y-leon/2022 / Q25  ·  Standard/main</t>
  </si>
  <si>
    <t xml:space="preserve">En relación a la colocación de prótesis metálicas autoexpandibles en las estenosis malignas de colon la European Society of Gastrointestinal Endoscopy (ESGE) establece las siguientes recomendaciones excepto:</t>
  </si>
  <si>
    <t xml:space="preserve">A. Su colocación es el tratamiento paliativo de elección.</t>
  </si>
  <si>
    <t xml:space="preserve">B. Aunque no exista oclusión colónica debe colocarse de modo profiláctico para evitar la oclusión de la luz.</t>
  </si>
  <si>
    <t xml:space="preserve">C. Son una alternativa a la cirugía de urgencia con alto riesgo de mortalidad postoperatoria en la neoplasia de colon izquierdo potencialmente curable.</t>
  </si>
  <si>
    <t xml:space="preserve">ITEM 292  ·  Comunitat Valenciana 2022  ·  comunitat-valenciana/2022 / Q28  ·  Standard/main</t>
  </si>
  <si>
    <t xml:space="preserve">Si en una endoscopia realizada a un paciente por la ingesta accidental de cáusticos observamos úlceras circunferenciales en la mucosa esofágica, ¿a qué grado de la clasificación de Zargar correspondería?</t>
  </si>
  <si>
    <t xml:space="preserve">A. IIa</t>
  </si>
  <si>
    <t xml:space="preserve">B. IIb</t>
  </si>
  <si>
    <t xml:space="preserve">D. Ninguna es correcta.</t>
  </si>
  <si>
    <t xml:space="preserve">ITEM 293  ·  Comunitat Valenciana 2022  ·  comunitat-valenciana/2022 / Q10  ·  Standard/main</t>
  </si>
  <si>
    <t xml:space="preserve">De acuerdo con el artículo 7 de la Ley Orgánica 3/2018, de Protección de Datos Personales y garantía de los derechos digitales:</t>
  </si>
  <si>
    <t xml:space="preserve">A. El tratamiento de los datos personales de un menor de edad únicamente podrá fundarse en su consentimiento cuando sea mayor de trece años.</t>
  </si>
  <si>
    <t xml:space="preserve">B. El tratamiento de los datos personales de un menor de edad únicamente podrá fundarse en su consentimiento cuando sea mayor de quince años y lo autorice el titular de la patria potestad.</t>
  </si>
  <si>
    <t xml:space="preserve">C. El tratamiento de los datos personales de un menor de edad exclusivamente podrá fundarse en su consentimiento cuando sea mayor de dieciséis años.</t>
  </si>
  <si>
    <t xml:space="preserve">D. El tratamiento de los datos de los menores de catorce años, fundado en el consentimiento, solo será lícito si consta el del titular de la patria potestad o tutela, con el alcance que determinen los titulares de la patria potestad o tutela.</t>
  </si>
  <si>
    <t xml:space="preserve">ITEM 294  ·  Región de Murcia 2019  ·  region-de-murcia/2019 / Q131  ·  Standard/main</t>
  </si>
  <si>
    <t xml:space="preserve">Considerando la afectación multiorgánica que se produce en el fracaso hepático fulminante, señale cuál de estas situaciones no es característica de la misma:</t>
  </si>
  <si>
    <t xml:space="preserve">A. Hiponatremia.</t>
  </si>
  <si>
    <t xml:space="preserve">B. Hipertensión intracraneal.</t>
  </si>
  <si>
    <t xml:space="preserve">C. Infecciones bacterianas.</t>
  </si>
  <si>
    <t xml:space="preserve">D. Hiperglucemia.</t>
  </si>
  <si>
    <t xml:space="preserve">ITEM 295  ·  Comunidad de Madrid 2021  ·  comunidad-de-madrid/2021 / Q149  ·  Standard/main</t>
  </si>
  <si>
    <t xml:space="preserve">Usted conoce que los pacientes con cirrosis descompensada desarrollan con frecuencia sarcopenia, Señale por favor cuál de los siguientes mecanismos NO está implicado en el desarrollo de esta complicación</t>
  </si>
  <si>
    <t xml:space="preserve">A. Descenso de testosterona y de hormona de crecimiento</t>
  </si>
  <si>
    <t xml:space="preserve">B. Incremento de la concentración de amonio plasmático</t>
  </si>
  <si>
    <t xml:space="preserve">C. Presencia de endotoxinemia y de disfunción mitocondrial</t>
  </si>
  <si>
    <t xml:space="preserve">D. Aumento de la concentración sérica de aminoácidos ramificados</t>
  </si>
  <si>
    <t xml:space="preserve">ITEM 296  ·  Galicia 2016  ·  galicia/ope-2016 / Q107  ·  Non-case reserve</t>
  </si>
  <si>
    <t xml:space="preserve">En referencia al esófago de Barrett, señale el enunciado falso:</t>
  </si>
  <si>
    <t xml:space="preserve">A. El riesgo de desarrollo de adenocarcinoma sobre esófago de Barrett sin displasia es de un 0.3 por ciento por año.</t>
  </si>
  <si>
    <t xml:space="preserve">B. Para el tratamiento endoscópico del adenocarcinoma temprano se prefiere la disección submucosa endoscópica sobre la resección mucosa endoscópica por su menor tasa de recidiva.</t>
  </si>
  <si>
    <t xml:space="preserve">C. Los pacientes con extensión de esófago de Barrett mayor de 10 cm. tienen el mismo riesgo de progresión que los pacientes con displasia de bajo grado.</t>
  </si>
  <si>
    <t xml:space="preserve">D. La resección endoscópica de lesiones visibles sobre el epitelio metaplásico mediante la técnica de ligadura con bandas tiene una eficacia mayor del 85 por ciento.</t>
  </si>
  <si>
    <t xml:space="preserve">ITEM 297  ·  Galicia 2019  ·  galicia/ope-2019 / Q100  ·  Standard/main</t>
  </si>
  <si>
    <t xml:space="preserve">En un paciente diagnosticado de hemocromatosis, homocigoto C282Y, el objetivo del tratamiento con sangrías sería:</t>
  </si>
  <si>
    <t xml:space="preserve">A. Disminuir la saturación de transferrina por debajo del 45%.</t>
  </si>
  <si>
    <t xml:space="preserve">B. Mantener la hemoglobina entre 12 y 13 g/dL.</t>
  </si>
  <si>
    <t xml:space="preserve">C. Conseguir unas cifras de ferritina sérica por debajo de 50 ng/mL.</t>
  </si>
  <si>
    <t xml:space="preserve">D. Conseguir cifras de hierro sérico por debajo de 100 microgramos por decilitro.</t>
  </si>
  <si>
    <t xml:space="preserve">ITEM 298  ·  Galicia 2019  ·  galicia/ope-2019 / Q85  ·  Standard/main</t>
  </si>
  <si>
    <t xml:space="preserve">En un paciente, tras ingesta intencionada de cáusticos, presenta en el estudio endoscópico: ulceraciones longitudinales superficiales, no circunferenciales. ¿Cuál es la correcta?</t>
  </si>
  <si>
    <t xml:space="preserve">A. Se trata de un Zargar 2A.</t>
  </si>
  <si>
    <t xml:space="preserve">B. Es necesario realizar un TC para valorar la gravedad.</t>
  </si>
  <si>
    <t xml:space="preserve">C. Tiene riesgo elevado de estenosis.</t>
  </si>
  <si>
    <t xml:space="preserve">D. Debe permanecer ingresado con nutrición enteral.</t>
  </si>
  <si>
    <t xml:space="preserve">ITEM 299  ·  Galicia 2022  ·  galicia/ope-2022 / Q9  ·  Standard/main</t>
  </si>
  <si>
    <t xml:space="preserve">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</si>
  <si>
    <t xml:space="preserve">A. 1 año.</t>
  </si>
  <si>
    <t xml:space="preserve">B. 3 años.</t>
  </si>
  <si>
    <t xml:space="preserve">C. 5 años.</t>
  </si>
  <si>
    <t xml:space="preserve">D. No precisa más controles endoscópicos.</t>
  </si>
  <si>
    <t xml:space="preserve">ITEM 300  ·  Región de Murcia 2019  ·  region-de-murcia/2019 / Q111  ·  Standard/main</t>
  </si>
  <si>
    <t xml:space="preserve">Una de las siguientes opciones es falsa con relación a la inducción de la inmunosupresión (IS) en el trasplante hepático (TH):</t>
  </si>
  <si>
    <t xml:space="preserve">A. Si hay insuficiencia renal se deben evitar los inhibidores de la calcineurina.</t>
  </si>
  <si>
    <t xml:space="preserve">B. Los corticoides son la base de la IS en el TH.</t>
  </si>
  <si>
    <t xml:space="preserve">C. En pacientes de riesgo inmunológico (hepatitis autoinmune, cirrosis biliar primaria y colangitis esclerosante primaria) es recomendable hacer una inducción más potente.</t>
  </si>
  <si>
    <t xml:space="preserve">D. El everólimus es un fármaco útil en los pacientes trasplantados por carcinoma hepatocelular por su función antitumoral.</t>
  </si>
  <si>
    <t xml:space="preserve">ITEM 301  ·  Aragón 2017  ·  aragon/2017 / Q104  ·  Non-case reserve</t>
  </si>
  <si>
    <t xml:space="preserve">Respecto a las indicaciones de vacunación preexposición de la hepatitis A vigentes en España (2017) señale lo correcto:</t>
  </si>
  <si>
    <t xml:space="preserve">A. Convivientes con pacientes con Hepatitis aguda por virus A.</t>
  </si>
  <si>
    <t xml:space="preserve">B. Viaje a un país endémico, iniciando la pauta 1 semana antes del viaje.</t>
  </si>
  <si>
    <t xml:space="preserve">C. Trabajadores con primates.</t>
  </si>
  <si>
    <t xml:space="preserve">D. Antecedente de haber consumido drogas por vía parenteral, sin consumo actual.</t>
  </si>
  <si>
    <t xml:space="preserve">ITEM 302  ·  Castilla y León 2019  ·  castilla-y-leon/2019 / Q155  ·  Non-case reserve</t>
  </si>
  <si>
    <t xml:space="preserve">De acuerdo con la Clasificación de la Esofagitis de Los Ángeles, el Grado C se corresponde con:</t>
  </si>
  <si>
    <t xml:space="preserve">A. Una o más lesiones de la mucosa, con confluencia y afectación menor del 75% de la circunferencia del esófago.</t>
  </si>
  <si>
    <t xml:space="preserve">B. Una o más lesiones de la mucosa, igual o menor de 5 mm de longitud, sin confluencia.</t>
  </si>
  <si>
    <t xml:space="preserve">C. Una o más lesiones de la mucosa, con confluencia y afectación de más del 75% de la circunferencia esofágica.</t>
  </si>
  <si>
    <t xml:space="preserve">D. Una o más lesiones de la mucosa, mayor de 5 mm de longitud, sin confluencia.</t>
  </si>
  <si>
    <t xml:space="preserve">ITEM 303  ·  Comunidad de Madrid 2021  ·  comunidad-de-madrid/2021 / Q154  ·  Non-case reserve</t>
  </si>
  <si>
    <t xml:space="preserve">¿Cuál de las siguientes es principal factor de riesgo de colangiocarcinoma intrahepático en Occidente?</t>
  </si>
  <si>
    <t xml:space="preserve">A. Colangitis esclerosante primaria</t>
  </si>
  <si>
    <t xml:space="preserve">B. Asbestos</t>
  </si>
  <si>
    <t xml:space="preserve">C. Cirrosis de cualquier etiología</t>
  </si>
  <si>
    <t xml:space="preserve">D. Infección hepática por parásitos</t>
  </si>
  <si>
    <t xml:space="preserve">ITEM 304  ·  Navarra 2022  ·  navarra/2022 / Q72  ·  Mixed theory–practical</t>
  </si>
  <si>
    <t xml:space="preserve">Varón de 85 años ingresado hace 12 horas por pancreatitis aguda biliar. El paciente está consciente y orientado. Tensión arterial: 120/70mmHg; Frecuencia cardiaca 100 lpm. Eupneico y afebril. En la exploración presenta dolor epigástrico a la palpación sin peritonismo. En los análisis presenta 18.000 leucocitos/mm3 (normal: 4000-11000/mm3) y Proteína C Reactiva de 100 mg/dL (normal: 0-10) y BUN de 20mg/dl. En la radiografía de tórax del ingreso presenta derrame pleural izquierdo. ¿Cuántos puntos presenta el paciente según la clasificación BISAP?:</t>
  </si>
  <si>
    <t xml:space="preserve">A. 4</t>
  </si>
  <si>
    <t xml:space="preserve">B. 3</t>
  </si>
  <si>
    <t xml:space="preserve">C. 2</t>
  </si>
  <si>
    <t xml:space="preserve">D. 1</t>
  </si>
  <si>
    <t xml:space="preserve">ITEM 305  ·  Región de Murcia 2019  ·  region-de-murcia/2019 / Q30  ·  Standard/main</t>
  </si>
  <si>
    <t xml:space="preserve">Un paciente que refiere plenitud postprandial molesta y/o saciedad precoz molesta, al menos 3 días por semana, durante los últimos 3 meses y los síntomas han comenzado al menos 6 meses antes del diagnóstico, según los CRITERIOS DE ROMA IV (trastornos funcionales digestivos), presenta:</t>
  </si>
  <si>
    <t xml:space="preserve">A. Síndrome de distrés postprandial (SPD).</t>
  </si>
  <si>
    <t xml:space="preserve">B. Síndrome de dolor epigástrico (SDE).</t>
  </si>
  <si>
    <t xml:space="preserve">C. Síndrome de rumiación.</t>
  </si>
  <si>
    <t xml:space="preserve">D. Trastorno de eructación.</t>
  </si>
  <si>
    <t xml:space="preserve">ITEM 306  ·  Castilla-La Mancha 2022  ·  castilla-la-mancha/2022 / Q103  ·  Non-case reserve</t>
  </si>
  <si>
    <t xml:space="preserve">¿Dónde se proponen como principios éticos en investigación la beneficencia, el respeto a la dignidad humana y la justicia?</t>
  </si>
  <si>
    <t xml:space="preserve">A. Declaración de Helsinki</t>
  </si>
  <si>
    <t xml:space="preserve">B. Código de Nuremberg</t>
  </si>
  <si>
    <t xml:space="preserve">C. Informe Belmont</t>
  </si>
  <si>
    <t xml:space="preserve">D. Estudio Tuskegee</t>
  </si>
  <si>
    <t xml:space="preserve">ITEM 307  ·  Castilla-La Mancha 2022  ·  castilla-la-mancha/2022 / Q1  ·  Standard/main</t>
  </si>
  <si>
    <t xml:space="preserve">La clasificación de la ERGE (enf. por reflujo) basada en criterios endoscópicos más aplicada en la actualidad es la de Los Ángeles. Señale la respuesta correcta</t>
  </si>
  <si>
    <t xml:space="preserve">A. El grado A se define como la presencia de al menos una lesión mucosa de &gt; 5mms, sin continuidad entre la pared más prominente de 2 pliegues mucosos.</t>
  </si>
  <si>
    <t xml:space="preserve">B. En el grado B se aprecia una o varias lesiones &lt; 5mms.</t>
  </si>
  <si>
    <t xml:space="preserve">C. El grado C se caracteriza por la presencia de una o varias lesiones &lt; 5mms.</t>
  </si>
  <si>
    <t xml:space="preserve">D. El grado D se caracteriza por una afectación circunferencial de la mucosa.</t>
  </si>
  <si>
    <t xml:space="preserve">ITEM 308  ·  Castilla y León 2019  ·  castilla-y-leon/2019 / Q156  ·  Non-case reserve</t>
  </si>
  <si>
    <t xml:space="preserve">Con respecto a los pólipos gástricos es falso que:</t>
  </si>
  <si>
    <t xml:space="preserve">A. Los pólipos inflamatorios no tienen potencial de malignización pero recidivan con frecuencia tras resección endoscópica.</t>
  </si>
  <si>
    <t xml:space="preserve">B. Los pólipos de glándulas fúndicas se producen con frecuencia tras la toma crónica de IBPs.</t>
  </si>
  <si>
    <t xml:space="preserve">C. La erradicación de Helicobacter Pylori produce regresión de los pólipos hiperplásicos.</t>
  </si>
  <si>
    <t xml:space="preserve">D. Los pólipos adenomatosos suelen ser únicos y erosionados.</t>
  </si>
  <si>
    <t xml:space="preserve">ITEM 309  ·  Aragón 2020  ·  aragon/2020 / Q107  ·  Non-case reserve</t>
  </si>
  <si>
    <t xml:space="preserve">Ante un paciente con fallo hepático agudo señale la respuesta INCORRECTA:</t>
  </si>
  <si>
    <t xml:space="preserve">A. La existencia de ascitis masiva orienta a un síndrome de Budd-Chiari agudo.</t>
  </si>
  <si>
    <t xml:space="preserve">B. Anemia hemolítica Coombs negativa y una relación bilirrubina/fosfatasa alcalina elevada sugieren enfermedad de Wilson.</t>
  </si>
  <si>
    <t xml:space="preserve">C. En una paciente embarazada en tercer trimestre con hígado graso agudo del embarazo la actitud correcta es administrar corticosteroides hasta el parto.</t>
  </si>
  <si>
    <t xml:space="preserve">D. En una paciente con hepatitis autoinmune que no responde tras siete días de tratamiento correcto debe plantearse trasplante hepático.</t>
  </si>
  <si>
    <t xml:space="preserve">ITEM 310  ·  Castilla-La Mancha 2017  ·  castilla-la-mancha/2017-2018 / Q62  ·  Standard/main</t>
  </si>
  <si>
    <t xml:space="preserve">Es falso respecto al diagnóstico citohistológico de confirmación en cáncer de páncreas</t>
  </si>
  <si>
    <t xml:space="preserve">A. No se requiere confirmación diagnóstica en tumoración pancreática sospechosa resecable</t>
  </si>
  <si>
    <t xml:space="preserve">B. Se debe realizar en paciente con masa pancreática resecable con sospecha de otra enfermedad, tumor borderline previo a neoadyuvancia y en tumor irresecable en el que se plante tratamiento activo</t>
  </si>
  <si>
    <t xml:space="preserve">C. La ultrasonografía endoscópica con punción de la lesión es la técnica de elección para obtención de tejido pancreático siendo la biopsia percutánea de preferencia en paciente con metástasis hepáticas</t>
  </si>
  <si>
    <t xml:space="preserve">D. La sensibilidad de la punción por ecoendoscopia es muy alta por lo que una citología negativa descarta malignidad</t>
  </si>
  <si>
    <t xml:space="preserve">ITEM 311  ·  Comunidad de Madrid 2021  ·  comunidad-de-madrid/2021 / Q77  ·  Standard/main</t>
  </si>
  <si>
    <t xml:space="preserve">Un cuadro de diarrea aguda con inicio de síntomas en menos de 6 horas tras la exposición al alimento causal, acompañado de náuseas y vómitos, es típico de:</t>
  </si>
  <si>
    <t xml:space="preserve">A. E coli enterotóxico</t>
  </si>
  <si>
    <t xml:space="preserve">B. Estafilococo aureus</t>
  </si>
  <si>
    <t xml:space="preserve">C. Shigella</t>
  </si>
  <si>
    <t xml:space="preserve">D. Salmonella</t>
  </si>
  <si>
    <t xml:space="preserve">ITEM 312  ·  Comunidad de Madrid 2021  ·  comunidad-de-madrid/2021 / Q76  ·  Standard/main</t>
  </si>
  <si>
    <t xml:space="preserve">¿Cuál es el trastorno de la motilidad esofágica que se presenta clínicamente con dolor torácico y/o disfagia, y que se manifiesta en la manometría por contracciones prematuras (o espásticas) en más del 20% de las degluciones líquidas, alternando con contracciones peristálticas normales?</t>
  </si>
  <si>
    <t xml:space="preserve">A. Espasmo esofágico distal</t>
  </si>
  <si>
    <t xml:space="preserve">B. Acalasia tipo III o espástica</t>
  </si>
  <si>
    <t xml:space="preserve">C. Esófago hipercontráctil</t>
  </si>
  <si>
    <t xml:space="preserve">D. Obstrucción al flujo de la unión esófago-gástrica</t>
  </si>
  <si>
    <t xml:space="preserve">ITEM 313  ·  Región de Murcia 2019  ·  region-de-murcia/2019 / Q51  ·  Standard/main</t>
  </si>
  <si>
    <t xml:space="preserve">Se consideran factores de elevado riesgo para desarrollar cáncer colorrectal asociado a enfermedad inflamatoria intestinal todos excepto:</t>
  </si>
  <si>
    <t xml:space="preserve">A. Colitis extensa con actividad grave.</t>
  </si>
  <si>
    <t xml:space="preserve">B. Presencia de estenosis o displasia en los últimos 5 años.</t>
  </si>
  <si>
    <t xml:space="preserve">C. Colangitis esclerosante primaria concomitante.</t>
  </si>
  <si>
    <t xml:space="preserve">D. Historia familiar de CCR &gt; 50 años.</t>
  </si>
  <si>
    <t xml:space="preserve">ITEM 314  ·  Comunidad de Madrid 2021  ·  comunidad-de-madrid/2021 / Q158  ·  Non-case reserve</t>
  </si>
  <si>
    <t xml:space="preserve">¿Cuál de los siguientes NO es un factor de riesgo para desarrollar infecciones por bacterias multirresistentes en pacientes con cirrosis descompensada?</t>
  </si>
  <si>
    <t xml:space="preserve">A. Ingreso hospitalario reciente</t>
  </si>
  <si>
    <t xml:space="preserve">B. Presencia en el exudado rectal de bacterias multirresistentes</t>
  </si>
  <si>
    <t xml:space="preserve">C. Uso de betalactámicos dentro de los tres meses previos</t>
  </si>
  <si>
    <t xml:space="preserve">D. Infección adquirida en la comunidad</t>
  </si>
  <si>
    <t xml:space="preserve">ITEM 315  ·  Región de Murcia 2019  ·  region-de-murcia/2019 / Q88  ·  Standard/main</t>
  </si>
  <si>
    <t xml:space="preserve">Con respecto a la colitis isquémica, es falso que:</t>
  </si>
  <si>
    <t xml:space="preserve">A. En conjunto tiene una alta mortalidad, superior al 50%.</t>
  </si>
  <si>
    <t xml:space="preserve">B. Solo está indicada la angiografía si existen dudas diagnósticas de estar ante una isquemia mesentérica aguda.</t>
  </si>
  <si>
    <t xml:space="preserve">C. El uso de cocaína se ha asociado a colitis isquémica secundaria en pacientes jóvenes.</t>
  </si>
  <si>
    <t xml:space="preserve">D. Está indicado el uso de antibioterapia empírica en colitis isquémica moderada o severa para disminuir la translocación bacteriana.</t>
  </si>
  <si>
    <t xml:space="preserve">ITEM 316  ·  Aragón 2020  ·  aragon/2020 / Q34  ·  Standard/main</t>
  </si>
  <si>
    <t xml:space="preserve">Desde el punto de vista patogénico en el cáncer de colon la vía más común es:</t>
  </si>
  <si>
    <t xml:space="preserve">A. Inestabilidad cromosómica asociada a mutación del gen APC.</t>
  </si>
  <si>
    <t xml:space="preserve">B. Fenotipo mutador.</t>
  </si>
  <si>
    <t xml:space="preserve">C. Inestabilidad de microsatélites asociada a cambios epigenéticos.</t>
  </si>
  <si>
    <t xml:space="preserve">D. Inestabilidad genética asociada al K-RAS.</t>
  </si>
  <si>
    <t xml:space="preserve">ITEM 317  ·  Comunidad de Madrid 2021  ·  comunidad-de-madrid/2021 / Q44  ·  Standard/main</t>
  </si>
  <si>
    <t xml:space="preserve">Usted sabe que el prurito es un síntoma frecuente en las enfermedades colestásicas crónicas y que genera gran disconfort en los pacientes. En relación con su tratamiento, señale cuál de las siguientes afirmaciones es FALSA</t>
  </si>
  <si>
    <t xml:space="preserve">A. Es importante mantener una adecuada hidratación de la piel</t>
  </si>
  <si>
    <t xml:space="preserve">B. La colestiramina y el colestipol actúan aumentando la excreción fecal de sustancias pruritógenas</t>
  </si>
  <si>
    <t xml:space="preserve">C. El uso de sertralina puede resultar beneficioso en pacientes con prurito refractario</t>
  </si>
  <si>
    <t xml:space="preserve">D. Los antihistamínicos tienen un claro mecanismo de acción en el prurito de la colestasis y son el tratamiento de primera línea</t>
  </si>
  <si>
    <t xml:space="preserve">ITEM 318  ·  Castilla-La Mancha 2022  ·  castilla-la-mancha/2022 / Q101  ·  Non-case reserve</t>
  </si>
  <si>
    <t xml:space="preserve">Según la guía clínica ACG 2020, entre las recomendaciones de tratamiento en un paciente con acalasia esofágica no se incluye</t>
  </si>
  <si>
    <t xml:space="preserve">A. Miotomía endoscópica (POEM) o miotomía de Heller laparoscópica en la acalasia tipo III.</t>
  </si>
  <si>
    <t xml:space="preserve">B. POEM, miotomía de Heller laparoscópica o dilatación neumática en la acalasia tipo I y II.</t>
  </si>
  <si>
    <t xml:space="preserve">C. Asociar una funduplicatura completa (Nissen) durante la miotomía de Heller laparoscópica.</t>
  </si>
  <si>
    <t xml:space="preserve">D. Toxina botulínica en pacientes añosos con riesgo quirúrgico.</t>
  </si>
  <si>
    <t xml:space="preserve">ITEM 319  ·  Comunidad de Madrid 2021  ·  comunidad-de-madrid/2021 / Q52  ·  Standard/main</t>
  </si>
  <si>
    <t xml:space="preserve">Seleccione la opción INCORRECTA en relación con la gastritis crónica tipo B</t>
  </si>
  <si>
    <t xml:space="preserve">A. La densidad de la infección por H Pylori disminuye al avanzar hacia la gastritis atrófica multifocal y atrofia gástrica.</t>
  </si>
  <si>
    <t xml:space="preserve">B. Los hallazgos histológicos nunca mejoran después de erradicar H. pylori.</t>
  </si>
  <si>
    <t xml:space="preserve">C. Es de predominio antral.</t>
  </si>
  <si>
    <t xml:space="preserve">D. El desarrollo de Metaplasia intestinal aumenta el riesgo de adenocarcinoma gástrico.</t>
  </si>
  <si>
    <t xml:space="preserve">ITEM 320  ·  Comunitat Valenciana 2022  ·  comunitat-valenciana/2022 / Q72  ·  Standard/main</t>
  </si>
  <si>
    <t xml:space="preserve">Según la clasificación modificada de Milwaukee para la Disfunción del Esfínter de ODDI (DEO), sólo una de las siguientes respuestas es cierta:</t>
  </si>
  <si>
    <t xml:space="preserve">A. DEO tipo III se define por dolor biliar, elevación de transaminasas y dilatación de la vía biliar.</t>
  </si>
  <si>
    <t xml:space="preserve">B. DEO tipo II se diagnostica cuando está presente el dolor tipo biliar y dilatación del conducto biliar mayor de 5 mm.</t>
  </si>
  <si>
    <t xml:space="preserve">C. DEO tipo I se define sólo como dolor tipo biliar y aumento de transaminasas.</t>
  </si>
  <si>
    <t xml:space="preserve">D. Sólo se considera criterio diagnóstico la dilatación del conducto biliar si es mayor o igual a 9 mm</t>
  </si>
  <si>
    <t xml:space="preserve">ITEM 321  ·  Galicia 2022  ·  galicia/ope-2022 / Q104  ·  Non-case reserve</t>
  </si>
  <si>
    <t xml:space="preserve">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</si>
  <si>
    <t xml:space="preserve">A. 6 meses.</t>
  </si>
  <si>
    <t xml:space="preserve">B. 1 año.</t>
  </si>
  <si>
    <t xml:space="preserve">C. 3 años.</t>
  </si>
  <si>
    <t xml:space="preserve">D. 5 años.</t>
  </si>
  <si>
    <t xml:space="preserve">ITEM 322  ·  Comunidad de Madrid 2021  ·  comunidad-de-madrid/2021 / Q42  ·  Standard/main</t>
  </si>
  <si>
    <t xml:space="preserve">Un paciente con Insuficiencia Hépatica Aguda Grave NO suele tener:</t>
  </si>
  <si>
    <t xml:space="preserve">A. Descenso del factor V</t>
  </si>
  <si>
    <t xml:space="preserve">B. Hiperglucemia</t>
  </si>
  <si>
    <t xml:space="preserve">C. Hipoalbuminemia</t>
  </si>
  <si>
    <t xml:space="preserve">D. Aumento de la presion intracraneal</t>
  </si>
  <si>
    <t xml:space="preserve">ITEM 323  ·  Andalucía 2021  ·  andalucia/2021-22-libre / Q59  ·  Theoretical</t>
  </si>
  <si>
    <t xml:space="preserve">Sobre la colitis microscópica, señale la afirmación INCORRECTA:</t>
  </si>
  <si>
    <t xml:space="preserve">A. El uso concomitante de IBP y AINE aumenta el riesgo de presentar colitis microscópica.</t>
  </si>
  <si>
    <t xml:space="preserve">B. La colitis microscópica se ha asociado a enfermedades autoinmunes como la tiroiditis autoinmune, diabetes mellitus tipo 1 y artritis oligoarticular no erosiva.</t>
  </si>
  <si>
    <t xml:space="preserve">C. Se recomienda tomar al menos 3 biopsias de ascendente y 3 de descendente para el diagnóstico anatomopatológico de CM y la diferenciación entre colitis colágena y colitis linfocítica.</t>
  </si>
  <si>
    <t xml:space="preserve">D. Los cambios histológicos detectados en la colitis colágena son más marcados en colon izquierdo (descendente y rectosigma).</t>
  </si>
  <si>
    <t xml:space="preserve">ITEM 324  ·  Galicia 2019  ·  galicia/ope-2019 / Q108  ·  Non-case reserve</t>
  </si>
  <si>
    <t xml:space="preserve">Un fármaco utilizado en la enfermedad de Wilson por su acción quelante es:</t>
  </si>
  <si>
    <t xml:space="preserve">A. D penicilamina.</t>
  </si>
  <si>
    <t xml:space="preserve">B. Eritromicina.</t>
  </si>
  <si>
    <t xml:space="preserve">C. Sulfasalazina.</t>
  </si>
  <si>
    <t xml:space="preserve">D. Zinc.</t>
  </si>
  <si>
    <t xml:space="preserve">ITEM 325  ·  Comunitat Valenciana 2022  ·  comunitat-valenciana/2022 / Q61  ·  Standard/main</t>
  </si>
  <si>
    <t xml:space="preserve">La lesión hepática más frecuentemente producida por azatioprina es:</t>
  </si>
  <si>
    <t xml:space="preserve">A. Ductopenia.</t>
  </si>
  <si>
    <t xml:space="preserve">B. Granulomas.</t>
  </si>
  <si>
    <t xml:space="preserve">C. Lesión vascular.</t>
  </si>
  <si>
    <t xml:space="preserve">D. Esteatohepatitis.</t>
  </si>
  <si>
    <t xml:space="preserve">ITEM 326  ·  Andalucía 2021  ·  andalucia/2021-22-libre / Q31  ·  Theoretical</t>
  </si>
  <si>
    <t xml:space="preserve">¿Cuál de los siguientes hallazgos (aisladamente) permitiría establecer con mas seguridad el diagnóstico de síndrome de hipertensión portal secundario a hepatopatía crónica?</t>
  </si>
  <si>
    <t xml:space="preserve">A. Ascitis en ecografía.</t>
  </si>
  <si>
    <t xml:space="preserve">B. Varices esofágicas en endoscopia alta.</t>
  </si>
  <si>
    <t xml:space="preserve">C. Una medición de 45 kPa en elastometría transitoria.</t>
  </si>
  <si>
    <t xml:space="preserve">D. Un flujo portal hepatópeto inferior a 20 cm/seg en ecografía doppler.</t>
  </si>
  <si>
    <t xml:space="preserve">ITEM 327  ·  Andalucía 2021  ·  andalucia/2021-22-libre / Q112  ·  Practical</t>
  </si>
  <si>
    <t xml:space="preserve">CLINICAL CONTEXT — PART 1/2
[Full clinical context: andalucia-2021-22-libre-case-003]
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t>
  </si>
  <si>
    <t xml:space="preserve">CLINICAL CONTEXT — PART 2/2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</si>
  <si>
    <t xml:space="preserve">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</si>
  <si>
    <t xml:space="preserve">A. La ausencia de gas en la colección necrótica descarta prácticamente la infección, por lo que no debemos administrar antibióticos.</t>
  </si>
  <si>
    <t xml:space="preserve">B. La infección es altamente probable, por lo que es preceptivo iniciar el tratamiento antibiótico.</t>
  </si>
  <si>
    <t xml:space="preserve">C. Con una necrosis tan extensa es importante plantear un desbridamiento de la celda pancreática, siendo en este momento la cirugía el mejor método por la precocidad del problema.</t>
  </si>
  <si>
    <t xml:space="preserve">D. Ante esta situación se debe mantener el tratamiento conservador, sin drenar la colección ni tratar con antibióticos, pues no hay evidencia suficiente que apoye el tratamiento profiláctico con estos.</t>
  </si>
  <si>
    <t xml:space="preserve">Context IDs: andalucia-2021-22-libre-case-003  |  Source exam PDF page: 28</t>
  </si>
  <si>
    <t xml:space="preserve">ITEM 328  ·  Castilla-La Mancha 2022  ·  castilla-la-mancha/2022 / Q44  ·  Standard/main</t>
  </si>
  <si>
    <t xml:space="preserve">En el tratamiento del brote grave de colitis ulcerosa se puede usar:(señale la falsa)</t>
  </si>
  <si>
    <t xml:space="preserve">A. Mesalazina a dosis de 8 mg/día</t>
  </si>
  <si>
    <t xml:space="preserve">B. Corticoides IV a dosis de 1 mg/kg/día</t>
  </si>
  <si>
    <t xml:space="preserve">C. Infliximab a dosis de 5 mg/kg</t>
  </si>
  <si>
    <t xml:space="preserve">D. Ciclosporina para conseguir niveles de entre 150 y 350 ng/Ml</t>
  </si>
  <si>
    <t xml:space="preserve">ITEM 329  ·  Andalucía 2022  ·  andalucia/2022-extraordinaria-libre / Q135  ·  Practical</t>
  </si>
  <si>
    <t xml:space="preserve">CLINICAL CONTEXT — PART 1/4
[Full clinical context: andalucia-2022-extraordinaria-libre-caso-16]
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t>
  </si>
  <si>
    <t xml:space="preserve">CLINICAL CONTEXT — PART 2/4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t>
  </si>
  <si>
    <t xml:space="preserve">CLINICAL CONTEXT — PART 3/4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t>
  </si>
  <si>
    <t xml:space="preserve">CLINICAL CONTEXT — PART 4/4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</si>
  <si>
    <t xml:space="preserve">¿Qué afirmación le parece correcta con respecto a este paciente?</t>
  </si>
  <si>
    <t xml:space="preserve">A. Se trata de una forma de megacolon toxico, probablemente asociado a una enfermedad inflamatoria intestinal.</t>
  </si>
  <si>
    <t xml:space="preserve">B. La colonoscopia completa era prescindible, y comporta riesgo de dilatación de colon y perforación.</t>
  </si>
  <si>
    <t xml:space="preserve">C. El episodio de desmielinización previa por el síndrome de Guillain-Barré es una contraindicación para el tratamiento biológico.</t>
  </si>
  <si>
    <t xml:space="preserve">D. El paciente debe tratarse con fluidoterapia, dieta absoluta, corticoides y mesalazina oral.</t>
  </si>
  <si>
    <t xml:space="preserve">Context IDs: andalucia-2022-extraordinaria-libre-caso-16  |  Source exam PDF page: 38</t>
  </si>
  <si>
    <t xml:space="preserve">ITEM 330  ·  Castilla-La Mancha 2022  ·  castilla-la-mancha/2022 / Q104  ·  Non-case reserve</t>
  </si>
  <si>
    <t xml:space="preserve">Señale que elementos de los siguientes se asocian con Mejor Pronóstico en un paciente con Fallo Hepático Fulminante</t>
  </si>
  <si>
    <t xml:space="preserve">A. Un INR &gt; 3,5</t>
  </si>
  <si>
    <t xml:space="preserve">B. pH arterial &lt; 7,3.</t>
  </si>
  <si>
    <t xml:space="preserve">C. Bilirrubina elevada en casos de fallo no causado por paracetamol</t>
  </si>
  <si>
    <t xml:space="preserve">D. Hipofosfatemia</t>
  </si>
  <si>
    <t xml:space="preserve">ITEM 331  ·  Comunitat Valenciana 2022  ·  comunitat-valenciana/2022 / Q5  ·  Standard/main</t>
  </si>
  <si>
    <t xml:space="preserve">Según lo dispuesto en la Ley 10/2014, de 29 de diciembre, de Salud de la Comunitat Valenciana, en relación con los derechos de los pacientes y personas usuarias, señale la respuesta correcta:</t>
  </si>
  <si>
    <t xml:space="preserve">A. Los pacientes y personas usuarias tienen derecho a conocer su situación en lista de espera y el funcionamiento de la misma.</t>
  </si>
  <si>
    <t xml:space="preserve">B. En la declaración de voluntades anticipadas, la persona interesada deberá hacer constar la decisión respecto a la donación de sus órganos con finalidad terapéutica, docente o de investigación.</t>
  </si>
  <si>
    <t xml:space="preserve">C. Las personas menores de edad emancipadas y los mayores de 14 años son titulares del derecho a la información.</t>
  </si>
  <si>
    <t xml:space="preserve">D. Los pacientes y personas usuarias del Sistema Valenciano de Salud, tanto en la atención primaria como en la especializada, tienen derecho a elegir médico, pero no centro.</t>
  </si>
  <si>
    <t xml:space="preserve">ITEM 332  ·  Galicia 2019  ·  galicia/ope-2019 / Q110  ·  Non-case reserve</t>
  </si>
  <si>
    <t xml:space="preserve">Señale la respuesta FALSA con respecto al fallo hepático fulminante:</t>
  </si>
  <si>
    <t xml:space="preserve">A. Se recomienda hacer profilaxis de la úlcera de estrés.</t>
  </si>
  <si>
    <t xml:space="preserve">B. Existe riesgo de sepsis severa.</t>
  </si>
  <si>
    <t xml:space="preserve">C. Es frecuente la aparición de hipoglucemia e hiponatremia.</t>
  </si>
  <si>
    <t xml:space="preserve">D. La aparición de daño renal agudo (AKI) es excepcional.</t>
  </si>
  <si>
    <t xml:space="preserve">ITEM 333  ·  Región de Murcia 2019  ·  region-de-murcia/2019 / Q55  ·  Standard/main</t>
  </si>
  <si>
    <t xml:space="preserve">¿Cuál de los siguientes NO es un factor de riesgo potencialmente relacionado con la recurrencia postquirúrgica?:</t>
  </si>
  <si>
    <t xml:space="preserve">A. Granulomas en la pieza de resección.</t>
  </si>
  <si>
    <t xml:space="preserve">B. Gravedad de la plexitis mientérica en la pieza de resección.</t>
  </si>
  <si>
    <t xml:space="preserve">C. La técnica quirúrgica empleada.</t>
  </si>
  <si>
    <t xml:space="preserve">ITEM 334  ·  Galicia 2016  ·  galicia/ope-2016 / Q105  ·  Non-case reserve</t>
  </si>
  <si>
    <t xml:space="preserve">Indique cuál de las siguientes es la causa más frecuente de hematoquecia significativa:</t>
  </si>
  <si>
    <t xml:space="preserve">A. Colitis.</t>
  </si>
  <si>
    <t xml:space="preserve">B. Hemorroides.</t>
  </si>
  <si>
    <t xml:space="preserve">C. Cáncer y pólipos de colon.</t>
  </si>
  <si>
    <t xml:space="preserve">D. Diverticulosis de colon.</t>
  </si>
  <si>
    <t xml:space="preserve">ITEM 335  ·  Andalucía 2021  ·  andalucia/2021-22-libre / Q119  ·  Practical</t>
  </si>
  <si>
    <t xml:space="preserve">CLINICAL CONTEXT — PART 1/3
[Full clinical context: andalucia-2021-22-libre-case-006]
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t>
  </si>
  <si>
    <t xml:space="preserve">CLINICAL CONTEXT — PART 2/3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t>
  </si>
  <si>
    <t xml:space="preserve">CLINICAL CONTEXT — PART 3/3
favorable y previamente al alta se consulta con digestivo.</t>
  </si>
  <si>
    <t xml:space="preserve">¿Cuál es la actitud más adecuada a seguir en este paciente?</t>
  </si>
  <si>
    <t xml:space="preserve">A. Abandono del tabaquismo y revisión en la consulta de digestivo con control analítico 6 meses después de la cirugía.</t>
  </si>
  <si>
    <t xml:space="preserve">B. Abandono del tabaquismo, iniciar tratamiento con mesalazina oral y revisión en la consulta de digestivo con control analítico 6 meses después de la cirugía.</t>
  </si>
  <si>
    <t xml:space="preserve">C. Abandono del tabaquismo, iniciar tratamiento con metronidazol oral a dosis de 15-20 mg/Kg/día durante 3 meses y revisión en la consulta de digestivo con control analítico 6 meses después de la cirugía.</t>
  </si>
  <si>
    <t xml:space="preserve">D. Abandono del tabaquismo, iniciar tratamiento con metronidazol oral a dosis de 15-20 mg/Kg/día durante 3 meses + azatioprina a dosis de 2-2.5 mg/Kg/día y revisión en la consulta de digestivo con control analítico 6 meses después de la cirugía.</t>
  </si>
  <si>
    <t xml:space="preserve">Context IDs: andalucia-2021-22-libre-case-006  |  Source exam PDF page: 31</t>
  </si>
  <si>
    <t xml:space="preserve">ITEM 336  ·  Región de Murcia 2019  ·  region-de-murcia/2019 / Q62  ·  Standard/main</t>
  </si>
  <si>
    <t xml:space="preserve">Con respecto al Síndrome de Ogilvie, señale la respuesta falsa:</t>
  </si>
  <si>
    <t xml:space="preserve">A. Cursa con síntomas, signos y alteraciones radiológicas compatibles con una obstrucción aguda del colon, pero sin evidencia de causa mecánica que la justifique.</t>
  </si>
  <si>
    <t xml:space="preserve">B. La dilatación afecta característicamente al colon transverso y descendente.</t>
  </si>
  <si>
    <t xml:space="preserve">C. Los traumatismos, la administración de opiáceos y la presencia de alteraciones hidroelectrolíticas pueden desencadenar el cuadro.</t>
  </si>
  <si>
    <t xml:space="preserve">D. Las complicaciones más graves son la isquemia y la perforación del colon.</t>
  </si>
  <si>
    <t xml:space="preserve">ITEM 337  ·  La Rioja 2024  ·  la-rioja/2023-2024 / Q24  ·  Standard/main</t>
  </si>
  <si>
    <t xml:space="preserve">El signo de Cullen en pancreatitis aguda corresponde a:</t>
  </si>
  <si>
    <t xml:space="preserve">A. Equimosis periumbilical.</t>
  </si>
  <si>
    <t xml:space="preserve">B. Equimosis en flancos.</t>
  </si>
  <si>
    <t xml:space="preserve">C. Eritema facial.</t>
  </si>
  <si>
    <t xml:space="preserve">D. Paniculitis.</t>
  </si>
  <si>
    <t xml:space="preserve">ITEM 338  ·  Galicia 2019  ·  galicia/ope-2019 / Q107  ·  Non-case reserve</t>
  </si>
  <si>
    <t xml:space="preserve">La fase de infección crónica del virus hepatitis B con antígeno e positivo (HBeAg) (antes denominada fase de inmunotolerancia), presenta todas las siguientes características, EXCEPTO:</t>
  </si>
  <si>
    <t xml:space="preserve">A. Niveles muy elevados del DNA de la hepatitis B.</t>
  </si>
  <si>
    <t xml:space="preserve">B. Valores normales de ALT.</t>
  </si>
  <si>
    <t xml:space="preserve">C. La tasa de seroconversión espontánea en esta fase es muy baja.</t>
  </si>
  <si>
    <t xml:space="preserve">D. Actividad necroinflamatoria severa en la biopsia hepática.</t>
  </si>
  <si>
    <t xml:space="preserve">ITEM 339  ·  Región de Murcia 2019  ·  region-de-murcia/2019 / Q28  ·  Standard/main</t>
  </si>
  <si>
    <t xml:space="preserve">En relación con el diagnóstico de la infección por Helicobacter Pylori (Hp), señale la opción FALSA:</t>
  </si>
  <si>
    <t xml:space="preserve">A. El test de aliento es el método no invasivo más investigado y recomendado en el contexto de una estrategia de test-and-treat.</t>
  </si>
  <si>
    <t xml:space="preserve">B. El test de antígeno fecal para Hp no está recomendado para el contexto de una estrategia de test-and-treat.</t>
  </si>
  <si>
    <t xml:space="preserve">C. Los IBP deben suspenderse al menos dos semanas antes de las pruebas para la infección por Hp.</t>
  </si>
  <si>
    <t xml:space="preserve">D. El test de ureasa rápido no se recomienda como prueba para la evaluación de la erradicación de Hp después del tratamiento. El test de aliento es la mejor opción para confirmar la erradicación de Hp y el test de antígeno fecal es una alternativa.</t>
  </si>
  <si>
    <t xml:space="preserve">ITEM 340  ·  Castilla y León 2022  ·  castilla-y-leon/2022 / Q95  ·  Non-case reserve</t>
  </si>
  <si>
    <t xml:space="preserve">¿Cuál de las siguientes es una contraindicación absoluta para la inserción de una prótesis autoexpandible de colon, en un paciente con cáncer colorrectal obstructivo?</t>
  </si>
  <si>
    <t xml:space="preserve">A. Anticoagulación con acenocumarol e INR de 2.</t>
  </si>
  <si>
    <t xml:space="preserve">B. Perforación de colon.</t>
  </si>
  <si>
    <t xml:space="preserve">C. Situación del tumor en el colon proximal.</t>
  </si>
  <si>
    <t xml:space="preserve">ITEM 341  ·  Castilla-La Mancha 2017  ·  castilla-la-mancha/2017-2018 / Q101  ·  Non-case reserve</t>
  </si>
  <si>
    <t xml:space="preserve">De conformidad con el artículo 57 de la Ley 14/1986 de 25 abril, General de Sanidad, las Áreas de Salud, contarán, como mínimo, con los siguientes órganos</t>
  </si>
  <si>
    <t xml:space="preserve">A. El Consejo de Ordenación de Área.</t>
  </si>
  <si>
    <t xml:space="preserve">B. El Consejo de Coordinación de Área.</t>
  </si>
  <si>
    <t xml:space="preserve">C. El Consejo de Salud de Área, el Consejo de Dirección de Área y el Gerente de Área.</t>
  </si>
  <si>
    <t xml:space="preserve">D. El Consejo Interterritorial de Área.</t>
  </si>
  <si>
    <t xml:space="preserve">ITEM 342  ·  Andalucía 2021  ·  andalucia/2021-22-libre / Q135  ·  Practical</t>
  </si>
  <si>
    <t xml:space="preserve">A nuestro paciente se le realiza TC, en la que se visualiza líquido libre y colección de predominio aéreo en mesosigma de 83 mm de diámetro y colonoscopia sin preparación y con baja insuflación, apreciando mucosa erosionada y con zonas negruzcas, por lo que no se toman muestras de biopsias. En relación a cómo estableceríamos el diagnóstico de certeza en este paciente, ¿Qué afirmación de las siguiente es correcta?:</t>
  </si>
  <si>
    <t xml:space="preserve">A. Se establece el diagnóstico de certeza si el paciente presenta histología compatible documentada en muestras obtenidas por colonoscopia, laparotomía o necropsia.</t>
  </si>
  <si>
    <t xml:space="preserve">B. Las características histológicas patognomónicas incluyen infarto y células fantasma.</t>
  </si>
  <si>
    <t xml:space="preserve">C. Se define un caso probable cuando los hallazgos endoscópicos son sugestivos, pero sin confirmación patológica.</t>
  </si>
  <si>
    <t xml:space="preserve">D. Todas las afirmaciones anteriores son correctas.</t>
  </si>
  <si>
    <t xml:space="preserve">Context IDs: andalucia-2021-22-libre-case-010  |  Source exam PDF page: 37</t>
  </si>
  <si>
    <t xml:space="preserve">ITEM 343  ·  Castilla y León 2019  ·  castilla-y-leon/2019 / Q27  ·  Standard/main</t>
  </si>
  <si>
    <t xml:space="preserve">Conforme al Decreto 101/2005, de 22 de diciembre, por el que se regula la Historia Clínica en Castilla y León, la documentación clínica:</t>
  </si>
  <si>
    <t xml:space="preserve">A. Deberá conservarse como mínimo 10 años, contados desde la fecha del fallecimiento del paciente</t>
  </si>
  <si>
    <t xml:space="preserve">B. Transcurridos 3 años podrán destruirse las hojas de órdenes médicas y de interconsulta cuando no sean trascendentales por motivos asistenciales, de salud pública, epidemiológicos, de investigación, judiciales o por razones de organización y funcionamiento del Sistema Nacional de Salud</t>
  </si>
  <si>
    <t xml:space="preserve">C. El consentimiento informado se conservará de forma indefinida</t>
  </si>
  <si>
    <t xml:space="preserve">D. Todas las respuestas anteriores son incorrectas</t>
  </si>
  <si>
    <t xml:space="preserve">ITEM 344  ·  Andalucía 2021  ·  andalucia/2021-22-libre / Q9  ·  Theoretical</t>
  </si>
  <si>
    <t xml:space="preserve">El diagrama de cajas (box-plot) es una forma de representación gráfica bastante usada, sobre todo cuando se quieren comparar dos o más mediciones de una misma variable, por ejemplo en varios grupos de sujetos o en los mismos sujetos en distintos momentos del tiempo. Todas las afirmaciones siguientes sobre este modelo son ciertas, excepto:</t>
  </si>
  <si>
    <t xml:space="preserve">A. La caja está determinada por los percentiles 25 y 75, por lo que su amplitud es el rango intercuartílico</t>
  </si>
  <si>
    <t xml:space="preserve">B. La mediana es un valor que caerá siempre dentro de la caja</t>
  </si>
  <si>
    <t xml:space="preserve">C. Los "bigotes" o líneas que salen desde la caja en direcciones opuestas, se extienden hasta los valores máximo y mínimo de la serie (valores ordenados de la variable)</t>
  </si>
  <si>
    <t xml:space="preserve">D. En la caja se encuentran la mitad de las observaciones o valores</t>
  </si>
  <si>
    <t xml:space="preserve">ITEM 345  ·  Navarra 2022  ·  navarra/2022 / Q61  ·  Mixed theory–practical</t>
  </si>
  <si>
    <t xml:space="preserve">¿Cuál de las siguientes anomalías NO suele producirse en la hemostasia de los pacientes cirróticos?</t>
  </si>
  <si>
    <t xml:space="preserve">A. Trombopenia</t>
  </si>
  <si>
    <t xml:space="preserve">B. Disminución de la síntesis de Factor V</t>
  </si>
  <si>
    <t xml:space="preserve">C. Disminución de los niveles del Factor von Willebrand</t>
  </si>
  <si>
    <t xml:space="preserve">D. Disminución de los niveles de la proteína C y proteína S</t>
  </si>
  <si>
    <t xml:space="preserve">ITEM 346  ·  Aragón 2020  ·  aragon/2020 / Q12  ·  Standard/main</t>
  </si>
  <si>
    <t xml:space="preserve">¿Cual de los siguientes factores, NO es un factor de riesgo para el desarrollo de hepatocarcinoma?</t>
  </si>
  <si>
    <t xml:space="preserve">A. La obesidad.</t>
  </si>
  <si>
    <t xml:space="preserve">B. El sexo masculino.</t>
  </si>
  <si>
    <t xml:space="preserve">C. La ingesta de alcohol.</t>
  </si>
  <si>
    <t xml:space="preserve">D. La ingesta de café.</t>
  </si>
  <si>
    <t xml:space="preserve">ITEM 347  ·  Comunidad de Madrid 2021  ·  comunidad-de-madrid/2021 / Q152  ·  Non-case reserve</t>
  </si>
  <si>
    <t xml:space="preserve">La motilidad esofágica ineficaz:</t>
  </si>
  <si>
    <t xml:space="preserve">A. Es un trastorno manométrico que puede aparecer en pacientes con enfermedad por reflujo gastroesofágico.</t>
  </si>
  <si>
    <t xml:space="preserve">B. Se diagnostica con el registro manométrico de una presión de reposo del esfínter esofágico inferior inferior a 10 mmHg.</t>
  </si>
  <si>
    <t xml:space="preserve">C. Se caracteriza por una relajación incompleta del esfínter esofágico inferior durante las degluciones líquidas (IRP4 &gt;15 mmHg)</t>
  </si>
  <si>
    <t xml:space="preserve">D. Se asocia a latencia distal de la onda peristáltica mayor de 4,5 sg.</t>
  </si>
  <si>
    <t xml:space="preserve">ITEM 348  ·  Comunidad de Madrid 2021  ·  comunidad-de-madrid/2021 / Q146  ·  Standard/main</t>
  </si>
  <si>
    <t xml:space="preserve">Señala la respuesta correcta con respecto a la hepatitis E en el embarazo</t>
  </si>
  <si>
    <t xml:space="preserve">A. Su incidencia ha disminuido en los ultimos años</t>
  </si>
  <si>
    <t xml:space="preserve">B. Su curso es potencialmente mas grave</t>
  </si>
  <si>
    <t xml:space="preserve">C. No se transmite de madre a feto</t>
  </si>
  <si>
    <t xml:space="preserve">D. Se debe tratar con interferon</t>
  </si>
  <si>
    <t xml:space="preserve">ITEM 349  ·  Comunitat Valenciana 2022  ·  comunitat-valenciana/2022 / Q66  ·  Standard/main</t>
  </si>
  <si>
    <t xml:space="preserve">Uno de los siguientes ítems no es criterio de trasplante hepático según King´s College en el fallo hepático agudo por paracetamol:</t>
  </si>
  <si>
    <t xml:space="preserve">A. INR &gt; 6,5.</t>
  </si>
  <si>
    <t xml:space="preserve">B. pH arterial &gt;7,25 pasadas 24 tras la ingesta del fármaco.</t>
  </si>
  <si>
    <t xml:space="preserve">C. Creatinina &gt; 3,4 mg.</t>
  </si>
  <si>
    <t xml:space="preserve">D. Encefalopatia grado 3-4</t>
  </si>
  <si>
    <t xml:space="preserve">ITEM 350  ·  Navarra 2022  ·  navarra/2022 / Q15  ·  Mixed theory–practical</t>
  </si>
  <si>
    <t xml:space="preserve">¿Cuál de los descritos NO es un fármaco habitualmente considerado de primera línea para el tratamiento del Síndrome de Intestino Irritable?</t>
  </si>
  <si>
    <t xml:space="preserve">A. Cleboprida/simeticona</t>
  </si>
  <si>
    <t xml:space="preserve">B. Aceite de menta.</t>
  </si>
  <si>
    <t xml:space="preserve">C. Espasmolíticos.</t>
  </si>
  <si>
    <t xml:space="preserve">D. Loperamida.</t>
  </si>
  <si>
    <t xml:space="preserve">ITEM 351  ·  Galicia 2022  ·  galicia/ope-2022 / Q107  ·  Non-case reserve</t>
  </si>
  <si>
    <t xml:space="preserve">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</si>
  <si>
    <t xml:space="preserve">A. Inicio de perfusión de esomeprazol a razón de 8 mg por hora tras bolo previo de 80 mg.</t>
  </si>
  <si>
    <t xml:space="preserve">B. Solicitar gastroscopia urgente en menos de 6 horas.</t>
  </si>
  <si>
    <t xml:space="preserve">C. AngioTAC urgente.</t>
  </si>
  <si>
    <t xml:space="preserve">D. Transfusión de 2 concentrados de hematíes.</t>
  </si>
  <si>
    <t xml:space="preserve">ITEM 352  ·  Castilla y León 2022  ·  castilla-y-leon/2022 / Q96  ·  Non-case reserve</t>
  </si>
  <si>
    <t xml:space="preserve">Una mujer de 65 años de edad se presenta al Servicio de Urgencias por dolor abdominal de 12 horas de evolución y fiebre de 38 ºC. La exploración destaca por el buen estado general de la paciente con dolor a la palpación en fosa ilíaca izquierda, sin peritonismo. Se realiza una TC en el que se observa una diverticulitis aguda no complicada así como una tumoración quística en cuerpo pancreático de 25 mm de diámetro, con múltiples microquistes separados por tabiques finos, confiriéndole un aspecto en ‘panal de abeja’. ¿Cuál es el diagnóstico más probable de esta última lesión?</t>
  </si>
  <si>
    <t xml:space="preserve">A. Cistoadenoma seroso.</t>
  </si>
  <si>
    <t xml:space="preserve">B. Neoplasia quística mucinosa</t>
  </si>
  <si>
    <t xml:space="preserve">C. Tumor pseudopapilar sólido.</t>
  </si>
  <si>
    <t xml:space="preserve">ITEM 353  ·  Galicia 2016  ·  galicia/ope-2016 / Q102  ·  Non-case reserve</t>
  </si>
  <si>
    <t xml:space="preserve">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</si>
  <si>
    <t xml:space="preserve">A. Se trata de un adenocarcinoma no invasivo y el riesgo de diseminación es bajo.</t>
  </si>
  <si>
    <t xml:space="preserve">B. Se trata de un nivel 3 de Haggitt y lo recomendado es vigilancia endoscópica.</t>
  </si>
  <si>
    <t xml:space="preserve">C. El paciente no tiene ningún riesgo de metástasis en ganglios linfáticos regionales.</t>
  </si>
  <si>
    <t xml:space="preserve">D. Se trata de un nivel 2 de Haggitt con un riesgo de metástasis bajo.</t>
  </si>
  <si>
    <t xml:space="preserve">ITEM 354  ·  Región de Murcia 2019  ·  region-de-murcia/2019 / Q110  ·  Standard/main</t>
  </si>
  <si>
    <t xml:space="preserve">Una de los siguientes no es una indicación para trasplante hepático en carcinoma hepatocelular (CHC), según los criterios de Milán:</t>
  </si>
  <si>
    <t xml:space="preserve">A. Nódulo único menor de 5 cm.</t>
  </si>
  <si>
    <t xml:space="preserve">B. Menos de 3 nódulos menores de 3 cm.</t>
  </si>
  <si>
    <t xml:space="preserve">C. CHC sin cirrosis asociada.</t>
  </si>
  <si>
    <t xml:space="preserve">D. No microinvasión vascular.</t>
  </si>
  <si>
    <t xml:space="preserve">ITEM 355  ·  La Rioja 2021  ·  la-rioja/2020-2021 / Q37  ·  Standard/main</t>
  </si>
  <si>
    <t xml:space="preserve">En relación al carcinoma hepatocelular, señale la respuesta falsa:</t>
  </si>
  <si>
    <t xml:space="preserve">A. La determinación de AFP no es útil para el diagnóstico del carcinoma hepatocelular.</t>
  </si>
  <si>
    <t xml:space="preserve">B. Respecto a la radioembolización transarterial (TARE) no existe evidencia científica para recomendar esta opción terapéutica en pacientes con carcinoma hepatocelular avanzado.</t>
  </si>
  <si>
    <t xml:space="preserve">C. En los estudios publicados se ha mostrado que la RM con contraste órgano-específica no ofreció mayor sensibilidad ni precisión diagnóstica respecto a la RM con contraste extracelular.</t>
  </si>
  <si>
    <t xml:space="preserve">D. En el tratamiento de segunda línea del carcinoma hepatocelular, ramucirumab mejora la supervivencia en pacientes que presentan un valor de AFP mayor o igual 200ng/mL.</t>
  </si>
  <si>
    <t xml:space="preserve">ITEM 356  ·  Comunitat Valenciana 2022  ·  comunitat-valenciana/2022 / Q45  ·  Standard/main</t>
  </si>
  <si>
    <t xml:space="preserve">En el contexto de un episodio de diverticulitis complicada (señale la respuesta incorrecta):</t>
  </si>
  <si>
    <t xml:space="preserve">A. La fístula más frecuente es la colovaginal.</t>
  </si>
  <si>
    <t xml:space="preserve">B. La diverticulitis recurrente puede ocasionar una estenosis crónica del colon.</t>
  </si>
  <si>
    <t xml:space="preserve">C. Un 15% de los pacientes desarrollarán absceso pericolónico o intramesentérico.</t>
  </si>
  <si>
    <t xml:space="preserve">D. Abscesos de menos de 3 - 4 cm se pueden resolver sólo con tratamiento antibiótico.</t>
  </si>
  <si>
    <t xml:space="preserve">ITEM 357  ·  Andalucía 2022  ·  andalucia/2022-extraordinaria-libre / Q100  ·  Theoretical</t>
  </si>
  <si>
    <t xml:space="preserve">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</si>
  <si>
    <t xml:space="preserve">A. Esófago, siendo el punto de elección para la toma de biopsias por ser el procedimiento menos invasivo.</t>
  </si>
  <si>
    <t xml:space="preserve">B. Duodeno.</t>
  </si>
  <si>
    <t xml:space="preserve">C. En el colon se llega a un diagnostico histológico en un porcentaje ligeramente superior a otras localizaciones.</t>
  </si>
  <si>
    <t xml:space="preserve">D. Unión gastroesofágica, con una sensibilidad muy superior a las otras localizaciones.</t>
  </si>
  <si>
    <t xml:space="preserve">ITEM 358  ·  Castilla y León 2019  ·  castilla-y-leon/2019 / Q153  ·  Non-case reserve</t>
  </si>
  <si>
    <t xml:space="preserve">Ante un paciente con disfagia bucofaríngea, ¿qué estudio se aconseja realizar en primer lugar?:</t>
  </si>
  <si>
    <t xml:space="preserve">A. Pruebas de motilidad esofágica.</t>
  </si>
  <si>
    <t xml:space="preserve">B. Estudio de deglución con video.</t>
  </si>
  <si>
    <t xml:space="preserve">C. Endoscopia Digestiva Alta.</t>
  </si>
  <si>
    <t xml:space="preserve">D. Radiografía de cuello y tórax.</t>
  </si>
  <si>
    <t xml:space="preserve">Source exam PDF page: 34</t>
  </si>
  <si>
    <t xml:space="preserve">ITEM 359  ·  Galicia 2016  ·  galicia/ope-2016 / Q109  ·  Non-case reserve</t>
  </si>
  <si>
    <t xml:space="preserve">La ligadura endoscópica con bandas se considera el tratamiento de elección tanto en los episodios de hemorragia aguda por varices esofágicas como en la profilaxis secundaria de la misma. En relación con las complicaciones asociadas al procedimiento endoscópico señala la afirmación FALSA:</t>
  </si>
  <si>
    <t xml:space="preserve">A. Tras la realización del procedimiento se observa aparición de úlceras esofágicas en la zona de colocación de bandas en un 5-15% de los pacientes y es una de sus principales complicaciones.</t>
  </si>
  <si>
    <t xml:space="preserve">B. La incidencia de aparición de úlceras esofágicas post-ligadura de varices esofágicas es más frecuente tras el tratamiento del episodio agudo de hemorragia por varices, que en las ligaduras programadas como profilaxis secundaria.</t>
  </si>
  <si>
    <t xml:space="preserve">C. Tras la obliteración de las varices esofágicas después de las sesiones de bandas necesarias, se recomienda vigilancia endoscópica cada 3-6 meses dada la posibilidad de recurrencia.</t>
  </si>
  <si>
    <t xml:space="preserve">D. La estenosis esofágica post-ligadura es una complicación muy frecuente tras el desarrollo de úlceras esofágicas post-ligadura relacionada con su cicatrización. El tratamiento profiláctico con omeprazol disminuye su frecuencia de aparición.</t>
  </si>
  <si>
    <t xml:space="preserve">ITEM 360  ·  Aragón 2017  ·  aragon/2017 / Q92  ·  Standard/main</t>
  </si>
  <si>
    <t xml:space="preserve">En un paciente con infección crónica por virus C que ha alcanzado respuesta viral sostenida (RVS). ¿Cuál de la siguientes afirmaciones es INCORRECTA? :</t>
  </si>
  <si>
    <t xml:space="preserve">A. El grado de fibrosis hepática regresa con el tiempo en pacientes con F0-F1-F2.</t>
  </si>
  <si>
    <t xml:space="preserve">B. El riesgo de desarrollar carcinoma hepatocelular en pacientes con F3 y F4 disminuye, pero no se elimina totalmente por lo que se aconseja realizar ecografía abdominal cada 6 meses.</t>
  </si>
  <si>
    <t xml:space="preserve">C. El riesgo de desarrollar varices de novo en pacientes con cirrosis hepática es similar al de los pacientes que no han alcanzado RVS.</t>
  </si>
  <si>
    <t xml:space="preserve">D. La reinfección puede ocurrir en determinados grupos de pacientes, por ejemplo hombres que tienen sexo con hombres.</t>
  </si>
  <si>
    <t xml:space="preserve">Source exam PDF page: 33</t>
  </si>
  <si>
    <t xml:space="preserve">ITEM 361  ·  Aragón 2017  ·  aragon/2017 / Q7  ·  Standard/main</t>
  </si>
  <si>
    <t xml:space="preserve">En el desarrollo de un programa de calidad, ¿cuál de los siguientes apartados se corresponde con la identificación de los problemas?</t>
  </si>
  <si>
    <t xml:space="preserve">A. La definición de la cartera de servicios.</t>
  </si>
  <si>
    <t xml:space="preserve">B. El análisis del campo de fuerzas o gráfico DAFO.</t>
  </si>
  <si>
    <t xml:space="preserve">C. La selección de indicadores.</t>
  </si>
  <si>
    <t xml:space="preserve">D. La descripción de las líneas de actuación.</t>
  </si>
  <si>
    <t xml:space="preserve">ITEM 362  ·  Comunidad de Madrid 2021  ·  comunidad-de-madrid/2021 / Q38  ·  Standard/main</t>
  </si>
  <si>
    <t xml:space="preserve">¿Cuál de las afirmaciones siguientes es FALSA en relación con el tratamiento de la infección por H pylori?</t>
  </si>
  <si>
    <t xml:space="preserve">A. Se recomienda que la duración del tratamiento cuádruple concomitante sin bismuto (IBP, claritromicina, amoxicilina y metronidazol) sea de 14 días.</t>
  </si>
  <si>
    <t xml:space="preserve">B. Se recomienda que un tratamiento erradicador sea considerado efectivo cuando sea capaz de curar la infección por H. pylori en un porcentaje próximo o preferiblemente superior al 70% de los pacientes</t>
  </si>
  <si>
    <t xml:space="preserve">C. Se recomienda que la duración de la terapia cuádruple con bismuto (IBP, bismuto, tetraciclina y metronidazol) sea de 10 días como mínimo</t>
  </si>
  <si>
    <t xml:space="preserve">D. Tras el fracaso de un primer tratamiento con una terapia cuádruple con bismuto (IBP, bismuto, tetraciclinay metronidazol), se recomienda una pauta cuádruple con levofloxacino (IBP, amoxicilina, levofloxacino y bismuto).</t>
  </si>
  <si>
    <t xml:space="preserve">ITEM 363  ·  Región de Murcia 2019  ·  region-de-murcia/2019 / Q61  ·  Standard/main</t>
  </si>
  <si>
    <t xml:space="preserve">¿Cuál de las siguientes no es causa de íleo paralítico?:</t>
  </si>
  <si>
    <t xml:space="preserve">A. Hipopotasemia.</t>
  </si>
  <si>
    <t xml:space="preserve">B. Hiponatremia.</t>
  </si>
  <si>
    <t xml:space="preserve">C. Hemorragia retroperitoneal.</t>
  </si>
  <si>
    <t xml:space="preserve">D. Pancreatitis crónica.</t>
  </si>
  <si>
    <t xml:space="preserve">ITEM 364  ·  Comunitat Valenciana 2022  ·  comunitat-valenciana/2022 / Q35  ·  Standard/main</t>
  </si>
  <si>
    <t xml:space="preserve">En relación a la enfermedad de Whipple:</t>
  </si>
  <si>
    <t xml:space="preserve">A. La respuesta inicial al tratamiento con antibióticos suele ser rápida, aunque la diarrea suele ser el síntoma que más tarda en resolverse.</t>
  </si>
  <si>
    <t xml:space="preserve">B. Sólo los humanos y los cerdos parecen verse afectados por esta enfermedad.</t>
  </si>
  <si>
    <t xml:space="preserve">C. Una característica común es la hiperpigmentación cutánea, que se ha encontrado entre el 17% y el 66% de los pacientes.</t>
  </si>
  <si>
    <t xml:space="preserve">D. Doxicilina 100 mg dos veces al día es una buena alternativa de tratamiento debido a su buena penetración a nivel del sistema nervioso central.</t>
  </si>
  <si>
    <t xml:space="preserve">ITEM 365  ·  Andalucía 2022  ·  andalucia/2022-extraordinaria-libre / Q58  ·  Theoretical</t>
  </si>
  <si>
    <t xml:space="preserve">Globalmente, el tumor extracolónico más frecuente en el síndrome de Lynch es:</t>
  </si>
  <si>
    <t xml:space="preserve">A. Endometrio.</t>
  </si>
  <si>
    <t xml:space="preserve">B. Próstata.</t>
  </si>
  <si>
    <t xml:space="preserve">C. Páncreas.</t>
  </si>
  <si>
    <t xml:space="preserve">D. Estómago.</t>
  </si>
  <si>
    <t xml:space="preserve">ITEM 366  ·  La Rioja 2024  ·  la-rioja/2023-2024 / Q9  ·  Standard/main</t>
  </si>
  <si>
    <t xml:space="preserve">Paciente de 62 años con dolor abdominal crónico. Entero-RM: masa de 5 cm en yeyuno hipercaptante Biopsia: positivo para CD117 y DOG1. ¿Cuál es el diagnóstico?:</t>
  </si>
  <si>
    <t xml:space="preserve">A. Adenocarcinoma yeyunal.</t>
  </si>
  <si>
    <t xml:space="preserve">B. GIST yeyunal.</t>
  </si>
  <si>
    <t xml:space="preserve">C. Linfoma intestinal.</t>
  </si>
  <si>
    <t xml:space="preserve">D. NET intestinal.</t>
  </si>
  <si>
    <t xml:space="preserve">ITEM 367  ·  Navarra 2022  ·  navarra/2022 / Q12  ·  Mixed theory–practical</t>
  </si>
  <si>
    <t xml:space="preserve">¿Cuál de las siguientes opciones es la CORRECTA respecto al tratamiento farmacológico de la Dispepsia Funcional?</t>
  </si>
  <si>
    <t xml:space="preserve">A. Los IBP solo tienen beneficio en dosis altas</t>
  </si>
  <si>
    <t xml:space="preserve">B. Es importante no retirar de forma precoz (&lt;6 meses) el tratamiento antidepresivo, si ha sido eficaz y no ha producido efectos secundarios importantes, ya que puede producir recidivas tempranas</t>
  </si>
  <si>
    <t xml:space="preserve">C. El tratamiento siempre se debe prescribir en función del síndrome predominante (síndrome de distress postprandial, síndrome de dolor epigástrico)</t>
  </si>
  <si>
    <t xml:space="preserve">D. El efecto beneficioso de Amitriptilina siempre se hace presente al día siguiente de haberse iniciado</t>
  </si>
  <si>
    <t xml:space="preserve">ITEM 368  ·  Castilla y León 2019  ·  castilla-y-leon/2019 / Q162  ·  Non-case reserve</t>
  </si>
  <si>
    <t xml:space="preserve">En relación con el diagnóstico de las neoplasias quísticas mucinosas de páncreas una de las siguientes aseveraciones es falsa</t>
  </si>
  <si>
    <t xml:space="preserve">A. Presentan estroma de tipo ovárico en su interior.</t>
  </si>
  <si>
    <t xml:space="preserve">B. Presentan niveles elevados de amilasa en su interior.</t>
  </si>
  <si>
    <t xml:space="preserve">C. Se localizan en cuerpo y cola del páncreas en el 95% de los casos.</t>
  </si>
  <si>
    <t xml:space="preserve">D. Son más frecuentes en mujeres.</t>
  </si>
  <si>
    <t xml:space="preserve">ITEM 369  ·  Castilla y León 2022  ·  castilla-y-leon/2022 / Q99  ·  Non-case reserve</t>
  </si>
  <si>
    <t xml:space="preserve">Señale la respuesta correcta en relación con infección por. el virus de la Hepatitis A:</t>
  </si>
  <si>
    <t xml:space="preserve">A. Diferencia de los adultos, la mayoría de los niños menores de 6 años presentan síntomas.</t>
  </si>
  <si>
    <t xml:space="preserve">B. Puede haber manifestaciones extrahepáticas como rash evanescente y artralgias en un 10% - 15% de pacientes.</t>
  </si>
  <si>
    <t xml:space="preserve">C. Los anticuerpos IgM son de aparición tardía, habitualmente tras la remisión de los síntomas.</t>
  </si>
  <si>
    <t xml:space="preserve">ITEM 370  ·  Castilla-La Mancha 2017  ·  castilla-la-mancha/2017-2018 / Q84  ·  Standard/main</t>
  </si>
  <si>
    <t xml:space="preserve">Una de las siguientes afirmaciones no es correcta en relación con la hemocromatosis hereditaria</t>
  </si>
  <si>
    <t xml:space="preserve">A. El mejor predictor de fibrosis en la Hemocromatosis hereditaria es el nivel de ferritina en sangre.</t>
  </si>
  <si>
    <t xml:space="preserve">B. Los pacientes únicamente heterocigotos en la mutación C282Y tienen riesgo de sobrecarga férrica.</t>
  </si>
  <si>
    <t xml:space="preserve">C. La prueba de cribado de elección es la saturación de transferrina en sangre.</t>
  </si>
  <si>
    <t xml:space="preserve">D. El fibroscán ® no está validado en el diagnóstico de fibrosis hepática en esta enfermedad.</t>
  </si>
  <si>
    <t xml:space="preserve">ITEM 371  ·  Comunitat Valenciana 2022  ·  comunitat-valenciana/2022 / Q19  ·  Standard/main</t>
  </si>
  <si>
    <t xml:space="preserve">Señale la respuesta incorrecta con respecto a la Linaclotida:</t>
  </si>
  <si>
    <t xml:space="preserve">A. Es un péptido de 14 aminoácidos de absorción mínima.</t>
  </si>
  <si>
    <t xml:space="preserve">B. Está contraindicada en niños menores de 6 años.</t>
  </si>
  <si>
    <t xml:space="preserve">C. Inhibe el receptor de guanilato ciclasa C en la superficie luminal del epitelio intestinal, lo que disminuye los niveles de monofosfato de guanosina cíclico aumentando la secreción de cloruro y bicarbonato en la luz intestinal.</t>
  </si>
  <si>
    <t xml:space="preserve">D. La diarrea es el evento adverso más común de este fármaco.</t>
  </si>
  <si>
    <t xml:space="preserve">ITEM 372  ·  Aragón 2020  ·  aragon/2020 / Q78  ·  Standard/main</t>
  </si>
  <si>
    <t xml:space="preserve">De los siguientes gases intestinales, ¿Cuál es el principal responsable del olor pútrido de la expulsión de gases intestinales?</t>
  </si>
  <si>
    <t xml:space="preserve">A. Amonio.</t>
  </si>
  <si>
    <t xml:space="preserve">B. Metano.</t>
  </si>
  <si>
    <t xml:space="preserve">C. Sulfuro de hidrógeno.</t>
  </si>
  <si>
    <t xml:space="preserve">D. Dimetilsulfuro.</t>
  </si>
  <si>
    <t xml:space="preserve">ITEM 373  ·  Andalucía 2021  ·  andalucia/2021-22-libre / Q47  ·  Theoretical</t>
  </si>
  <si>
    <t xml:space="preserve">La toma de biopsias aleatorias en la colonoscopia de cribado de cáncer de colon en pacientes con colitis ulcerosa NO esta recomendada en caso de:</t>
  </si>
  <si>
    <t xml:space="preserve">A. Mala preparación.</t>
  </si>
  <si>
    <t xml:space="preserve">B. Inflamación moderada o severa.</t>
  </si>
  <si>
    <t xml:space="preserve">C. Abundantes pólipos inflamatorios o pseudopólipos.</t>
  </si>
  <si>
    <t xml:space="preserve">D. En los casos de proctitis.</t>
  </si>
  <si>
    <t xml:space="preserve">ITEM 374  ·  Castilla-La Mancha 2017  ·  castilla-la-mancha/2017-2018 / Q71  ·  Standard/main</t>
  </si>
  <si>
    <t xml:space="preserve">En un paciente infectado por el genotipo 3 del VHC y con un índice de fibrosis ≤ 2, ¿Qué tratamiento antiviral no estaría indicado?</t>
  </si>
  <si>
    <t xml:space="preserve">A. Sofosvubir / velpatasvir / voxilaprevir.</t>
  </si>
  <si>
    <t xml:space="preserve">B. Glecaprevir / pibrentasvir.</t>
  </si>
  <si>
    <t xml:space="preserve">C. Sofosvubir / velpatasvir.</t>
  </si>
  <si>
    <t xml:space="preserve">D. Grazoprevir/elbasvir.</t>
  </si>
  <si>
    <t xml:space="preserve">ITEM 375  ·  Galicia 2019  ·  galicia/ope-2019 / Q101  ·  Non-case reserve</t>
  </si>
  <si>
    <t xml:space="preserve">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</si>
  <si>
    <t xml:space="preserve">A. Realizar una CPRF.</t>
  </si>
  <si>
    <t xml:space="preserve">B. Derivar para colecistectomía.</t>
  </si>
  <si>
    <t xml:space="preserve">C. Realizar ecoendoscopia o colangioRMN.</t>
  </si>
  <si>
    <t xml:space="preserve">D. Colecistostomia percutánea.</t>
  </si>
  <si>
    <t xml:space="preserve">ITEM 376  ·  Comunidad de Madrid 2021  ·  comunidad-de-madrid/2021 / Q113  ·  Standard/main</t>
  </si>
  <si>
    <t xml:space="preserve">¿Cuál es la frecuencia recomendada de seguimiento para pacientes con gastritis crónica atrófica en estadios OLGA/OLGIM III/IV asociada a metaplasia incompleta?</t>
  </si>
  <si>
    <t xml:space="preserve">A. Cada año</t>
  </si>
  <si>
    <t xml:space="preserve">B. Cada 3 años</t>
  </si>
  <si>
    <t xml:space="preserve">C. Cada 5 años</t>
  </si>
  <si>
    <t xml:space="preserve">D. Solo si hay síntomas</t>
  </si>
  <si>
    <t xml:space="preserve">ITEM 377  ·  La Rioja 2024  ·  la-rioja/2023-2024 / Q90  ·  Standard/main</t>
  </si>
  <si>
    <t xml:space="preserve">En relación con las manifestaciones clínicas secundarias a déficits vitamínicos, señale cuál de las siguientes asociaciones es CORRECTA:</t>
  </si>
  <si>
    <t xml:space="preserve">A. El déficit de vitamina B1 (tiamina) se asocia clásicamente con el desarrollo del síndrome de Beri-Beri, que puede presentarse en forma seca (neurológica) o húmeda (cardiovascular).</t>
  </si>
  <si>
    <t xml:space="preserve">B. El déficit de vitamina B2 (riboflavina) es la principal causa de pelagra, caracterizada por dermatitis, diarrea y demencia.</t>
  </si>
  <si>
    <t xml:space="preserve">C. La deficiencia grave de vitamina D durante el embarazo puede ocasionar cretinismo y enanismo en el recién nacido.</t>
  </si>
  <si>
    <t xml:space="preserve">D. La deficiencia de vitamina K se asocia a fragilidad eritrocitaria, pudiendo ser causa de anemia hemolítica.</t>
  </si>
  <si>
    <t xml:space="preserve">ITEM 378  ·  Castilla-La Mancha 2017  ·  castilla-la-mancha/2017-2018 / Q105  ·  Non-case reserve</t>
  </si>
  <si>
    <t xml:space="preserve">La Ley 8/2000, de Ordenación Sanitaria de Castilla la Mancha, determina que podrán formar parte del Sistema Sanitario de Castilla la Mancha:</t>
  </si>
  <si>
    <t xml:space="preserve">A. En general, todos aquellos centros, servicios o establecimientos sanitarios que se adscriban al mismo en virtud de un concierto o convenio singular de vinculación.</t>
  </si>
  <si>
    <t xml:space="preserve">B. Los centros, servicios y establecimientos sanitarios de otras administraciones públicas en los términos que prevean los respectivos Estatutos de Autonomía.</t>
  </si>
  <si>
    <t xml:space="preserve">C. Todos los centros públicos y privados radicados en la Comunidad Autónoma aunque no hayan firmado un convenio singular.</t>
  </si>
  <si>
    <t xml:space="preserve">D. Todos los centros y establecimientos públicos y privados situados en su territorio, siempre que suscriban un concierto específico.</t>
  </si>
  <si>
    <t xml:space="preserve">ITEM 379  ·  Andalucía 2021  ·  andalucia/2021-22-libre / Q124  ·  Practical</t>
  </si>
  <si>
    <t xml:space="preserve">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</si>
  <si>
    <t xml:space="preserve">A. Se trata de una neoplasia no invasiva de alto grado (Tis), sin riesgo de diseminación ganglionar.</t>
  </si>
  <si>
    <t xml:space="preserve">B. Se trata de un adenocarcinoma invasor sobre pólipo (pT1) con criterios insuficientes de buen pronóstico y riesgo alto de diseminación ganglionar.</t>
  </si>
  <si>
    <t xml:space="preserve">C. Se trata de un adenocarcinoma invasor sobre pólipo (pT1), con criterios histológicos de buen pronóstico y bajo riesgo de diseminación ganglionar.</t>
  </si>
  <si>
    <t xml:space="preserve">D. Se trata de un adenocarcinoma T2N0M0.</t>
  </si>
  <si>
    <t xml:space="preserve">ITEM 380  ·  Castilla-La Mancha 2022  ·  castilla-la-mancha/2022 / Q67  ·  Standard/main</t>
  </si>
  <si>
    <t xml:space="preserve">En un paciente con aceptable riesgo quirúrgico e ingresado por pancreatitis aguda biliar leve ¿Cuál de las siguientes afirmaciones es correcta?</t>
  </si>
  <si>
    <t xml:space="preserve">A. Debería realizarse colecistectomía durante este mismo ingreso.</t>
  </si>
  <si>
    <t xml:space="preserve">B. Sería mejor esperar unos meses a que disminuya todo el proceso inflamatorio antes de realizar la colecistectomía.</t>
  </si>
  <si>
    <t xml:space="preserve">C. Sería mejor esperar unos años para realizar la colecistectomía.</t>
  </si>
  <si>
    <t xml:space="preserve">D. Sería mejor no realizar colecistectomía y una esfinterotomía biliar por CPRE sería suficiente tratamiento.</t>
  </si>
  <si>
    <t xml:space="preserve">ITEM 381  ·  Región de Murcia 2019  ·  region-de-murcia/2019 / Q144  ·  Standard/main</t>
  </si>
  <si>
    <t xml:space="preserve">En relación a la historia natural del Virus de la Hepatitis B, en la fase infección crónica con Hbe Ag -(fase 3), es falso que:</t>
  </si>
  <si>
    <t xml:space="preserve">A. Esta fase equivale al término de portador asintomático.</t>
  </si>
  <si>
    <t xml:space="preserve">B. Los niveles de transaminasas están muy elevados con valores que habitualmente exceden 5 veces los valores de la normalidad.</t>
  </si>
  <si>
    <t xml:space="preserve">C. Se caracteriza por la presencia de anti- Hbe.</t>
  </si>
  <si>
    <t xml:space="preserve">D. Habitualmente la carga viral está por debajo de 2000 UI/ml.</t>
  </si>
  <si>
    <t xml:space="preserve">ITEM 382  ·  Navarra 2022  ·  navarra/2022 / Q23  ·  Mixed theory–practical</t>
  </si>
  <si>
    <t xml:space="preserve">En relación al cáncer colorrectal (CCR) y la colocación de prótesis metálica autoexpandible siguiendo las recomendaciones de la ESGE, señale la respuesta INCORRECTA:</t>
  </si>
  <si>
    <t xml:space="preserve">A. En pacientes con CCR que condiciona una estenosis franqueable de la luz colónica y que no presentan clínica de obstrucción clínica ni radiológica, se puede plantear colocar una prótesis metálica autoexpandible de colon como medida profiláctica</t>
  </si>
  <si>
    <t xml:space="preserve">B. Se recomienda un intervalo aproximado de 2 semanas hasta la cirugía cuando se coloca una prótesis metálica autoexpandible como puente a una cirugía electiva en paciente con CCR izquierdo con intención curativa</t>
  </si>
  <si>
    <t xml:space="preserve">C. No se aconseja de rutina la administración de antibioterapia profiláctica para la colocación de prótesis metálica autoexpandible de colon</t>
  </si>
  <si>
    <t xml:space="preserve">D. No se recomienda la colocación de prótesis metálica autoexpandible de colon en pacientes que se encuentren en tratamiento con terapias antiangiogénicas como el bevacizumab</t>
  </si>
  <si>
    <t xml:space="preserve">ITEM 383  ·  Comunitat Valenciana 2022  ·  comunitat-valenciana/2022 / Q39  ·  Standard/main</t>
  </si>
  <si>
    <t xml:space="preserve">Según la guía ECCO señala la respuesta falsa respecto al grado de inmunosupresión de los diferentes agentes terapéuticos:</t>
  </si>
  <si>
    <t xml:space="preserve">A. La BUDESONIDA oral produce inmunosupresión sistémica en las dosis de 6 y 9 mg, pero no en la de 3 mg.</t>
  </si>
  <si>
    <t xml:space="preserve">B. VEDOLIZUMAB produce inmunosupresión sistémica.</t>
  </si>
  <si>
    <t xml:space="preserve">C. Las dosis bajas de AZATIOPRINA (por ejemplo 1 mg/kg/día) pueden considerarse baja inmunosupresión.</t>
  </si>
  <si>
    <t xml:space="preserve">D. Los AMINOSALICILATOS no producen inmunosupresión sistémica.</t>
  </si>
  <si>
    <t xml:space="preserve">ITEM 384  ·  Comunidad de Madrid 2021  ·  comunidad-de-madrid/2021 / Q153  ·  Non-case reserve</t>
  </si>
  <si>
    <t xml:space="preserve">En relación a la sensibilidad al gluten no celiaca es correcto:</t>
  </si>
  <si>
    <t xml:space="preserve">A. Los síntomas mejoran tras la retirada del glutén de la dieta durante 6 meses y no suelen recurrir tras la reintroducción</t>
  </si>
  <si>
    <t xml:space="preserve">B. Hay que excluir la alergia a la avena.</t>
  </si>
  <si>
    <t xml:space="preserve">C. Los síntomas siempre aparecen inmediatamente tras la ingesta.</t>
  </si>
  <si>
    <t xml:space="preserve">D. Puede presentarse con síntomas similares al síndrome de intestino irritable o síntomas extraintestinales.</t>
  </si>
  <si>
    <t xml:space="preserve">ITEM 385  ·  Castilla y León 2019  ·  castilla-y-leon/2019 / Q165  ·  Non-case reserve</t>
  </si>
  <si>
    <t xml:space="preserve">Conforme al capítulo III, artículo 15 de la Ley 31/1995 de 8 de noviembre, de prevención de riesgos laborales El empresario aplicará las medidas que integren el deber general de prevención con arreglo a los siguientes principios generales, señale la respuesta correcta:</t>
  </si>
  <si>
    <t xml:space="preserve">A. Adoptar medidas que protejan la salud individual de los trabajadores.</t>
  </si>
  <si>
    <t xml:space="preserve">B. Combatir los riesgos en su origen</t>
  </si>
  <si>
    <t xml:space="preserve">C. El empresario desarrollará acciones puntuales en materia de prevención</t>
  </si>
  <si>
    <t xml:space="preserve">D. No se podrán concertar operaciones de seguro</t>
  </si>
  <si>
    <t xml:space="preserve">ITEM 386  ·  La Rioja 2024  ·  la-rioja/2023-2024 / Q78  ·  Standard/main</t>
  </si>
  <si>
    <t xml:space="preserve">Las relajaciones transitorias del esfínter esofágico inferior son un mecanismo importante en la patogenia de la enfermedad por reflujo gastroesofágico, pueden distinguirse de la relajación inducida por la deglución de varias formas. Indica la respuesta FALSA:</t>
  </si>
  <si>
    <t xml:space="preserve">A. Las relajaciones transitorias del esfínter esofágico inferior son prolongadas (más de 10 segundos).</t>
  </si>
  <si>
    <t xml:space="preserve">B. Las relajaciones transitorias del esfínter esofágico e asocian con la relajación del músculo longitudinal esofágico distal, que causa acortamiento esofágico.</t>
  </si>
  <si>
    <t xml:space="preserve">C. Las relajaciones transitorias del esfínter esofágico no tienen un peristaltismo esofágico sincronizado.</t>
  </si>
  <si>
    <t xml:space="preserve">D. Las relajaciones transitorias del esfínter esofágico se asocian con la inhibición del diafragma crural.</t>
  </si>
  <si>
    <t xml:space="preserve">ITEM 387  ·  Andalucía 2022  ·  andalucia/2022-extraordinaria-libre / Q56  ·  Theoretical</t>
  </si>
  <si>
    <t xml:space="preserve">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</si>
  <si>
    <t xml:space="preserve">A. 2-6 meses.</t>
  </si>
  <si>
    <t xml:space="preserve">ITEM 388  ·  Castilla y León 2019  ·  castilla-y-leon/2019 / Q157  ·  Non-case reserve</t>
  </si>
  <si>
    <t xml:space="preserve">Acerca de la enfermedad de injerto contra huésped intestinal ¿Qué es falso?</t>
  </si>
  <si>
    <t xml:space="preserve">A. Puede cursar con ictericia</t>
  </si>
  <si>
    <t xml:space="preserve">B. Puede cursar con diarrea</t>
  </si>
  <si>
    <t xml:space="preserve">C. Las biopsias intestinales pueden confirmar el diagnóstico</t>
  </si>
  <si>
    <t xml:space="preserve">D. La clínica digestiva de este proceso es muy específica</t>
  </si>
  <si>
    <t xml:space="preserve">ITEM 389  ·  La Rioja 2024  ·  la-rioja/2023-2024 / Q92  ·  Standard/main</t>
  </si>
  <si>
    <t xml:space="preserve">De las siguientes enfermedades hematológicas, ¿Cuál NO se considera un factor de riesgo para la trombosis venosa mesentérica?:</t>
  </si>
  <si>
    <t xml:space="preserve">A. Déficit de factor IX.</t>
  </si>
  <si>
    <t xml:space="preserve">B. Déficit de antitrombina III.</t>
  </si>
  <si>
    <t xml:space="preserve">C. Anemia de células falciformes.</t>
  </si>
  <si>
    <t xml:space="preserve">D. Déficit de proteína C.</t>
  </si>
  <si>
    <t xml:space="preserve">ITEM 390  ·  La Rioja 2021  ·  la-rioja/2020-2021 / Q110  ·  Non-case reserve</t>
  </si>
  <si>
    <t xml:space="preserve">La realización de una CPRE (colangiopancreatografia retrograda endosocópica) puede estar indicada en el curso de una colangitis esclerosante primaria en los siguientes casos excepto uno:</t>
  </si>
  <si>
    <t xml:space="preserve">A. Ictericia.</t>
  </si>
  <si>
    <t xml:space="preserve">B. Dilatación progresiva de los conductos biliares intra o extrahepáticos.</t>
  </si>
  <si>
    <t xml:space="preserve">C. Empeoramiento del prurito.</t>
  </si>
  <si>
    <t xml:space="preserve">D. Elevación del marcador Ca 19.9.</t>
  </si>
  <si>
    <t xml:space="preserve">ITEM 391  ·  Castilla-La Mancha 2017  ·  castilla-la-mancha/2017-2018 / Q103  ·  Non-case reserve</t>
  </si>
  <si>
    <t xml:space="preserve">Las actividades por las que se desarrollan las 5 líneas estratégicas del Plan Dignifica del Servicio de Salud de Castilla-La Mancha incluyen las siguientes, excepto una:</t>
  </si>
  <si>
    <t xml:space="preserve">A. Llamada de confirmación a pacientes en lista de espera para pruebas especiales</t>
  </si>
  <si>
    <t xml:space="preserve">B. Acompañamiento de payasos, payasas y risoterapia</t>
  </si>
  <si>
    <t xml:space="preserve">C. "Sueño en mi hospital", actividad destinada a fomentar el sueño y descanso nocturno de pacientes ingresados.</t>
  </si>
  <si>
    <t xml:space="preserve">D. Acompañamiento a pacientes de oncología en primeras consultas, realizado por personal de Información y Atención a Pacientes.</t>
  </si>
  <si>
    <t xml:space="preserve">ITEM 392  ·  Navarra 2022  ·  navarra/2022 / Q63  ·  Mixed theory–practical</t>
  </si>
  <si>
    <t xml:space="preserve">Mujer de 32 años gestante de 27 semanas que presenta infección crónica por VHB con viremia de 250.000 UI/ml y transaminasas normales. ¿Cuál de las siguientes recomendaciones sería FALSA?:</t>
  </si>
  <si>
    <t xml:space="preserve">A. Iniciar tratamiento antiviral con tenofovir</t>
  </si>
  <si>
    <t xml:space="preserve">B. La lactancia materna estaría contraindicada</t>
  </si>
  <si>
    <t xml:space="preserve">C. Inmunoprofilaxis combinada con vacuna y gammaglobulina específica en el recién nacido</t>
  </si>
  <si>
    <t xml:space="preserve">D. El interferón pegilado estaría contraindicado</t>
  </si>
  <si>
    <t xml:space="preserve">Source exam PDF page: 14</t>
  </si>
  <si>
    <t xml:space="preserve">ITEM 393  ·  Comunitat Valenciana 2022  ·  comunitat-valenciana/2022 / Q65  ·  Standard/main</t>
  </si>
  <si>
    <t xml:space="preserve">¿A partir de qué valor de MELD nos planteamos valorar a un paciente con cirrosis descompensada para transplante en ausencia de hepatocarcinoma?</t>
  </si>
  <si>
    <t xml:space="preserve">A. 10</t>
  </si>
  <si>
    <t xml:space="preserve">B. 8</t>
  </si>
  <si>
    <t xml:space="preserve">C. 15</t>
  </si>
  <si>
    <t xml:space="preserve">D. 22</t>
  </si>
  <si>
    <t xml:space="preserve">ITEM 394  ·  Castilla y León 2022  ·  castilla-y-leon/2022 / Q32  ·  Standard/main</t>
  </si>
  <si>
    <t xml:space="preserve">En una mujer de 65 años, sin antecedentes de patología pancreática previa, se diagnóstica de modo incidental tras la realización de un TAC abdominal una formación quística de 5 cm en cola de páncreas. Se realiza punción de la lesión mediante ecoendoscopia encontrando una viscosidad, niveles de amilasa y CEA todos ellos bajos. Ante cuál de las siguientes lesiones nos encontraremos con más probabilidad:</t>
  </si>
  <si>
    <t xml:space="preserve">A. Neoplasia quística mucinosa.</t>
  </si>
  <si>
    <t xml:space="preserve">B. Pseudoquiste pancreático.</t>
  </si>
  <si>
    <t xml:space="preserve">C. Cistoadenoma seroso.</t>
  </si>
  <si>
    <t xml:space="preserve">ITEM 395  ·  Región de Murcia 2019  ·  region-de-murcia/2019 / Q65  ·  Standard/main</t>
  </si>
  <si>
    <t xml:space="preserve">Respecto a las manifestaciones clínicas fundamentales del síndrome de intestino irritable, señale la respuesta falsa:</t>
  </si>
  <si>
    <t xml:space="preserve">A. Dolor abdominal.</t>
  </si>
  <si>
    <t xml:space="preserve">B. Distensión abdominal.</t>
  </si>
  <si>
    <t xml:space="preserve">C. Síntomas nocturnos.</t>
  </si>
  <si>
    <t xml:space="preserve">D. Alteraciones del ritmo deposicional.</t>
  </si>
  <si>
    <t xml:space="preserve">ITEM 396  ·  Castilla y León 2019  ·  castilla-y-leon/2019 / Q163  ·  Non-case reserve</t>
  </si>
  <si>
    <t xml:space="preserve">Según lo previsto en el artículo 17 de la ley 41/2002, de 14 de noviembre, básica reguladora de la autonomía del paciente y de derechos y obligaciones en materia de información sanitaria, la gestión de la historia clínica por los centros con pacientes hospitalizados, se realizará a través de:</t>
  </si>
  <si>
    <t xml:space="preserve">A. El servicio de Personal</t>
  </si>
  <si>
    <t xml:space="preserve">B. La Dirección de Gestión y Asuntos Generales</t>
  </si>
  <si>
    <t xml:space="preserve">C. La Dirección Médica</t>
  </si>
  <si>
    <t xml:space="preserve">D. La unidad de admisión y documentación clínica.</t>
  </si>
  <si>
    <t xml:space="preserve">ITEM 397  ·  Región de Murcia 2019  ·  region-de-murcia/2019 / Q19  ·  Standard/main</t>
  </si>
  <si>
    <t xml:space="preserve">Los informes endoscópicos de pacientes con enfermedad de Barrett deben incluir los siguientes parámetros. Señale la opción FALSA:</t>
  </si>
  <si>
    <t xml:space="preserve">A. Número de biopsias y ubicación en cm desde el EEI de las biopsias tomadas del segmento de Barrett.</t>
  </si>
  <si>
    <t xml:space="preserve">B. La extensión del Barrett utilizando los criterios de Praga.</t>
  </si>
  <si>
    <t xml:space="preserve">C. La presencia o ausencia de esofagitis erosiva utilizando la clasificación de Los Ángeles.</t>
  </si>
  <si>
    <t xml:space="preserve">D. Una descripción de la localización, tamaño y el aspecto macroscópico usando la clasificación de París, de cualquier anormalidad visible dentro del epitelio de Barrett.</t>
  </si>
  <si>
    <t xml:space="preserve">ITEM 398  ·  Comunidad de Madrid 2021  ·  comunidad-de-madrid/2021 / Q65  ·  Standard/main</t>
  </si>
  <si>
    <t xml:space="preserve">Cuál es la recomendación de ECCO sobre el uso de tiopurinas (azatioprina, mercaptopurina) como monoterapia en la enfermedad de Crohn?</t>
  </si>
  <si>
    <t xml:space="preserve">A. Recomendado ante la corticodependencia</t>
  </si>
  <si>
    <t xml:space="preserve">B. Recomendado solo en combinación con biológicos</t>
  </si>
  <si>
    <t xml:space="preserve">C. No recomendado como monoterapia</t>
  </si>
  <si>
    <t xml:space="preserve">D. Recomendado solo en pacientes jovenes</t>
  </si>
  <si>
    <t xml:space="preserve">ITEM 399  ·  Castilla y León 2022  ·  castilla-y-leon/2022 / Q97  ·  Non-case reserve</t>
  </si>
  <si>
    <t xml:space="preserve">Dentro de la clasificación molecular de los cánceres gástricos, el más frecuente de Los abajo referidos</t>
  </si>
  <si>
    <t xml:space="preserve">A. El que presenta inestabilidad cromosómica con mutaciones de genes como el TP53, entre otros.</t>
  </si>
  <si>
    <t xml:space="preserve">B. El que es genómicamente estable pero puede presentar mutaciones en genes como CDH1 CTNNA1 o ligados a la adhesión celular.</t>
  </si>
  <si>
    <t xml:space="preserve">C. El asociado a la infección por virus de EpsteinBarr.</t>
  </si>
  <si>
    <t xml:space="preserve">ITEM 400  ·  La Rioja 2024  ·  la-rioja/2023-2024 / Q74  ·  Standard/main</t>
  </si>
  <si>
    <t xml:space="preserve">Mujer de 34 años, con mutación STK11. ¿Cuál es el síndrome más probable?:</t>
  </si>
  <si>
    <t xml:space="preserve">B. Gardner.</t>
  </si>
  <si>
    <t xml:space="preserve">C. Peutz-Jeghers.</t>
  </si>
  <si>
    <t xml:space="preserve">D. Cowden.</t>
  </si>
  <si>
    <t xml:space="preserve">ITEM 401  ·  Región de Murcia 2019  ·  region-de-murcia/2019 / Q5  ·  Standard/main</t>
  </si>
  <si>
    <t xml:space="preserve">Según el artículo 1 de la ley 5/2001, de 5 de diciembre, de personal estatutario del Servicio Murciano de Salud, el personal que pase a desempeñar funciones en el Servicio Murciano de Salud quedará vinculado al mismo mediante:</t>
  </si>
  <si>
    <t xml:space="preserve">A. Una relación de carácter contractual.</t>
  </si>
  <si>
    <t xml:space="preserve">B. Una relación de carácter laboral.</t>
  </si>
  <si>
    <t xml:space="preserve">C. Una relación de carácter especial.</t>
  </si>
  <si>
    <t xml:space="preserve">D. Una relación de carácter estatutario.</t>
  </si>
  <si>
    <t xml:space="preserve">Source exam PDF page: 1</t>
  </si>
  <si>
    <t xml:space="preserve">ITEM 402  ·  Castilla y León 2022  ·  castilla-y-leon/2022 / Q91  ·  Non-case reserve</t>
  </si>
  <si>
    <t xml:space="preserve">La Gerencia Regional de Salud de Castilla y León es:</t>
  </si>
  <si>
    <t xml:space="preserve">A. Un organismo autónomo adscrito a la Consejería de Sanidad.</t>
  </si>
  <si>
    <t xml:space="preserve">B. Un organismo autónomo adscrito a la Consejería de Presidencia.</t>
  </si>
  <si>
    <t xml:space="preserve">C. Un organismo autónomo del Ministerio de Sanidad.</t>
  </si>
  <si>
    <t xml:space="preserve">ITEM 403  ·  Comunidad de Madrid 2021  ·  comunidad-de-madrid/2021 / Q85  ·  Standard/main</t>
  </si>
  <si>
    <t xml:space="preserve">Cuál es la causa más frecuente de Síndrome de Budd-Chiari</t>
  </si>
  <si>
    <t xml:space="preserve">A. Deficit de antitrombina</t>
  </si>
  <si>
    <t xml:space="preserve">B. Neoplasias mieloproliferativas</t>
  </si>
  <si>
    <t xml:space="preserve">C. Déficit de proteina C</t>
  </si>
  <si>
    <t xml:space="preserve">D. Carcinoma renal</t>
  </si>
  <si>
    <t xml:space="preserve">ITEM 404  ·  Región de Murcia 2019  ·  region-de-murcia/2019 / Q49  ·  Standard/main</t>
  </si>
  <si>
    <t xml:space="preserve">En relación las manifestaciones extraintestinales (MEI) de la enfermedad inflamatoria intestinal (EII), señale la respuesta falsa:</t>
  </si>
  <si>
    <t xml:space="preserve">A. La uveítis posterior y la epiescleritis son las manifestaciones más frecuentes a nivel ocular.</t>
  </si>
  <si>
    <t xml:space="preserve">B. El eritema nodoso resistente puede precisar tratamiento con anti TNF.</t>
  </si>
  <si>
    <t xml:space="preserve">C. La patología broncopulmonar es una MEI rara en la EII, aunque se ha descrito neumonía intersticial asociada a la EII.</t>
  </si>
  <si>
    <t xml:space="preserve">D. El riesgo de tromboembolismo venoso se relaciona con la actividad de la EII.</t>
  </si>
  <si>
    <t xml:space="preserve">ITEM 405  ·  Andalucía 2022  ·  andalucia/2022-extraordinaria-libre / Q99  ·  Theoretical</t>
  </si>
  <si>
    <t xml:space="preserve">Sobre el baremo MELD (Model for End Stage Liver Disease) y sus variantes en la gestión de la lista de espera de trasplante hepático, es cierto que:</t>
  </si>
  <si>
    <t xml:space="preserve">A. Establece el riesgo de mortalidad a los 6 meses de su inclusión en lista activa.</t>
  </si>
  <si>
    <t xml:space="preserve">B. El punto de corte para acceder a la lista de espera activa es de 18.</t>
  </si>
  <si>
    <t xml:space="preserve">C. La puntuación MELD-Na mejora la precisión en la elección del momento de inclusión en lista de espera en pacientes con encefalopatía hepática.</t>
  </si>
  <si>
    <t xml:space="preserve">D. La cifra de creatinina sérica puede infraestimar la puntuación MELD en pacientes cirróticos con sarcopenia.</t>
  </si>
  <si>
    <t xml:space="preserve">ITEM 406  ·  Castilla y León 2022  ·  castilla-y-leon/2022 / Q5  ·  Standard/main</t>
  </si>
  <si>
    <t xml:space="preserve">En relación con los órganos de selección del personal estatutario, señale la afirmación correcta:</t>
  </si>
  <si>
    <t xml:space="preserve">A. Sus miembros deberán ostentar la condición de personal fijo o interino de cualquier administración pública, no pudiendo participar el personal eventual.</t>
  </si>
  <si>
    <t xml:space="preserve">B. Sus miembros deberán ser empleados públicos en plaza o categoría para cuyo ingreso se requiera titulación igual o superior a la exigida a los candidatos.</t>
  </si>
  <si>
    <t xml:space="preserve">C. Sus miembros deberán pertenecer a la Administración Pública que convoca el proceso selectivo.</t>
  </si>
  <si>
    <t xml:space="preserve">ITEM 407  ·  La Rioja 2021  ·  la-rioja/2020-2021 / Q101  ·  Non-case reserve</t>
  </si>
  <si>
    <t xml:space="preserve">A efectos del Reglamento (UE) 2016/679, del Parlamento Europeo y del Consejo de 27 de abril de 2016, relativo a la protección de las personas físicas en lo que respecta al tratamiento de datos personales y a la libre circulación de estos datos y por el que se deroga la Directiva 95/46/CE (Reglamento general de protección de datos), se entenderá por “seudonimización”:</t>
  </si>
  <si>
    <t xml:space="preserve">A. Toda forma de tratamiento automatizado de datos personales consistente en utilizar datos personales para evaluar determinados aspectos personales de una persona física, en particular para analizar o predecir aspectos relativos al rendimiento profesional, situación económica, salud, preferencias personales, intereses, fiabilidad comportamiento, ubicación o movimientos de dicha persona física.</t>
  </si>
  <si>
    <t xml:space="preserve">B. El derecho del interesado a obtener sin dilación indebida del responsable del tratamiento la supresión de los datos personales que le conciernan que hayan sido tratados ilícitamente.</t>
  </si>
  <si>
    <t xml:space="preserve">C. El derecho del interesado a obtener del responsable del tratamiento la supresión de los datos personales que no sean ya necesarios en relación con los fines para los que fueron recogidos.</t>
  </si>
  <si>
    <t xml:space="preserve">D. 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</si>
  <si>
    <t xml:space="preserve">ITEM 408  ·  La Rioja 2021  ·  la-rioja/2020-2021 / Q108  ·  Non-case reserve</t>
  </si>
  <si>
    <t xml:space="preserve">¿Cuál no es un síntoma del divertículo de Zenker?</t>
  </si>
  <si>
    <t xml:space="preserve">A. Aspiración.</t>
  </si>
  <si>
    <t xml:space="preserve">B. Cambios de la voz.</t>
  </si>
  <si>
    <t xml:space="preserve">C. Tos.</t>
  </si>
  <si>
    <t xml:space="preserve">D. Halitosis.</t>
  </si>
  <si>
    <t xml:space="preserve">ITEM 409  ·  Castilla y León 2022  ·  castilla-y-leon/2022 / Q98  ·  Non-case reserve</t>
  </si>
  <si>
    <t xml:space="preserve">Basándonos en las recomendaciones de la guía británica de práctica clínica para el diagnóstico y manejo de la esofagitis eosinofílica. ¿cuál de las siguientes afirmaciones es INCORRECTA?</t>
  </si>
  <si>
    <t xml:space="preserve">A. Hasta un 37% de los pacientes con biopsias diagnósticas de esofagitis eosinofílica presentan mucosa esofágica normal en el informe endoscópico.</t>
  </si>
  <si>
    <t xml:space="preserve">B. Para un Correcto diagnóstico de esofagitis eosinofílica, el paciente debe suspender la toma menos de dos semanas antes de la realización de endoscopia con biopsias.</t>
  </si>
  <si>
    <t xml:space="preserve">C. Para el diagnóstico histológico de esofagitis eosinofílica es necesaria la toma de al menos 6 biopsias de al menos dos segmentos diferentes del esófago.</t>
  </si>
  <si>
    <t xml:space="preserve">ITEM 410  ·  Aragón 2017  ·  aragon/2017 / Q32  ·  Standard/main</t>
  </si>
  <si>
    <t xml:space="preserve">El ácido acetil salicílico (AAS) se ha asociado con el cáncer de colon. Señale la respuesta correcta de esta asociación:</t>
  </si>
  <si>
    <t xml:space="preserve">A. El tratamiento prolongado del AAS se ha asociado con una reducción tanto de la incidencia como de la mortalidad por cáncer de colon</t>
  </si>
  <si>
    <t xml:space="preserve">B. El tratamiento prolongado del AAS se ha asociado con una reducción de la incidencia pero no de la mortalidad por cáncer de colon</t>
  </si>
  <si>
    <t xml:space="preserve">C. El tratamiento prolongado del AAS se ha asociado con una reducción de la mortalidad pero no de la incidencia por cáncer de colon</t>
  </si>
  <si>
    <t xml:space="preserve">D. El mecanismo implicado en esta asociación no es bien conocido pero se ha descartado que esté relacionado con su acción anti-plaquetaria.</t>
  </si>
  <si>
    <t xml:space="preserve">ITEM 411  ·  La Rioja 2021  ·  la-rioja/2020-2021 / Q11  ·  Standard/main</t>
  </si>
  <si>
    <t xml:space="preserve">En el tratamiento de la enfermedad perianal en enfermedad de Crohn, según las guías de la ECCO (European Crohn's and Colitis Organisation) no hay suficiente evidencia para recomendar en práctica clínica:</t>
  </si>
  <si>
    <t xml:space="preserve">A. Ciprofloxacino.</t>
  </si>
  <si>
    <t xml:space="preserve">B. Azatioprina.</t>
  </si>
  <si>
    <t xml:space="preserve">C. Metotrexate.</t>
  </si>
  <si>
    <t xml:space="preserve">D. Adalimumab.</t>
  </si>
  <si>
    <t xml:space="preserve">ITEM 412  ·  Región de Murcia 2019  ·  region-de-murcia/2019 / Q74  ·  Standard/main</t>
  </si>
  <si>
    <t xml:space="preserve">Respecto a la hemorragia de origen diverticular, señale la respuesta falsa:</t>
  </si>
  <si>
    <t xml:space="preserve">A. Se origina con mayor frecuencia en divertículos de colon izquierdo.</t>
  </si>
  <si>
    <t xml:space="preserve">B. Ocurre como consecuencia de la rotura de la vasa recta en la cúpula o cuello del divertículo.</t>
  </si>
  <si>
    <t xml:space="preserve">C. El sangrado cede espontáneamente en la mayoría de los casos.</t>
  </si>
  <si>
    <t xml:space="preserve">D. Es la causa de hasta el 40% de los episodios de hemorragia digestiva baja.</t>
  </si>
  <si>
    <t xml:space="preserve">ITEM 413  ·  Comunidad de Madrid 2021  ·  comunidad-de-madrid/2021 / Q123  ·  Standard/main</t>
  </si>
  <si>
    <t xml:space="preserve">En cuál de las siguientes circunstancias NO está indicado el tratamiento con rifaximina</t>
  </si>
  <si>
    <t xml:space="preserve">A. Tratamiento de la encefalopatía hepática aguda</t>
  </si>
  <si>
    <t xml:space="preserve">B. Prevención de la recurrencia de la encefalopatía</t>
  </si>
  <si>
    <t xml:space="preserve">C. Prevención de la encefalopatía post-TIPS</t>
  </si>
  <si>
    <t xml:space="preserve">D. Tratamiento de la encefalopatía hepática mínima</t>
  </si>
  <si>
    <t xml:space="preserve">ITEM 414  ·  Navarra 2022  ·  navarra/2022 / Q36  ·  Mixed theory–practical</t>
  </si>
  <si>
    <t xml:space="preserve">Se estima que el 30% de los pacientes que se someten a una colonoscopia de cribado poblacional van a ser diagnosticados de diverticulosis colónica. Señale la afirmación FALSA en dicha patología:</t>
  </si>
  <si>
    <t xml:space="preserve">A. El escenario más frecuente es el de la diverticulosis asintomática</t>
  </si>
  <si>
    <t xml:space="preserve">B. La probabilidad de complicación aumenta progresivamente con los sucesivos episodios de diverticulitis aguda</t>
  </si>
  <si>
    <t xml:space="preserve">C. La clasificación de Hinchey permite estadificar la gravedad de la diverticulitis aguda</t>
  </si>
  <si>
    <t xml:space="preserve">D. En pacientes con hemorragia diverticular, realizar la colonoscopia en las primeras 24h tras el inicio del sangrado no incrementa la detección de estigmas de sangrado</t>
  </si>
  <si>
    <t xml:space="preserve">ITEM 415  ·  Galicia 2016  ·  galicia/ope-2016 / Q18  ·  Standard/main</t>
  </si>
  <si>
    <t xml:space="preserve">Según las guías ESGE/EASL .¿Cúal es la técnica de elección para diagnósticar una colangitis esclerosante primaria?.</t>
  </si>
  <si>
    <t xml:space="preserve">A. Ecoendoscopia.</t>
  </si>
  <si>
    <t xml:space="preserve">B. Colangioresonancia.</t>
  </si>
  <si>
    <t xml:space="preserve">C. CPRE.</t>
  </si>
  <si>
    <t xml:space="preserve">D. Eco-Doppler.</t>
  </si>
  <si>
    <t xml:space="preserve">ITEM 416  ·  Castilla y León 2019  ·  castilla-y-leon/2019 / Q151  ·  Non-case reserve</t>
  </si>
  <si>
    <t xml:space="preserve">Ante un paciente que inicia tratamiento con Ritubsimab, deberíamos plantear tratamiento preventivo de reactivación del VBH:</t>
  </si>
  <si>
    <t xml:space="preserve">A. Solo en los pacientes con HBsAg POSITIVO</t>
  </si>
  <si>
    <t xml:space="preserve">B. Solo en los pacientes con HBcAc POSITIVO</t>
  </si>
  <si>
    <t xml:space="preserve">C. Tanto en los pacientes HBsAg POSITIVO como en los HBcAc POSITIVO</t>
  </si>
  <si>
    <t xml:space="preserve">D. En ninguno de ellos</t>
  </si>
  <si>
    <t xml:space="preserve">ITEM 417  ·  Comunitat Valenciana 2022  ·  comunitat-valenciana/2022 / Q15  ·  Standard/main</t>
  </si>
  <si>
    <t xml:space="preserve">Si un paciente acude a urgencias por presentar un sangrado bajo autolimitado y sin características clínicas adversas, se recomienda que podría ser dado de alta con manejo ambulatorio posterior, cuando la puntuación Oakland sea:</t>
  </si>
  <si>
    <t xml:space="preserve">A. ≥ 10 puntos.</t>
  </si>
  <si>
    <t xml:space="preserve">B. ≤ 8 puntos.</t>
  </si>
  <si>
    <t xml:space="preserve">C. ≤ 9 puntos.</t>
  </si>
  <si>
    <t xml:space="preserve">D. ≤ 10 puntos.</t>
  </si>
  <si>
    <t xml:space="preserve">ITEM 418  ·  Andalucía 2021  ·  andalucia/2021-22-libre / Q80  ·  Theoretical</t>
  </si>
  <si>
    <t xml:space="preserve">Para el diagnóstico de una pancreatitis crónica disponemos de técnicas morfológicas y técnicas de función pancreática, señale la respuesta correcta:</t>
  </si>
  <si>
    <t xml:space="preserve">A. La colangiopancreatografía retrógrada endoscópica (CPRE) es la técnica morfológica de elección por su alta sensibilidad.</t>
  </si>
  <si>
    <t xml:space="preserve">B. La disminución de la elastasa fecal es un marcador muy precoz de pancreatitis crónica.</t>
  </si>
  <si>
    <t xml:space="preserve">C. La ecoendoscopia es la técnica más sensible para el diagnóstico precoz.</t>
  </si>
  <si>
    <t xml:space="preserve">D. La cuantificación de grasa fecal en heces de 72 horas es muy útil por su fácil realización y por no existir alternativas a la misma.</t>
  </si>
  <si>
    <t xml:space="preserve">ITEM 419  ·  Andalucía 2022  ·  andalucia/2022-extraordinaria-libre / Q53  ·  Theoretical</t>
  </si>
  <si>
    <t xml:space="preserve">Indique lo correcto con respecto al tratamiento de la enfermedad diverticular del colon:</t>
  </si>
  <si>
    <t xml:space="preserve">A. En la hemorragia diverticular, tanto el tratamiento con clips hemostáticos como el que se realiza con bandas elásticas son alternativas válidas.</t>
  </si>
  <si>
    <t xml:space="preserve">B. La presencia de un absceso diverticular mayor de 2 cm exige el drenaje de este como primera línea terapéutica.</t>
  </si>
  <si>
    <t xml:space="preserve">C. Los pacientes que cumplen criterios para tratamiento ambulatorio, requieren necesariamente un tratamiento con antibióticos orales.</t>
  </si>
  <si>
    <t xml:space="preserve">D. En el tratamiento hospitalario de la diverticulitis complicada, la dieta absoluta, antibióticos y fluidoterapia son las bases imprescindibles del mismo.</t>
  </si>
  <si>
    <t xml:space="preserve">ITEM 420  ·  Comunitat Valenciana 2022  ·  comunitat-valenciana/2022 / Q12  ·  Standard/main</t>
  </si>
  <si>
    <t xml:space="preserve">De conformidad con lo que establece la Ley 1/2022, de 13 de abril, de la Generalitat, de Transparencia y Buen Gobierno de la Comunitat Valenciana, la solicitud de acceso a la información pública debe incluir, entre otros, el siguiente contenido:</t>
  </si>
  <si>
    <t xml:space="preserve">A. La identidad de la persona solicitante.</t>
  </si>
  <si>
    <t xml:space="preserve">B. La modalidad o vía elegida por la persona solicitante para la puesta a disposición de la información y también su formato.</t>
  </si>
  <si>
    <t xml:space="preserve">C. El órgano administrativo o entidad al que se dirige.</t>
  </si>
  <si>
    <t xml:space="preserve">ITEM 421  ·  Castilla-La Mancha 2022  ·  castilla-la-mancha/2022 / Q21  ·  Standard/main</t>
  </si>
  <si>
    <t xml:space="preserve">La descripción por visión ecoendoscópica de una lesión hiperecoica, homogénea con márgenes regulares que surge de la submucosa (tercera capa del tracto gastrointestinal) se corresponde con toda probabilidad a un</t>
  </si>
  <si>
    <t xml:space="preserve">A. Quiste de duplicación</t>
  </si>
  <si>
    <t xml:space="preserve">B. Lipoma</t>
  </si>
  <si>
    <t xml:space="preserve">C. Tumor carcinoide</t>
  </si>
  <si>
    <t xml:space="preserve">D. Tumor del estroma gastrointestinal</t>
  </si>
  <si>
    <t xml:space="preserve">ITEM 422  ·  La Rioja 2021  ·  la-rioja/2020-2021 / Q84  ·  Standard/main</t>
  </si>
  <si>
    <t xml:space="preserve">¿Cuál no pertenece a la clasificación TIGAR-O de la etiología de la pancreatitis crónica?</t>
  </si>
  <si>
    <t xml:space="preserve">A. Idiopática.</t>
  </si>
  <si>
    <t xml:space="preserve">B. Autoinmune.</t>
  </si>
  <si>
    <t xml:space="preserve">C. Hipocalcemia.</t>
  </si>
  <si>
    <t xml:space="preserve">D. Insuficiencia renal crónica.</t>
  </si>
  <si>
    <t xml:space="preserve">Source exam PDF page: 30</t>
  </si>
  <si>
    <t xml:space="preserve">ITEM 423  ·  Aragón 2020  ·  aragon/2020 / Q104  ·  Non-case reserve</t>
  </si>
  <si>
    <t xml:space="preserve">¿Cuál de estos criterios NO se incluye entre los definidos por la OMS para el diagnóstico del síndrome de la poliposis serrada?</t>
  </si>
  <si>
    <t xml:space="preserve">A. 5 o más pólipos serrados proximales al colon sigmoide y dos de ellos mayores de 10 mm. de diámetro.</t>
  </si>
  <si>
    <t xml:space="preserve">B. Cualquier número de pólipos serrados proximales al sigma en individuo con antecedentes familiares de primer grado de poliposis serrada.</t>
  </si>
  <si>
    <t xml:space="preserve">C. Más de 20 pólipos serrados de cualquier tamaño, distribuidos a lo largo del colon.</t>
  </si>
  <si>
    <t xml:space="preserve">D. Cualquier número de pólipos serrados siempre que se den en colon ascendente y ciego, uno de ellos mayor o igual a 10 mm.</t>
  </si>
  <si>
    <t xml:space="preserve">ITEM 424  ·  Región de Murcia 2019  ·  region-de-murcia/2019 / Q56  ·  Standard/main</t>
  </si>
  <si>
    <t xml:space="preserve">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</si>
  <si>
    <t xml:space="preserve">A. Iniciar azatioprina.</t>
  </si>
  <si>
    <t xml:space="preserve">B. Iniciar antiTNF.</t>
  </si>
  <si>
    <t xml:space="preserve">C. Iniciar ustekinumab.</t>
  </si>
  <si>
    <t xml:space="preserve">D. Como está asintomático, se cita en 3 meses con calprotectina.</t>
  </si>
  <si>
    <t xml:space="preserve">ITEM 425  ·  Aragón 2017  ·  aragon/2017 / Q102  ·  Non-case reserve</t>
  </si>
  <si>
    <t xml:space="preserve">¿Cuál es el tratamiento de rescate recomendado en pacientes con hepatitis crónica B que han desarrollado resistencia a lamivudina?</t>
  </si>
  <si>
    <t xml:space="preserve">A. Combinación de lamivudina y tenofovir.</t>
  </si>
  <si>
    <t xml:space="preserve">B. Combinación de lamivudina y entecavir.</t>
  </si>
  <si>
    <t xml:space="preserve">C. Monoterapia con tenofovir.</t>
  </si>
  <si>
    <t xml:space="preserve">D. Monoterapia con entecavir.</t>
  </si>
  <si>
    <t xml:space="preserve">ITEM 426  ·  Comunidad de Madrid 2021  ·  comunidad-de-madrid/2021 / Q160  ·  Non-case reserve</t>
  </si>
  <si>
    <t xml:space="preserve">En el contexto de la úlcera péptica (UP) con H. pylori negativo y sin toma de AINE/AAS, ¿cuál de las siguientes afirmaciones es FALSA?</t>
  </si>
  <si>
    <t xml:space="preserve">A. El estudio histológico o los niveles séricos de pepsinógeno ayudan a descartar la ingesta de AINE como factor etiológico de la UP</t>
  </si>
  <si>
    <t xml:space="preserve">B. Estas úlceras son muy raras en nuestro medio (menos del 5%)</t>
  </si>
  <si>
    <t xml:space="preserve">C. Debe excluirse cuidadosamente el diagnóstico erróneamente negativo para H.pylori</t>
  </si>
  <si>
    <t xml:space="preserve">D. Se debe valorar etiologías poco frecuentes como el consumo de bifosfonatos, cocaína o la presencia de gastrinoma</t>
  </si>
  <si>
    <t xml:space="preserve">ITEM 427  ·  Navarra 2022  ·  navarra/2022 / Q88  ·  Mixed theory–practical</t>
  </si>
  <si>
    <t xml:space="preserve">Cuál de los siguientes fármacos ha demostrado recientemente superioridad frente a placebo en el tratamiento de la reservoritis:</t>
  </si>
  <si>
    <t xml:space="preserve">A. Adalimumab</t>
  </si>
  <si>
    <t xml:space="preserve">B. Ustekinumab</t>
  </si>
  <si>
    <t xml:space="preserve">C. Upadacitinib</t>
  </si>
  <si>
    <t xml:space="preserve">D. Vedolizumab</t>
  </si>
  <si>
    <t xml:space="preserve">ITEM 428  ·  Comunidad de Madrid 2021  ·  comunidad-de-madrid/2021 / Q39  ·  Standard/main</t>
  </si>
  <si>
    <t xml:space="preserve">¿Cuál es el tipo más frecuente que se puede encontrar en una gastroscopia de lesión polipoidea gástrica?</t>
  </si>
  <si>
    <t xml:space="preserve">A. Pólipo hiperplásico.</t>
  </si>
  <si>
    <t xml:space="preserve">B. Pólipo de glándulas fúndicas.</t>
  </si>
  <si>
    <t xml:space="preserve">C. Pólipo adenomatoso.</t>
  </si>
  <si>
    <t xml:space="preserve">D. Pólipo hamartomatoso.</t>
  </si>
  <si>
    <t xml:space="preserve">ITEM 429  ·  Región de Murcia 2019  ·  region-de-murcia/2019 / Q70  ·  Standard/main</t>
  </si>
  <si>
    <t xml:space="preserve">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</si>
  <si>
    <t xml:space="preserve">A. Serotipo O157/H7 de E coli enterohemorrágico productor de toxina Shiga.</t>
  </si>
  <si>
    <t xml:space="preserve">B. Listeria monocitogenes.</t>
  </si>
  <si>
    <t xml:space="preserve">C. Criptosporidium.</t>
  </si>
  <si>
    <t xml:space="preserve">D. Bacillus cereus.</t>
  </si>
  <si>
    <t xml:space="preserve">ITEM 430  ·  Comunitat Valenciana 2022  ·  comunitat-valenciana/2022 / Q11  ·  Standard/main</t>
  </si>
  <si>
    <t xml:space="preserve">¿Cuál de las siguientes afirmaciones es cierta respecto al personal directivo profesional según lo establecido en el artículo 13 del Real Decreto Legislativo 5/2015, de 30 de octubre, por el que se aprueba el texto refundido de la Ley del Estatuto Básico del Empleado Público?</t>
  </si>
  <si>
    <t xml:space="preserve">A. Su designación atenderá a principios de mérito y capacidad y a criterios de idoneidad, y se llevará a cabo mediante procedimientos que garanticen la publicidad y concurrencia.</t>
  </si>
  <si>
    <t xml:space="preserve">B. Es personal directivo el que desarrolla funciones directivas profesionales en las Administraciones Públicas, definidas como tales en las normas específicas de cada Administración.</t>
  </si>
  <si>
    <t xml:space="preserve">C. El personal directivo estará sujeto a evaluación con arreglo a los criterios de eficacia y eficiencia, responsabilidad por su gestión y control de resultados en relación con los objetivos que les hayan sido fijados.</t>
  </si>
  <si>
    <t xml:space="preserve">ITEM 431  ·  Navarra 2022  ·  navarra/2022 / Q59  ·  Mixed theory–practical</t>
  </si>
  <si>
    <t xml:space="preserve">De las siguientes afirmaciones según la guía EASL 2022 (European Association for the Study of the Liver) sobre el manejo de la colangitis esclerosante primaria, ¿qué factor se considera de mal pronóstico?:</t>
  </si>
  <si>
    <t xml:space="preserve">A. Sexo femenino</t>
  </si>
  <si>
    <t xml:space="preserve">B. Enfermedad de ducto pequeño</t>
  </si>
  <si>
    <t xml:space="preserve">C. Ictericia</t>
  </si>
  <si>
    <t xml:space="preserve">D. Edad más joven al diagnóstico</t>
  </si>
  <si>
    <t xml:space="preserve">ITEM 432  ·  Andalucía 2021  ·  andalucia/2021-22-libre / Q123  ·  Practical</t>
  </si>
  <si>
    <t xml:space="preserve">¿Cuál es la actitud más correcta que se debe seguir a continuación?</t>
  </si>
  <si>
    <t xml:space="preserve">A. Debe completarse el estudio con TAC colonografía/colonoscopia virtual o enema opaco, según disponibilidad.</t>
  </si>
  <si>
    <t xml:space="preserve">B. Debe realizarse un nuevo test de sangre oculta en heces tres meses tras la polipectomía y, si es positivo, repetir la colonoscopia.</t>
  </si>
  <si>
    <t xml:space="preserve">C. Se debe solicitar una nueva colonoscopia, optimizando la limpieza colónica.</t>
  </si>
  <si>
    <t xml:space="preserve">D. Se debe individualizar la pauta de seguimiento endoscópico, con intervalos más estrechos que los recomendados por las guías de práctica clínica.</t>
  </si>
  <si>
    <t xml:space="preserve">Context IDs: andalucia-2021-22-libre-case-007  |  Source exam PDF page: 32</t>
  </si>
  <si>
    <t xml:space="preserve">ITEM 433  ·  Castilla y León 2019  ·  castilla-y-leon/2019 / Q164  ·  Non-case reserve</t>
  </si>
  <si>
    <t xml:space="preserve">Según el artículo 10.1 de la ley 41/2002, de 14 de noviembre, básica reguladora de la autonomía del paciente y de derechos y obligaciones en materia de información sanitaria, dentro de la información que el facultativo debe proporcionar al paciente, antes de recabar el consentimiento escrito, no se encuentra:</t>
  </si>
  <si>
    <t xml:space="preserve">A. Las contraindicaciones</t>
  </si>
  <si>
    <t xml:space="preserve">B. Los riesgos relacionados con las circunstancias personales o profesionales del paciente</t>
  </si>
  <si>
    <t xml:space="preserve">C. La posibilidad de dictar instrucciones previas.</t>
  </si>
  <si>
    <t xml:space="preserve">D. los riesgos probables en condiciones normales directamente relacionados con el tipo de intervención</t>
  </si>
  <si>
    <t xml:space="preserve">ITEM 434  ·  Comunidad de Madrid 2021  ·  comunidad-de-madrid/2021 / Q96  ·  Standard/main</t>
  </si>
  <si>
    <t xml:space="preserve">¿Qué tratamiento NO se recomienda para el mantenimiento de pacientes con colitis ulcerosa moderada a grave que no responden a tratamientos convencionales?</t>
  </si>
  <si>
    <t xml:space="preserve">C. Ciclosporina</t>
  </si>
  <si>
    <t xml:space="preserve">D. Mirikizumab</t>
  </si>
  <si>
    <t xml:space="preserve">ITEM 435  ·  Castilla-La Mancha 2017  ·  castilla-la-mancha/2017-2018 / Q92  ·  Standard/main</t>
  </si>
  <si>
    <t xml:space="preserve">Con respecto al diagnóstico y manejo de la colestasis gravídica, señale la opción incorrecta</t>
  </si>
  <si>
    <t xml:space="preserve">A. La principal manifestación clínica es el prurito palmo – plantar, de predominio nocturno</t>
  </si>
  <si>
    <t xml:space="preserve">B. En el 90% de los casos las pacientes terminan presentando ictericia</t>
  </si>
  <si>
    <t xml:space="preserve">C. El objetivo del tratamiento es disminuir los ácidos biliares en sangre hasta conseguir la madurez pulmonar fetal</t>
  </si>
  <si>
    <t xml:space="preserve">D. El tratamiento con acido ursodeoxicolico (10-16 mg/kg/día) es seguro en mujeres con colestasis intrahepatica del embarazo</t>
  </si>
  <si>
    <t xml:space="preserve">ITEM 436  ·  Castilla-La Mancha 2022  ·  castilla-la-mancha/2022 / Q19  ·  Standard/main</t>
  </si>
  <si>
    <t xml:space="preserve">El sistema de toma de muestras histológicas que integra la distribución topográfica y la intensidad de la metaplasia intestinal en una estadificación que permite definir el riesgo de padecer cáncer gástrico se llama</t>
  </si>
  <si>
    <t xml:space="preserve">A. OLGIM</t>
  </si>
  <si>
    <t xml:space="preserve">B. OLGA</t>
  </si>
  <si>
    <t xml:space="preserve">C. Sidney</t>
  </si>
  <si>
    <t xml:space="preserve">D. Kikuchi</t>
  </si>
  <si>
    <t xml:space="preserve">ITEM 437  ·  La Rioja 2024  ·  la-rioja/2023-2024 / Q57  ·  Standard/main</t>
  </si>
  <si>
    <t xml:space="preserve">Según la guía ECCO de 2022 de enfermedad inflamatoria intestinal y malignidad, los pacientes con enfermedad inflamatoria intestinal de colon deben ser informados de que presentan un aumento de riesgo de desarrollar cáncer colorrectal. Los factores de riesgo incluyen:</t>
  </si>
  <si>
    <t xml:space="preserve">A. Sexo masculino.</t>
  </si>
  <si>
    <t xml:space="preserve">B. Menor edad al diagnóstico de colitis ulcerosa.</t>
  </si>
  <si>
    <t xml:space="preserve">C. La presencia de estenosis colónicas.</t>
  </si>
  <si>
    <t xml:space="preserve">D. Todas son ciertas.</t>
  </si>
  <si>
    <t xml:space="preserve">ITEM 438  ·  Comunitat Valenciana 2022  ·  comunitat-valenciana/2022 / Q32  ·  Standard/main</t>
  </si>
  <si>
    <t xml:space="preserve">Respecto a los marcadores serológicos del cáncer gástrico, antígeno carcinoembrionario (CEA) y antígeno carbohidrato 19.9 (Ca 19.9), señale la respuesta incorrecta:</t>
  </si>
  <si>
    <t xml:space="preserve">A. Presentan una alta sensibilidad en el diagnóstico del cáncer gástrico precoz.</t>
  </si>
  <si>
    <t xml:space="preserve">B. Están habitualmente elevados en la recurrencia del cáncer gástrico.</t>
  </si>
  <si>
    <t xml:space="preserve">C. Valores elevados de ambos marcadores previo a la cirugía predice riesgo de recurrencia.</t>
  </si>
  <si>
    <t xml:space="preserve">D. Actualmente la alternativa a estos marcadores se sitúa el foco en la medida de células tumorales y DNA circulantes mediante “biopsias líquidas”.</t>
  </si>
  <si>
    <t xml:space="preserve">ITEM 439  ·  La Rioja 2024  ·  la-rioja/2023-2024 / Q18  ·  Standard/main</t>
  </si>
  <si>
    <t xml:space="preserve">Señale la opción INCORRECTA respecto a la colangitis biliar primaria en cuanto a la evaluación de respuesta en primera línea al ácido ursodesoxicólico (AUDC):</t>
  </si>
  <si>
    <t xml:space="preserve">A. El criterio de Rottherdam evalúa la bilirrubina y la FA al sexto mes de tratamiento.</t>
  </si>
  <si>
    <t xml:space="preserve">B. El criterio de Paris-II evalúa a los doce meses de tratamiento la FA, la AST y la bilirrubina.</t>
  </si>
  <si>
    <t xml:space="preserve">C. El criterio de Ehime evalúa el valor y el descenso de la GGT a los seis meses de tratamiento.</t>
  </si>
  <si>
    <t xml:space="preserve">D. El criterio de Barcelona evalúa a los doce meses el valor y el descenso de FA.</t>
  </si>
  <si>
    <t xml:space="preserve">ITEM 440  ·  Castilla-La Mancha 2022  ·  castilla-la-mancha/2022 / Q28  ·  Standard/main</t>
  </si>
  <si>
    <t xml:space="preserve">Según la guía clínica AGA 2022 para el manejo de la enf celiaca refractaria, con respecto a su definición, uno de los siguientes criterios no es necesario. Señale cual</t>
  </si>
  <si>
    <t xml:space="preserve">A. Síntomas y/o signos de malabsorción persistentes o recurrentes</t>
  </si>
  <si>
    <t xml:space="preserve">B. Persistencia de anticuerpos de enfermedad celíaca (antitransglutaminasa y/o antiendomisio)</t>
  </si>
  <si>
    <t xml:space="preserve">C. Atrofia de vellosidades del intestino delgado</t>
  </si>
  <si>
    <t xml:space="preserve">D. Evidencia de un cumplimiento estricto de una dieta sin gluten durante al menos 12 meses</t>
  </si>
  <si>
    <t xml:space="preserve">ITEM 441  ·  Aragón 2020  ·  aragon/2020 / Q105  ·  Non-case reserve</t>
  </si>
  <si>
    <t xml:space="preserve">Señale la respuesta INCORRECTA:</t>
  </si>
  <si>
    <t xml:space="preserve">A. Se recomienda la colocación temporal de un stent de metal autoexpandible biliar completamente cubierto para hemorragias post-esfinterotomía refractaria a las modalidades hemostáticas estándar.</t>
  </si>
  <si>
    <t xml:space="preserve">B. En pacientes con pancreatitis biliar leve se recomienda realizar en el mismo ingreso colecistectomía.</t>
  </si>
  <si>
    <t xml:space="preserve">C. Para pacientes con síndrome de Mirizzi, el tratamiento con colangioscopia puede ser una alternativa al tratamiento quirúrgico, y evitar la colecistectomía en más de la mitad de los casos.</t>
  </si>
  <si>
    <t xml:space="preserve">D. Para hepatolitiasis se aconseja un enfoque multidisciplinario que incluye endoscopia, radiología intervencionista y cirugía.</t>
  </si>
  <si>
    <t xml:space="preserve">ITEM 442  ·  La Rioja 2024  ·  la-rioja/2023-2024 / Q99  ·  Standard/main</t>
  </si>
  <si>
    <t xml:space="preserve">¿Cuál de los siguientes fármacos tiene “recomendación en contra” de su uso como tratamiento de la esofagitis eosinofilica según la última guía de la Asociación Americana de Gastroenteterología 2025?:</t>
  </si>
  <si>
    <t xml:space="preserve">A. Benralizumab.</t>
  </si>
  <si>
    <t xml:space="preserve">B. Dupilumab.</t>
  </si>
  <si>
    <t xml:space="preserve">C. Omalizumab.</t>
  </si>
  <si>
    <t xml:space="preserve">D. Mepolizumab.</t>
  </si>
  <si>
    <t xml:space="preserve">ITEM 443  ·  Andalucía 2022  ·  andalucia/2022-extraordinaria-libre / Q81  ·  Theoretical</t>
  </si>
  <si>
    <t xml:space="preserve">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</si>
  <si>
    <t xml:space="preserve">A. Solicitar panel de marcadores para establecer la etiología del proceso, incluyendo niveles de Paracetamol en suero.</t>
  </si>
  <si>
    <t xml:space="preserve">B. Realizar una biopsia transyugular para evaluar el grado de necrosis y establecer un pronóstico.</t>
  </si>
  <si>
    <t xml:space="preserve">C. Iniciar tratamiento empírico con N-Acetil-Cisteína en perfusión i.v.</t>
  </si>
  <si>
    <t xml:space="preserve">D. Contactar con un centro con programa activo de trasplante hepático.</t>
  </si>
  <si>
    <t xml:space="preserve">ITEM 444  ·  Castilla-La Mancha 2017  ·  castilla-la-mancha/2017-2018 / Q57  ·  Standard/main</t>
  </si>
  <si>
    <t xml:space="preserve">En el estudio de la función exocrina en el contexto de la pancreatitis crónica, señale la respuesta incorrecta</t>
  </si>
  <si>
    <t xml:space="preserve">A. El coeficiente de absorción grasa (CFA) está aceptado como el gold standard para la evaluación de la función exocrina pero no se aplica en la práctica clínica diaria.</t>
  </si>
  <si>
    <t xml:space="preserve">B. La determinación de C13-triglicéridos en aire espirado es una alternativa al CFA pero su uso en la práctica clínica diaria está limitado.</t>
  </si>
  <si>
    <t xml:space="preserve">C. Cualquier paciente con diagnóstico reciente de pancreatitis crónica debería ser evaluado con test de función pancreática aunque los hallazgos morfológicos no sean relevantes.</t>
  </si>
  <si>
    <t xml:space="preserve">D. La determinación de Elastasa fecal-1 es ampliamente utilizada. Valores muy bajos descartan una insuficiencia exocrina.</t>
  </si>
  <si>
    <t xml:space="preserve">ITEM 445  ·  Región de Murcia 2019  ·  region-de-murcia/2019 / Q106  ·  Standard/main</t>
  </si>
  <si>
    <t xml:space="preserve">¿En qué hospital de la Comunidad Autónoma de Murcia no se incluye la colangiopancreatografía retrógrada endoscópica en su cartera de servicios?:</t>
  </si>
  <si>
    <t xml:space="preserve">A. H. Los Arcos.</t>
  </si>
  <si>
    <t xml:space="preserve">B. H. Reina Sofía.</t>
  </si>
  <si>
    <t xml:space="preserve">C. H. Santa Lucía.</t>
  </si>
  <si>
    <t xml:space="preserve">D. H. Morales Meseguer.</t>
  </si>
  <si>
    <t xml:space="preserve">ITEM 446  ·  Navarra 2022  ·  navarra/2022 / Q1  ·  Mixed theory–practical</t>
  </si>
  <si>
    <t xml:space="preserve">¿Qué parámetros incluye la escala de Rockall?</t>
  </si>
  <si>
    <t xml:space="preserve">A. Edad, frecuencia cardiaca, hemoglobina, comorbilidad, diagnóstico, estigmas endoscópicos de hemorragia reciente</t>
  </si>
  <si>
    <t xml:space="preserve">B. Edad, frecuencia cardiaca, presión arterial sistólica, comorbilidad, diagnóstico, estigmas endoscópicos de hemorragia reciente</t>
  </si>
  <si>
    <t xml:space="preserve">C. Edad, hemoglobina, urea, presión arterial sistólica, comorbilidad, diagnóstico, estigmas endoscópicos de hemorragia reciente</t>
  </si>
  <si>
    <t xml:space="preserve">D. Edad, presión arterial media, comorbilidad, forma de presentación, estigmas endoscópicos de hemorragia reciente</t>
  </si>
  <si>
    <t xml:space="preserve">ITEM 447  ·  Castilla y León 2019  ·  castilla-y-leon/2019 / Q154  ·  Non-case reserve</t>
  </si>
  <si>
    <t xml:space="preserve">Ante un paciente que acude al Servicio de Urgencias con la sospecha de ingestión aguda accidental de un cáustico, la primera medida a realizar será:</t>
  </si>
  <si>
    <t xml:space="preserve">A. Endoscopia digestiva alta.</t>
  </si>
  <si>
    <t xml:space="preserve">B. Radiografía simple de tórax y abdomen.</t>
  </si>
  <si>
    <t xml:space="preserve">C. Estudio analítico que incluya hemograma y bioquímica general.</t>
  </si>
  <si>
    <t xml:space="preserve">D. Control de la vía respiratoria y estado hemodinámico.</t>
  </si>
  <si>
    <t xml:space="preserve">ITEM 448  ·  Comunitat Valenciana 2022  ·  comunitat-valenciana/2022 / Q80  ·  Standard/main</t>
  </si>
  <si>
    <t xml:space="preserve">En una mujer de 60 años se detecta de forma incidental en un TAC una formación quística de 3 cm en la cola del páncreas con el aspecto de “panal de abeja” y con una calcificación central ¿cuál sería la primera sospecha diagnóstica?</t>
  </si>
  <si>
    <t xml:space="preserve">B. Neoplasia mucinosa papilar intraductal.</t>
  </si>
  <si>
    <t xml:space="preserve">C. Neoplasia quística mucinosa.</t>
  </si>
  <si>
    <t xml:space="preserve">D. Tumor seudopapilar sólido.</t>
  </si>
  <si>
    <t xml:space="preserve">ITEM 449  ·  La Rioja 2024  ·  la-rioja/2023-2024 / Q22  ·  Standard/main</t>
  </si>
  <si>
    <t xml:space="preserve">¿Cuál de las siguientes afirmaciones sobre el uso de radioterapia en cáncer de páncreas es CORRECTA según la guía ESMO (Sociedad Europea de Oncología Médica)?:</t>
  </si>
  <si>
    <t xml:space="preserve">A. La radioterapia adyuvante tras cirugía R0 es standard y mejora la supervivencia.</t>
  </si>
  <si>
    <t xml:space="preserve">B. En el cáncer de páncreas localmente avanzado, la quimiorradioterapia después de la quimioterapia no mejora la supervivencia global, pero retrasa la progresión local.</t>
  </si>
  <si>
    <t xml:space="preserve">C. La radioterapia estereotáctica tiene un papel establecido como tratamiento inicial en el cáncer de páncreas bordeline resecable.</t>
  </si>
  <si>
    <t xml:space="preserve">D. La radioterapia debe aplicarse de forma rutinaria en pacientes con tumores resecables.</t>
  </si>
  <si>
    <t xml:space="preserve">ITEM 450  ·  Comunidad de Madrid 2021  ·  comunidad-de-madrid/2021 / Q101  ·  Standard/main</t>
  </si>
  <si>
    <t xml:space="preserve">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</si>
  <si>
    <t xml:space="preserve">A. Cirrosis criptogenética</t>
  </si>
  <si>
    <t xml:space="preserve">B. Síndrome de Budd-Chiari</t>
  </si>
  <si>
    <t xml:space="preserve">C. Enfermedad vascular portosinusoidal</t>
  </si>
  <si>
    <t xml:space="preserve">D. Esquistosomiasis</t>
  </si>
  <si>
    <t xml:space="preserve">ITEM 451  ·  Andalucía 2022  ·  andalucia/2022-extraordinaria-libre / Q4  ·  Theoretical</t>
  </si>
  <si>
    <t xml:space="preserve">El vigente RGPD (Reglamento General de Protección de Datos) aprobado por el Parlamento Europeo y el Consejo de la Unión Europea (Reglamento (UE) 2016/679, de 27 de abril de 2016, relativo a la protección de las personas físicas en lo que respecta al tratamiento de datos personales y a la libre circulación de estos datos) establece unos principios generales relativos al tratamiento de los datos personales, entre los que se encuentran los siguientes, EXCEPTO:</t>
  </si>
  <si>
    <t xml:space="preserve">A. Principios de licitud, lealtad y transparencia.</t>
  </si>
  <si>
    <t xml:space="preserve">B. Principio de limitación del plazo de conservación.</t>
  </si>
  <si>
    <t xml:space="preserve">C. Principio de seguridad digital.</t>
  </si>
  <si>
    <t xml:space="preserve">D. Principio de minimización de datos.</t>
  </si>
  <si>
    <t xml:space="preserve">ITEM 452  ·  Galicia 2016  ·  galicia/ope-2016 / Q106  ·  Non-case reserve</t>
  </si>
  <si>
    <t xml:space="preserve">¿Cuál de las siguientes recomendaciones de la EASL es correcta en el fallo hepático fulminante?.</t>
  </si>
  <si>
    <t xml:space="preserve">A. No se recomienda la profilaxis venosa antitrombótica.</t>
  </si>
  <si>
    <t xml:space="preserve">B. Solo se recomienda transfusiones venosas si la hemoglobina es menor de 5 g/dl.</t>
  </si>
  <si>
    <t xml:space="preserve">C. No se recomienda el uso de plasma fresca de rutina.</t>
  </si>
  <si>
    <t xml:space="preserve">D. Ninguna de las respuestas es correcta.</t>
  </si>
  <si>
    <t xml:space="preserve">ITEM 453  ·  Castilla-La Mancha 2022  ·  castilla-la-mancha/2022 / Q35  ·  Standard/main</t>
  </si>
  <si>
    <t xml:space="preserve">¿Cuál de las siguientes afirmaciones le parece incorrecta para el diagnóstico de un paciente que ingresa por un cuadro de hematoquecia?</t>
  </si>
  <si>
    <t xml:space="preserve">A. Paciente hemodinámicamente estable-colonoscopia en las primeras 24 horas.</t>
  </si>
  <si>
    <t xml:space="preserve">B. Paciente hemodinámicamente inestable-angioTC.</t>
  </si>
  <si>
    <t xml:space="preserve">C. Sospecha de divertículo de Meckel-gammagrafía con Tecnecio-99m.</t>
  </si>
  <si>
    <t xml:space="preserve">D. Paciente hemodinámicamente inestable-gastroscopia.</t>
  </si>
  <si>
    <t xml:space="preserve">ITEM 454  ·  Castilla y León 2019  ·  castilla-y-leon/2019 / Q152  ·  Non-case reserve</t>
  </si>
  <si>
    <t xml:space="preserve">La mayor incidencia de tumores carcinoides con repercusión clínica se da en:</t>
  </si>
  <si>
    <t xml:space="preserve">A. Intestino delgado</t>
  </si>
  <si>
    <t xml:space="preserve">B. Recto</t>
  </si>
  <si>
    <t xml:space="preserve">C. Apéndice</t>
  </si>
  <si>
    <t xml:space="preserve">D. Estómago</t>
  </si>
  <si>
    <t xml:space="preserve">ITEM 455  ·  Aragón 2017  ·  aragon/2017 / Q79  ·  Standard/main</t>
  </si>
  <si>
    <t xml:space="preserve">¿Con qué infección vírica es mayor el riesgo de insuficiencia hepática aguda grave?</t>
  </si>
  <si>
    <t xml:space="preserve">A. Virus A</t>
  </si>
  <si>
    <t xml:space="preserve">B. Virus B</t>
  </si>
  <si>
    <t xml:space="preserve">C. Virus C</t>
  </si>
  <si>
    <t xml:space="preserve">D. Virus D</t>
  </si>
  <si>
    <t xml:space="preserve">ITEM 456  ·  Comunitat Valenciana 2022  ·  comunitat-valenciana/2022 / Q14  ·  Standard/main</t>
  </si>
  <si>
    <t xml:space="preserve">En la Escala de Alvarado, (sistema de puntuación clínica usado en el diagnóstico de apendicitis aguda), indica a cuál de los siguientes factores se le asignan dos puntos:</t>
  </si>
  <si>
    <t xml:space="preserve">A. Fiebre.</t>
  </si>
  <si>
    <t xml:space="preserve">B. Leucocitosis</t>
  </si>
  <si>
    <t xml:space="preserve">C. Náuseas/vómitos.</t>
  </si>
  <si>
    <t xml:space="preserve">D. Dolor migratorio a fosa ilíaca derecha.</t>
  </si>
  <si>
    <t xml:space="preserve">ITEM 457  ·  Comunidad de Madrid 2021  ·  comunidad-de-madrid/2021 / Q22  ·  Standard/main</t>
  </si>
  <si>
    <t xml:space="preserve">¿Cuál de los siguientes no es un factor de riesgo de malignidad de un pólipo vesicular?</t>
  </si>
  <si>
    <t xml:space="preserve">A. Edad superior a 60 años.</t>
  </si>
  <si>
    <t xml:space="preserve">C. Colangitis esclerosante primaria.</t>
  </si>
  <si>
    <t xml:space="preserve">D. Etnia india.</t>
  </si>
  <si>
    <t xml:space="preserve">ITEM 458  ·  La Rioja 2024  ·  la-rioja/2023-2024 / Q59  ·  Standard/main</t>
  </si>
  <si>
    <t xml:space="preserve">Respecto a las recomendaciones de tratamiento en un varón de 45 años con enfermedad de Crohn y afectación de íleon terminal en tratamiento con Infliximab 120 mg sc cada 14 días, ingresado por cuadro oclusivo con estenosis fibrótica de 9 cm, sin evidencia de actividad en enteroRM y la parte accesible por endoscopia previo al ingreso, sin displasia en las biopsias, señale lo CORRECTO:</t>
  </si>
  <si>
    <t xml:space="preserve">A. Dado que es una estenosis corta sin actividad, se recomienda dilatación endoscópica con balón.</t>
  </si>
  <si>
    <t xml:space="preserve">B. Se recomienda solicitar niveles de Infliximab para optimizar dosis, dado el comportamiento estenosante y agresivo de su enfermedad.</t>
  </si>
  <si>
    <t xml:space="preserve">C. Se recomienda suspender el tratamiento biológico al menos 6 semanas antes de realizar una cirugía programada, para evitar mayor riesgo de complicaciones postoperatorias.</t>
  </si>
  <si>
    <t xml:space="preserve">D. Todas las anteriores son falsas.</t>
  </si>
  <si>
    <t xml:space="preserve">ITEM 459  ·  Galicia 2022  ·  galicia/ope-2022 / Q102  ·  Non-case reserve</t>
  </si>
  <si>
    <t xml:space="preserve">Señale la respuesta FALSA en relación al seguimiento de colangitis esclerosante primaria:</t>
  </si>
  <si>
    <t xml:space="preserve">A. En pacientes sin enfermedad inflamatoria conocida debe realizarse ileocolonoscopia tras el diagnóstico de CEP.</t>
  </si>
  <si>
    <t xml:space="preserve">B. Se recomienda colangiografía por RM anual para despistaje de neoplasia biliar.</t>
  </si>
  <si>
    <t xml:space="preserve">C. La CPRE con toma de biopsias y cepillado está indicada ante estenosis dominantes progresivas o de nueva aparición.</t>
  </si>
  <si>
    <t xml:space="preserve">D. No existe evidencia del beneficio de la elastografía transitoria en la evaluación de la CEP.</t>
  </si>
  <si>
    <t xml:space="preserve">ITEM 460  ·  La Rioja 2021  ·  la-rioja/2020-2021 / Q104  ·  Non-case reserve</t>
  </si>
  <si>
    <t xml:space="preserve">Mujer de 37 años con colitis ulcerosa extensa corticodependiente, intolerante a azatioprina y con pérdida de respuesta a infliximab y vedolizumab. Actualmente en tratamiento con tofacitinib. Ha recibido tratamiento con los siguientes mecanismos de acción excepto uno:</t>
  </si>
  <si>
    <t xml:space="preserve">A. Anti-TNF.</t>
  </si>
  <si>
    <t xml:space="preserve">B. Anti-interleukinas.</t>
  </si>
  <si>
    <t xml:space="preserve">C. Inhibidores de JAK.</t>
  </si>
  <si>
    <t xml:space="preserve">D. Anti-integrinas.</t>
  </si>
  <si>
    <t xml:space="preserve">ITEM 461  ·  Andalucía 2021  ·  andalucia/2021-22-libre / Q36  ·  Theoretical</t>
  </si>
  <si>
    <t xml:space="preserve">Los factores de mal pronóstico en la ingesta de cáustico no incluyen:</t>
  </si>
  <si>
    <t xml:space="preserve">A. La neutralización del cáustico tras la ingesta.</t>
  </si>
  <si>
    <t xml:space="preserve">B. La presencia de neutrofilia.</t>
  </si>
  <si>
    <t xml:space="preserve">C. La existencia de acidosis metabólica.</t>
  </si>
  <si>
    <t xml:space="preserve">D. La contraindicación a la endoscopia.</t>
  </si>
  <si>
    <t xml:space="preserve">ITEM 462  ·  Galicia 2022  ·  galicia/ope-2022 / Q109  ·  Non-case reserve</t>
  </si>
  <si>
    <t xml:space="preserve">Paciente de 52 años con ingesta de bolo de carne (sin hueso), que señala como impactado en esófago distal. Presenta intensa sialorrea. ¿Cuál es la actitud a seguir con este paciente?:</t>
  </si>
  <si>
    <t xml:space="preserve">A. Administrar glucagón por vía intravenosa y endoscopia para extracción de cuerpo extraño si no hay mejoría en 48 horas.</t>
  </si>
  <si>
    <t xml:space="preserve">B. Administrar glucagón por vía intravenosa y endoscopia para extracción de cuerpo extraño si no hay mejoría en 24 horas.</t>
  </si>
  <si>
    <t xml:space="preserve">C. Administrar glucagón por vía intravenosa y endoscopia para extracción de cuerpo extraño si no hay mejoría en 12 horas.</t>
  </si>
  <si>
    <t xml:space="preserve">D. Endoscopia precoz dentro de las primeras 6 horas.</t>
  </si>
  <si>
    <t xml:space="preserve">ITEM 463  ·  Región de Murcia 2019  ·  region-de-murcia/2019 / Q143  ·  Standard/main</t>
  </si>
  <si>
    <t xml:space="preserve">¿En qué situación no está recomendada la realización de un test genético para descartar la presencia de hemocromatosis hereditaria?:</t>
  </si>
  <si>
    <t xml:space="preserve">A. En población general sin ningún dato ni antecedentes de hepatopatía.</t>
  </si>
  <si>
    <t xml:space="preserve">B. Pacientes con hepatopatía crónica sin diagnóstico.</t>
  </si>
  <si>
    <t xml:space="preserve">C. Pacientes con porfiria cutánea tarda.</t>
  </si>
  <si>
    <t xml:space="preserve">D. Pacientes con hepatocarcinoma recién diagnosticado.</t>
  </si>
  <si>
    <t xml:space="preserve">ITEM 464  ·  Región de Murcia 2019  ·  region-de-murcia/2019 / Q32  ·  Standard/main</t>
  </si>
  <si>
    <t xml:space="preserve">En relación con las lesiones GI (gastrointestinales) en pacientes que toman AINE (antiinflamatorios no esteroideos), señale la opción FALSA:</t>
  </si>
  <si>
    <t xml:space="preserve">A. La presencia de antecedentes de úlcera péptica gastroduodenal, complicada o no complicada, es factor de riesgo para el desarrollo de complicaciones GI en pacientes que toman AINE.</t>
  </si>
  <si>
    <t xml:space="preserve">B. No se recomienda el uso de antagonistas H2 para la prevención de las complicaciones GI de los AINE.</t>
  </si>
  <si>
    <t xml:space="preserve">C. El uso de IBP asociado a un AINE no selectivo es una estrategia válida para la prevención de las complicaciones GI altas de los AINE, en pacientes de riesgo.</t>
  </si>
  <si>
    <t xml:space="preserve">D. El uso de un COXIB no reduce las complicaciones en el tracto GI alto.</t>
  </si>
  <si>
    <t xml:space="preserve">ITEM 465  ·  Comunitat Valenciana 2022  ·  comunitat-valenciana/2022 / Q20  ·  Standard/main</t>
  </si>
  <si>
    <t xml:space="preserve">Entre las causas de hiperbilirrubinemia indirecta no está:</t>
  </si>
  <si>
    <t xml:space="preserve">A. Sindrome de Dubin Johnson.</t>
  </si>
  <si>
    <t xml:space="preserve">B. Sindrome de Crigler-Najjar I y II.</t>
  </si>
  <si>
    <t xml:space="preserve">C. Trasfusión masiva de sangre.</t>
  </si>
  <si>
    <t xml:space="preserve">D. Déficit de glucosa 6 fosfato deshidrogenasa.</t>
  </si>
  <si>
    <t xml:space="preserve">ITEM 466  ·  La Rioja 2024  ·  la-rioja/2023-2024 / Q64  ·  Standard/main</t>
  </si>
  <si>
    <t xml:space="preserve">Según la clasificación de la American Gastroenterological Association (AGA) de las fístulas perianales, se considera una fístula simple:</t>
  </si>
  <si>
    <t xml:space="preserve">A. Fístula con orificio externo único.</t>
  </si>
  <si>
    <t xml:space="preserve">B. Fístula extraesfinteriana.</t>
  </si>
  <si>
    <t xml:space="preserve">C. Con fluctuación que sugiere absceso perianal.</t>
  </si>
  <si>
    <t xml:space="preserve">D. Fístula rectovaginal.</t>
  </si>
  <si>
    <t xml:space="preserve">ITEM 467  ·  Aragón 2017  ·  aragon/2017 / Q80  ·  Standard/main</t>
  </si>
  <si>
    <t xml:space="preserve">¿Cuál de estas variables se incluye en el Sistema de puntuación de Rockall para la hemorragia digestiva alta?</t>
  </si>
  <si>
    <t xml:space="preserve">A. Presión arterial diastólica.</t>
  </si>
  <si>
    <t xml:space="preserve">B. Sexo.</t>
  </si>
  <si>
    <t xml:space="preserve">C. Frecuencia cardíaca.</t>
  </si>
  <si>
    <t xml:space="preserve">D. Hematocrito.</t>
  </si>
  <si>
    <t xml:space="preserve">ITEM 468  ·  Aragón 2020  ·  aragon/2020 / Q109  ·  Non-case reserve</t>
  </si>
  <si>
    <t xml:space="preserve">En la malabsorción tras resección gástrica:</t>
  </si>
  <si>
    <t xml:space="preserve">A. Algunos de los mecanismos propuestos son la falta de secreción ácida gástrica o de lipasa gástrica, el sobrecrecimiento bacteriano y la insuficiencia pancreática.</t>
  </si>
  <si>
    <t xml:space="preserve">B. Los estudios han demostrado que los suplementos con enzimas pancreáticas mejoran la absorción de la grasa.</t>
  </si>
  <si>
    <t xml:space="preserve">C. El tratamiento antibiótico mejora los síntomas tras la resección gástrica.</t>
  </si>
  <si>
    <t xml:space="preserve">D. Los valores de grasa fecal suelen ser superiores a 60 gramos al día.</t>
  </si>
  <si>
    <t xml:space="preserve">ITEM 469  ·  Aragón 2017  ·  aragon/2017 / Q103  ·  Non-case reserve</t>
  </si>
  <si>
    <t xml:space="preserve">De acuerdo a la guía de la European Society of Gastrointestinal Endoscopy (ESGE) y respecto del seguimiento tras polipectomía, ¿cuál de estas afirmaciones NO es cierta?:</t>
  </si>
  <si>
    <t xml:space="preserve">A. En caso de resección en fragmentos (piecemeal) de una adenoma mayor de 10 mm, el seguimiento endoscópico debe hacerse a los 6 meses antes de hacer ninguna otra recomendación</t>
  </si>
  <si>
    <t xml:space="preserve">B. La ESGE no recomienda el uso de test de sangre oculta en heces tras polipectomía como método de seguimiento, pero en caso de realizarse de manera no planificada y si es positivo, la decisión debe basarse en el buen juicio clínico</t>
  </si>
  <si>
    <t xml:space="preserve">C. Los pacientes con extirpación de pólipos serrados de menos de 10 mm sin displasia deben clasificarse como de bajo riesgo, mientras que aquellos que tengan pólipos serrados de más de 10 mm con displasia serán clasificados como de alto riesgo</t>
  </si>
  <si>
    <t xml:space="preserve">D. Los criterios para considerar a un paciente como de alto riesgo tras polipectomía exigen la presencia de displasia de alto grado en algunos de los pólipos extirpados o bien la presencia de 3 o más adenomas siempre que tengan componente velloso</t>
  </si>
  <si>
    <t xml:space="preserve">ITEM 470  ·  Aragón 2017  ·  aragon/2017 / Q108  ·  Non-case reserve</t>
  </si>
  <si>
    <t xml:space="preserve">Paciente de 64 años, cirrosis alcohólica, creatinina de 3 mg/dl, ascitis, y no mejoría tras expansión plasmática; sin proteinuria ni hematuria, con ecografía renal normal, y baja eliminación de sodio. Describa como será su situación hemodinámica.</t>
  </si>
  <si>
    <t xml:space="preserve">A. Resistencia vascular sistémica aumentada con gasto cardíaco disminuido y filtrado glomerular alto.</t>
  </si>
  <si>
    <t xml:space="preserve">B. Resistencia vascular disminuida, gasto cardíaco bajo y filtrado glomerular disminuido.</t>
  </si>
  <si>
    <t xml:space="preserve">C. Resistencia sistémica aumentada, gasto cardíaco alto y filtrado glomerular disminuido.</t>
  </si>
  <si>
    <t xml:space="preserve">D. Resistencia vascular baja, gasto cardíaco alto y filtrado glomerular disminuido.</t>
  </si>
  <si>
    <t xml:space="preserve">ITEM 471  ·  Comunidad de Madrid 2021  ·  comunidad-de-madrid/2021 / Q37  ·  Standard/main</t>
  </si>
  <si>
    <t xml:space="preserve">En una de las siguientes situaciones clínicas NO se recomienda iniciar tratamiento antiviral para la hepatitis B:</t>
  </si>
  <si>
    <t xml:space="preserve">A. Paciente trasplantado renal con HBsAg (+) y carga del VHB indetectable.</t>
  </si>
  <si>
    <t xml:space="preserve">B. Paciente con cirrosis hepática con HBsAg (+) y carga del VHB indetectable.</t>
  </si>
  <si>
    <t xml:space="preserve">C. Mujer embarazada en el tercer trimestre de gestación, HBsAg (+) y ADN-VHB &gt; 200.000 UI/mL.</t>
  </si>
  <si>
    <t xml:space="preserve">D. Paciente trasplantado hepático con anti-HBs (-) y donante anti-HBc.</t>
  </si>
  <si>
    <t xml:space="preserve">ITEM 472  ·  Galicia 2019  ·  galicia/ope-2019 / Q103  ·  Non-case reserve</t>
  </si>
  <si>
    <t xml:space="preserve">En el estudio ampliado de diarrea crónica para descartar causas neuroendocrinas, se deben solicitar todas las siguientes determinaciones, EXCEPTO:</t>
  </si>
  <si>
    <t xml:space="preserve">A. Cromogranina A.</t>
  </si>
  <si>
    <t xml:space="preserve">B. Calcitonina.</t>
  </si>
  <si>
    <t xml:space="preserve">C. Gastrina.</t>
  </si>
  <si>
    <t xml:space="preserve">D. Insulina.</t>
  </si>
  <si>
    <t xml:space="preserve">ITEM 473  ·  Andalucía 2022  ·  andalucia/2022-extraordinaria-libre / Q102  ·  Practical</t>
  </si>
  <si>
    <t xml:space="preserve">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</si>
  <si>
    <t xml:space="preserve">A. Ante el empeoramiento de la hiponatremia es recomendable iniciar una perfusión con altas dosis de furosemida para forzar un balance negativo de líquidos.</t>
  </si>
  <si>
    <t xml:space="preserve">B. En ausencia de fiebre debería retrasarse el tratamiento antibiótico hasta disponer de resultados de cultivo del líquido ascítico.</t>
  </si>
  <si>
    <t xml:space="preserve">C. Debe realizarse una paracentesis de un volumen no superior a 5 litros con reposición de albúmina.</t>
  </si>
  <si>
    <t xml:space="preserve">D. El deterioro de la función renal justificaría la consideración de una biopsia renal para descartar una nefropatía IgA asociada.</t>
  </si>
  <si>
    <t xml:space="preserve">ITEM 474  ·  La Rioja 2021  ·  la-rioja/2020-2021 / Q105  ·  Non-case reserve</t>
  </si>
  <si>
    <t xml:space="preserve">¿Cuál de los siguientes está descrito como factor de riesgo en enfermedad de Crohn y protector en colitis ulcerosa?</t>
  </si>
  <si>
    <t xml:space="preserve">A. Infección por H.pylori.</t>
  </si>
  <si>
    <t xml:space="preserve">B. Apendicectomía.</t>
  </si>
  <si>
    <t xml:space="preserve">D. Todos los anteriores.</t>
  </si>
  <si>
    <t xml:space="preserve">ITEM 475  ·  Castilla y León 2019  ·  castilla-y-leon/2019 / Q161  ·  Non-case reserve</t>
  </si>
  <si>
    <t xml:space="preserve">Señale la respuesta INCORRECTA con respecto al uso de azatioprina en la enfermedad inflamatoria intestinal:</t>
  </si>
  <si>
    <t xml:space="preserve">A. Se ha relacionado con tumores de piel no melanocíticos, de tracto urinario y linfomas.</t>
  </si>
  <si>
    <t xml:space="preserve">B. La determinación previa de la actividad de la tiopurina metiltransferasa (TPMT) no es imprescindible, pero permite mayor seguridad inicial.</t>
  </si>
  <si>
    <t xml:space="preserve">C. En caso de pacientes HBsAg positivos con carga viral VHB indetectable se recomienda seguimiento estrecho sin necesidad de tratamiento antiviral.</t>
  </si>
  <si>
    <t xml:space="preserve">D. Se recomienda evitar su uso en pacientes con serología negativa para virus Epstein Barr (VEB</t>
  </si>
  <si>
    <t xml:space="preserve">ITEM 476  ·  Región de Murcia 2019  ·  region-de-murcia/2019 / Q66  ·  Standard/main</t>
  </si>
  <si>
    <t xml:space="preserve">Respecto a las pruebas de laboratorio en pacientes con síndrome de intestino irritable con predominio de estreñimiento (SII-E), es falso que:</t>
  </si>
  <si>
    <t xml:space="preserve">A. El cribado de la enfermedad celíaca mediante serología se recomienda de forma rutinaria en estos pacientes.</t>
  </si>
  <si>
    <t xml:space="preserve">B. La calprotectina fecal no parece de utilidad en pacientes con estreñimiento.</t>
  </si>
  <si>
    <t xml:space="preserve">C. No se dispone de biomarcadores específicos para el SII-E.</t>
  </si>
  <si>
    <t xml:space="preserve">D. La colonoscopia debe realizarse en pacientes con criterios de SII que tengan síntomas de alarma.</t>
  </si>
  <si>
    <t xml:space="preserve">ITEM 477  ·  Aragón 2020  ·  aragon/2020 / Q87  ·  Standard/main</t>
  </si>
  <si>
    <t xml:space="preserve">Según la guía europea de endoscopia digestiva, señale la respuesta INCORRECTA:</t>
  </si>
  <si>
    <t xml:space="preserve">A. Se recomienda el drenaje biliar preoperatorio de rutina en pacientes con obstrucción biliar extrahepática maligna.</t>
  </si>
  <si>
    <t xml:space="preserve">B. Se recomienda la colocación endoscópica de un stent de metal autoexpandible de 10 mm de diámetro para el drenaje biliar preoperatorio de la obstrucción biliar extrahepática maligna.</t>
  </si>
  <si>
    <t xml:space="preserve">C. Se recomienda la inserción de un stent de metal autoexpandible para el drenaje paliativo de la obstrucción biliar maligna extrahepática.</t>
  </si>
  <si>
    <t xml:space="preserve">D. En determinados casos es útil la colocación endoscópica de uno o varios stents de plástico para tratar las fugas del conducto biliar.</t>
  </si>
  <si>
    <t xml:space="preserve">ITEM 478  ·  La Rioja 2021  ·  la-rioja/2020-2021 / Q102  ·  Non-case reserve</t>
  </si>
  <si>
    <t xml:space="preserve">Dentro de las modificaciones en la actual Clasificación de Chicago versión 4.0 (CCv4.0) es falso:</t>
  </si>
  <si>
    <t xml:space="preserve">A. Se requiere una evaluación manométrica y no manométrica adicional para llegar a un diagnóstico concluyente y procesable de obstrucción al flujo de salida de la unión esófago-gástrica (EGJOO).</t>
  </si>
  <si>
    <t xml:space="preserve">B. El espasmo esofágico distal y esófago hipercontráctil son tres patrones manométricos que deben ir acompañados de síntomas esofágicos obstructivos de disfagia y / o dolor torácico no cardíaco para que se consideren clínicamente relevantes.</t>
  </si>
  <si>
    <t xml:space="preserve">C. El protocolo manométrico estandarizado idealmente incluye posición supina no considerando necesarios estudios en posición erguida, y sí se considera necesario realizar maniobras manométricas adicionales como las degluciones múltiples rápidas habitual y de sobrecarga.</t>
  </si>
  <si>
    <t xml:space="preserve">D. La definición de motilidad esofágica ineficaz es más estricta y ahora abarca la perístasis fragmentada.</t>
  </si>
  <si>
    <t xml:space="preserve">ITEM 479  ·  Castilla-La Mancha 2017  ·  castilla-la-mancha/2017-2018 / Q88  ·  Standard/main</t>
  </si>
  <si>
    <t xml:space="preserve">En relación con la hepatitis alcohólica aguda, señale la errónea</t>
  </si>
  <si>
    <t xml:space="preserve">A. Los pacientes suelen haber presentado un consumo excesivo de alcohol un mínimo de 6 meses, con un período de abstinencia inferior a 2 meses antes del diagnóstico de hepatitis alcohólica aguda.</t>
  </si>
  <si>
    <t xml:space="preserve">B. Los hallazgos analíticos habituales ofrecen una Bilirrubina total &gt; 3 mg/dl, AST/ALT &gt; 1.5 y cifras de AST y ALT inferiores a 400 UI/ml.</t>
  </si>
  <si>
    <t xml:space="preserve">C. No es preciso descartar el cuadro de "acute on chronic liver failure" dada su escasa incidencia en este tipo de pacientes.</t>
  </si>
  <si>
    <t xml:space="preserve">D. Siempre en preciso descartar patología biliar, hepatitis virales, autoinmunes y E. Wilson mediante los test habituales diagnósticos.</t>
  </si>
  <si>
    <t xml:space="preserve">ITEM 480  ·  Castilla y León 2019  ·  castilla-y-leon/2019 / Q66  ·  Standard/main</t>
  </si>
  <si>
    <t xml:space="preserve">¿Cuál es el tratamiento de elección en un paciente con carcinoma hepatocelular en estadio inicial(A) de la BCLC con función hepática conservada con tres nódulos menores de 3 cms y con enfermedades crónicas asociadas?</t>
  </si>
  <si>
    <t xml:space="preserve">A. Resección quirúrgica</t>
  </si>
  <si>
    <t xml:space="preserve">B. Ablación</t>
  </si>
  <si>
    <t xml:space="preserve">C. Quimioembolización transarterial</t>
  </si>
  <si>
    <t xml:space="preserve">D. Tratamiento sistémico</t>
  </si>
  <si>
    <t xml:space="preserve">ITEM 481  ·  Galicia 2016  ·  galicia/ope-2016 / Q101  ·  Non-case reserve</t>
  </si>
  <si>
    <t xml:space="preserve">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</si>
  <si>
    <t xml:space="preserve">A. Cirrosis con varices esofágicas grandes.</t>
  </si>
  <si>
    <t xml:space="preserve">B. Cirrosis grado C 12 de Child-Pugh con presencia de varices esofágicas pequeñas.</t>
  </si>
  <si>
    <t xml:space="preserve">C. Cirrosis sin varices esofágicas con varices gástricas.</t>
  </si>
  <si>
    <t xml:space="preserve">D. Paciente EPOC con cirrosis grado A de Child-Pugh y varices pequeñas.</t>
  </si>
  <si>
    <t xml:space="preserve">ITEM 482  ·  Comunitat Valenciana 2022  ·  comunitat-valenciana/2022 / Q51  ·  Standard/main</t>
  </si>
  <si>
    <t xml:space="preserve">Según las recomendaciones de la guía de la Sociedad Europea de Endoscopia Digestiva (ESGE) de 2020, está indicada la vigilancia postpolipectomía ante la presencia de:</t>
  </si>
  <si>
    <t xml:space="preserve">A. Pólipo serrado con displasia.</t>
  </si>
  <si>
    <t xml:space="preserve">B. Adenoma tubulovelloso de 8mm.</t>
  </si>
  <si>
    <t xml:space="preserve">C. Adenoma de 7mm con displasia de bajo grado.</t>
  </si>
  <si>
    <t xml:space="preserve">D. Cuatro adenomas tubulares &lt;10mm.</t>
  </si>
  <si>
    <t xml:space="preserve">ITEM 483  ·  Castilla-La Mancha 2017  ·  castilla-la-mancha/2017-2018 / Q96  ·  Standard/main</t>
  </si>
  <si>
    <t xml:space="preserve">El cociente que resulta de dividir un número de acontecimientos sucedidos durante un periodo de tiempo por la población media existente durante ese periodo de tiempo es la definición de</t>
  </si>
  <si>
    <t xml:space="preserve">A. Proporción</t>
  </si>
  <si>
    <t xml:space="preserve">B. Razón</t>
  </si>
  <si>
    <t xml:space="preserve">C. Tasa</t>
  </si>
  <si>
    <t xml:space="preserve">D. Hazard ratio</t>
  </si>
  <si>
    <t xml:space="preserve">ITEM 484  ·  Andalucía 2022  ·  andalucia/2022-extraordinaria-libre / Q150  ·  Practical</t>
  </si>
  <si>
    <t xml:space="preserve">CLINICAL CONTEXT
[Full clinical context: andalucia-2022-extraordinaria-libre-caso-18]
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</si>
  <si>
    <t xml:space="preserve">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</si>
  <si>
    <t xml:space="preserve">A. Se trata de forma inequívoca de un Linfoma de Células T asociado a enteropatía.</t>
  </si>
  <si>
    <t xml:space="preserve">B. Podría tratarse de un Linfoma B difuso de intestino.</t>
  </si>
  <si>
    <t xml:space="preserve">C. No se puede descartar una enteropatía tipo Yeyunoileítis Ulcerativa.</t>
  </si>
  <si>
    <t xml:space="preserve">D. Podría tratarse de una Celiaquía Refractaria tipo I.</t>
  </si>
  <si>
    <t xml:space="preserve">Context IDs: andalucia-2022-extraordinaria-libre-caso-18  |  Source exam PDF page: 42</t>
  </si>
  <si>
    <t xml:space="preserve">ITEM 485  ·  Castilla-La Mancha 2017  ·  castilla-la-mancha/2017-2018 / Q5  ·  Standard/main</t>
  </si>
  <si>
    <t xml:space="preserve">Según la Clasificación de Chicago, la acalasia esofágica se divide en tres subgrupos. Señale la respuesta correcta</t>
  </si>
  <si>
    <t xml:space="preserve">A. En la acalasia tipo III o espástica, a la falta de relajación adecuada de la UGE (mediana de IRP &gt;15 mmHg) se asocia peristalsis anormal con contracciones prematuras (espásticas) con DCI &gt; 400 mmHg/s/cm en ≥ 30% de las degluciones.</t>
  </si>
  <si>
    <t xml:space="preserve">B. La acalasia tipo I se caracteriza por una mediana de IRP elevada (&gt; 15 mmHg), 100% peristalsis fallida y presurización panesofágica ≥ 20% de las degluciones.</t>
  </si>
  <si>
    <t xml:space="preserve">C. La acalasia tipo I se caracteriza por una mediana de IRP elevada (&gt; 15 mmHg) y un 100% de contracciones con una integral contráctil distal (DCI) &lt; 100 mmHg/s/cm.</t>
  </si>
  <si>
    <t xml:space="preserve">D. La acalasia tipo II es aquella que asocia una IRP&gt;15 mm de Hg con peristalsis anormal y contracciones prematuras (espásticas) con DCI &gt; 450 mmHg/s/cm en ≥ 30% de las degluciones.</t>
  </si>
  <si>
    <t xml:space="preserve">ITEM 486  ·  Galicia 2016  ·  galicia/ope-2016 / Q104  ·  Non-case reserve</t>
  </si>
  <si>
    <t xml:space="preserve">Señala cuál de los factores descritos puede incrementar la posibilidad de progresión de la hepatopátia alcohólica y del desarrollo de hepatocarcinoma.</t>
  </si>
  <si>
    <t xml:space="preserve">A. La deficiencia de Zinc y vitaminas del complejo B.</t>
  </si>
  <si>
    <t xml:space="preserve">B. Co-infección por VHC.</t>
  </si>
  <si>
    <t xml:space="preserve">C. La desnutrición asociada al alcoholismo.</t>
  </si>
  <si>
    <t xml:space="preserve">D. A y B son ciertas.</t>
  </si>
  <si>
    <t xml:space="preserve">ITEM 487  ·  Aragón 2017  ·  aragon/2017 / Q110  ·  Non-case reserve</t>
  </si>
  <si>
    <t xml:space="preserve">En la Esclerosis Sistémica Progresiva, es cierto que:</t>
  </si>
  <si>
    <t xml:space="preserve">A. Menos del 10% de los pacientes presentan afectación del tubo digestivo</t>
  </si>
  <si>
    <t xml:space="preserve">B. La biopsia esofágica endoscópica establece el diagnóstico</t>
  </si>
  <si>
    <t xml:space="preserve">C. Cuando hay alteración esofágica se afecta principalmente el músculo liso en los tercios medio e inferior esofágicos.</t>
  </si>
  <si>
    <t xml:space="preserve">D. No hay afectación de intestino delgado y colon</t>
  </si>
  <si>
    <t xml:space="preserve">ITEM 488  ·  Comunidad de Madrid 2021  ·  comunidad-de-madrid/2021 / Q72  ·  Standard/main</t>
  </si>
  <si>
    <t xml:space="preserve">Con respecto a la estratificación del riesgo hemorrágico en procedimientos endoscópicos. ¿Cuál de los siguientes es considerado procedimiento de bajo riesgo?</t>
  </si>
  <si>
    <t xml:space="preserve">A. Colocación de prótesis biliar o pancreática.</t>
  </si>
  <si>
    <t xml:space="preserve">B. Polipectomía endoscópica convencional.</t>
  </si>
  <si>
    <t xml:space="preserve">C. Ablación con radiofrecuencia a nivel esofágico o gástrico.</t>
  </si>
  <si>
    <t xml:space="preserve">D. Colocación de gastrostomía endoscópica percutánea.</t>
  </si>
  <si>
    <t xml:space="preserve">ITEM 489  ·  Aragón 2017  ·  aragon/2017 / Q101  ·  Non-case reserve</t>
  </si>
  <si>
    <t xml:space="preserve">En lo que respecta al espectro patogénico y las vías hasta ahora definidas en el desarrollo del cáncer de colon es cierto que:</t>
  </si>
  <si>
    <t xml:space="preserve">A. La vía convencional más frecuente en el cáncer esporádico es la de la inestabilidad de microsatélites, mientras que la menos frecuente es la de inestabilidad cromosómica.</t>
  </si>
  <si>
    <t xml:space="preserve">B. En la vía de la inestabilidad de microsatélites la mutación más conocida es la del gen APC.</t>
  </si>
  <si>
    <t xml:space="preserve">C. Existe una tercera vía denominada vía serrada que frecuentemente se inicia por mutación del gen BRAF o KRAS.</t>
  </si>
  <si>
    <t xml:space="preserve">D. Las mutaciones genéticas en síndromes hereditarios son esencialmente de tipo somático y secuenciales en cadena.</t>
  </si>
  <si>
    <t xml:space="preserve">ITEM 490  ·  Aragón 2020  ·  aragon/2020 / Q90  ·  Standard/main</t>
  </si>
  <si>
    <t xml:space="preserve">En un paciente no colecistectomizado con disfunción del esfínter de Oddi tipo III, ¿cómo están los enzimas hepáticos y el conducto biliar común?</t>
  </si>
  <si>
    <t xml:space="preserve">A. Enzimas hepáticos alterados y conducto biliar normal.</t>
  </si>
  <si>
    <t xml:space="preserve">B. Enzimas hepáticos normales y conducto biliar dilatado.</t>
  </si>
  <si>
    <t xml:space="preserve">C. Enzimas hepáticos normales y conducto biliar normal.</t>
  </si>
  <si>
    <t xml:space="preserve">D. Enzimas hepáticos alterados y conducto biliar dilatado.</t>
  </si>
  <si>
    <t xml:space="preserve">ITEM 491  ·  Navarra 2022  ·  navarra/2022 / Q45  ·  Mixed theory–practical</t>
  </si>
  <si>
    <t xml:space="preserve">Cuál de las siguientes bacterias o grupos de bacterias se han relacionado con la enfermedad de Crohn:</t>
  </si>
  <si>
    <t xml:space="preserve">A. Faecalibacterium prausnitzii</t>
  </si>
  <si>
    <t xml:space="preserve">B. Streptococcus dentisani</t>
  </si>
  <si>
    <t xml:space="preserve">C. Fusobacterium nucleatum</t>
  </si>
  <si>
    <t xml:space="preserve">D. Bacteroidetes</t>
  </si>
  <si>
    <t xml:space="preserve">ITEM 492  ·  Comunitat Valenciana 2022  ·  comunitat-valenciana/2022 / Q21  ·  Standard/main</t>
  </si>
  <si>
    <t xml:space="preserve">La determinación de la Gamma Glutamil Transpeptidasa:</t>
  </si>
  <si>
    <t xml:space="preserve">A. Tiene alta sensibilidad y baja especificidad para indicar alteración hepática.</t>
  </si>
  <si>
    <t xml:space="preserve">B. Aumenta en el embarazo.</t>
  </si>
  <si>
    <t xml:space="preserve">C. Tiene alta especificidad y baja sensibilidad para enfermedad hepática.</t>
  </si>
  <si>
    <t xml:space="preserve">D. Disminuye si se toma fenitoína.</t>
  </si>
  <si>
    <t xml:space="preserve">ITEM 493  ·  Aragón 2020  ·  aragon/2020 / Q110  ·  Non-case reserve</t>
  </si>
  <si>
    <t xml:space="preserve">Indique una dosis oral diaria de mesalazina para iniciar el tratamiento de un brote moderado de Colitis Ulcerosa:</t>
  </si>
  <si>
    <t xml:space="preserve">A. 1 gramo.</t>
  </si>
  <si>
    <t xml:space="preserve">B. 2 gramos.</t>
  </si>
  <si>
    <t xml:space="preserve">C. 4 gramos.</t>
  </si>
  <si>
    <t xml:space="preserve">D. 12 gramos.</t>
  </si>
  <si>
    <t xml:space="preserve">ITEM 494  ·  Andalucía 2021  ·  andalucia/2021-22-libre / Q144  ·  Practical</t>
  </si>
  <si>
    <t xml:space="preserve">CLINICAL CONTEXT
[Full clinical context: andalucia-2021-22-libre-case-013]
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</si>
  <si>
    <t xml:space="preserve">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</si>
  <si>
    <t xml:space="preserve">A. Gastrectomía total abierta</t>
  </si>
  <si>
    <t xml:space="preserve">B. Mucosectomía en fragmentos</t>
  </si>
  <si>
    <t xml:space="preserve">C. Disección endoscópica submucosa</t>
  </si>
  <si>
    <t xml:space="preserve">D. Gastrectomía total laparoscópica</t>
  </si>
  <si>
    <t xml:space="preserve">Context IDs: andalucia-2021-22-libre-case-013  |  Source exam PDF page: 39</t>
  </si>
  <si>
    <t xml:space="preserve">ITEM 495  ·  La Rioja 2024  ·  la-rioja/2023-2024 / Q60  ·  Standard/main</t>
  </si>
  <si>
    <t xml:space="preserve">Uno de los siguientes índices histológicos NO es propio de la colitis ulcerosa:</t>
  </si>
  <si>
    <t xml:space="preserve">A. Índice de Naini y Cortina.</t>
  </si>
  <si>
    <t xml:space="preserve">B. Índice de Geboes.</t>
  </si>
  <si>
    <t xml:space="preserve">C. Índice de Robarts.</t>
  </si>
  <si>
    <t xml:space="preserve">D. Índice de Riley modificado.</t>
  </si>
  <si>
    <t xml:space="preserve">ITEM 496  ·  Comunitat Valenciana 2022  ·  comunitat-valenciana/2022 / Q22  ·  Standard/main</t>
  </si>
  <si>
    <t xml:space="preserve">Indique la necesidad de proteínas (g/kg peso corporal ideal al día) para un paciente en estado de estrés metabólico:</t>
  </si>
  <si>
    <t xml:space="preserve">A. 0,80 g/kg peso corporal ideal al día</t>
  </si>
  <si>
    <t xml:space="preserve">B. 1-1,6 g/kg peso corporal ideal al día</t>
  </si>
  <si>
    <t xml:space="preserve">C. 1,2-1,4 g/kg peso corporal ideal al día</t>
  </si>
  <si>
    <t xml:space="preserve">D. 1,3-1,5 g/kg peso corporal ideal al día</t>
  </si>
  <si>
    <t xml:space="preserve">ITEM 497  ·  Andalucía 2022  ·  andalucia/2022-extraordinaria-libre / Q137  ·  Practical</t>
  </si>
  <si>
    <t xml:space="preserve">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</si>
  <si>
    <t xml:space="preserve">A. El paciente probablemente una colitis fulminante y requiere colectomía inmediata.</t>
  </si>
  <si>
    <t xml:space="preserve">B. Normalmente, si a las 72 horas no ha respondido al tratamiento biológico, se debe iniciar tratamiento con Ciclosporina.</t>
  </si>
  <si>
    <t xml:space="preserve">C. Se deben dar esteroides a dosis altas durante 3 días.</t>
  </si>
  <si>
    <t xml:space="preserve">D. Si a las 72 horas el paciente no ha respondido a Infliximab, debe plantearse colectomía.</t>
  </si>
  <si>
    <t xml:space="preserve">ITEM 498  ·  Castilla-La Mancha 2022  ·  castilla-la-mancha/2022 / Q82  ·  Standard/main</t>
  </si>
  <si>
    <t xml:space="preserve">Atendiendo a las últimas guías españolas de diagnóstico y tratamiento del carcinoma hepatocelular (CHC) publicadas en 2021, ¿Cuál de los siguientes enunciados es falso?</t>
  </si>
  <si>
    <t xml:space="preserve">A. Ningún tratamiento adyuvante ha demostrado eficacia en la prevención de la recurrencia tras la cirugía del CHC.</t>
  </si>
  <si>
    <t xml:space="preserve">B. La resección quirúrgica está contraindicada en tumores mayores de 5 cm.</t>
  </si>
  <si>
    <t xml:space="preserve">C. La alfa fetoproteína elevada es un predictor de invasión microvascular y pobre diferenciación tumoral.</t>
  </si>
  <si>
    <t xml:space="preserve">D. Criterios como up to seven se consideran como referencia para expandir los criterios de trasplante hepático.</t>
  </si>
  <si>
    <t xml:space="preserve">ITEM 499  ·  Aragón 2020  ·  aragon/2020 / Q103  ·  Non-case reserve</t>
  </si>
  <si>
    <t xml:space="preserve">Respecto a la profilaxis de la infección por citomegalovirus en el receptor de trasplante hepático, señale la respuesta INCORRECTA:</t>
  </si>
  <si>
    <t xml:space="preserve">A. Se suele realizar con valganciclovir oral.</t>
  </si>
  <si>
    <t xml:space="preserve">B. La duración de la misma es de un año tras el trasplante hepático.</t>
  </si>
  <si>
    <t xml:space="preserve">C. Es una estrategia recomendable en los pacientes de alto riesgo (receptores no inmunizados que reciben el injerto de un donante seropositivo).</t>
  </si>
  <si>
    <t xml:space="preserve">D. La profilaxis es eficaz en prevenir tanto los efectos directos como los efectos indirectos del citomegalovirus.</t>
  </si>
  <si>
    <t xml:space="preserve">ITEM 500  ·  Castilla y León 2022  ·  castilla-y-leon/2022 / Q49  ·  Standard/main</t>
  </si>
  <si>
    <t xml:space="preserve">Se han descrito cuatro mecanismos de lesión esofágica por fármacos. Señale el mecanismo característico por el cual las tetraciclinas producen daño en el esófago:</t>
  </si>
  <si>
    <t xml:space="preserve">A. Daño directo sobre la mucosa esofágica.</t>
  </si>
  <si>
    <t xml:space="preserve">B. Causticación ácida.</t>
  </si>
  <si>
    <t xml:space="preserve">C. Causticación alcalina.</t>
  </si>
  <si>
    <t xml:space="preserve">Question Data — Electronic Trace View</t>
  </si>
  <si>
    <t xml:space="preserve">Filterable source-aligned data for all 500 items. Use the Questionnaire sheet for the complete, print-readable question blocks.</t>
  </si>
  <si>
    <t xml:space="preserve">Item</t>
  </si>
  <si>
    <t xml:space="preserve">Year</t>
  </si>
  <si>
    <t xml:space="preserve">Source exam</t>
  </si>
  <si>
    <t xml:space="preserve">Exam part</t>
  </si>
  <si>
    <t xml:space="preserve">Source Q</t>
  </si>
  <si>
    <t xml:space="preserve">Clinical context</t>
  </si>
  <si>
    <t xml:space="preserve">Question</t>
  </si>
  <si>
    <t xml:space="preserve">Option A</t>
  </si>
  <si>
    <t xml:space="preserve">Option B</t>
  </si>
  <si>
    <t xml:space="preserve">Option C</t>
  </si>
  <si>
    <t xml:space="preserve">Option D</t>
  </si>
  <si>
    <t xml:space="preserve">Context IDs</t>
  </si>
  <si>
    <t xml:space="preserve">Visual ID</t>
  </si>
  <si>
    <t xml:space="preserve">PDF page</t>
  </si>
  <si>
    <t xml:space="preserve">2022</t>
  </si>
  <si>
    <t xml:space="preserve">illes-balears/2022</t>
  </si>
  <si>
    <t xml:space="preserve">caso-1</t>
  </si>
  <si>
    <t xml:space="preserve">[BASE CLINICAL CONTEXT: illes-balears-2022-base-caso-1]
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</si>
  <si>
    <t xml:space="preserve">Es el tipo de cáncer con más incidencia en España.</t>
  </si>
  <si>
    <t xml:space="preserve">Su incidencia está aumentando en los últimos años.</t>
  </si>
  <si>
    <t xml:space="preserve">En la población de menos de 50 años su incidencia está bajando claramente.</t>
  </si>
  <si>
    <t xml:space="preserve">Las respuestas a) y b) son correctas.</t>
  </si>
  <si>
    <t xml:space="preserve">illes-balears-2022-base-caso-1</t>
  </si>
  <si>
    <t xml:space="preserve">CONTINUES THE ACTIVE CONTEXT: illes-balears-2022-base-caso-1</t>
  </si>
  <si>
    <t xml:space="preserve">El consumo de tabaco incrementa el riesgo de cáncer de colon.</t>
  </si>
  <si>
    <t xml:space="preserve">El consumo de alcohol incrementa el riesgo de cáncer de colon.</t>
  </si>
  <si>
    <t xml:space="preserve">La obesidad no ha mostrado ser un factor de riesgo para el desarrollo del cáncer de colon.</t>
  </si>
  <si>
    <t xml:space="preserve">El ejercicio físico regular es un factor que reduce el riesgo de cáncer de colon.</t>
  </si>
  <si>
    <t xml:space="preserve">El cáncer de colon incrementa claramente su incidencia a partir de los 50.</t>
  </si>
  <si>
    <t xml:space="preserve">El cáncer de colon presenta la misma incidencia en cualquier edad.</t>
  </si>
  <si>
    <t xml:space="preserve">La edad no es un factor de riesgo determinante en el desarrollo del cáncer de colon.</t>
  </si>
  <si>
    <t xml:space="preserve">La edad es el único factor de riesgo determinante para el desarrollo de un cáncer colorrectal y no existen otros factores moduladores significativos.</t>
  </si>
  <si>
    <t xml:space="preserve">La dieta rica en carnes rojas y procesadas disminuye el riesgo de CCR.</t>
  </si>
  <si>
    <t xml:space="preserve">La dieta rica en frutas y vegetales disminuye el riesgo de CCR.</t>
  </si>
  <si>
    <t xml:space="preserve">La dieta rica en grasas y la obesidad disminuyen el riesgo de CCR.</t>
  </si>
  <si>
    <t xml:space="preserve">No se debe recomendar retirar el consumo de tabaco y de alcohol para prevenir el CCR.</t>
  </si>
  <si>
    <t xml:space="preserve">No tiene criterios para participar ya que solo se incluyen los pacientes de entre 60 y 75 años.</t>
  </si>
  <si>
    <t xml:space="preserve">Cumple criterios para ser incluido en el programa de cribado del CCR.</t>
  </si>
  <si>
    <t xml:space="preserve">La ausencia de antecedentes familiares es un criterio de exclusión del programa de cribado del CCR.</t>
  </si>
  <si>
    <t xml:space="preserve">La ausencia de síntomas es un criterio de exclusión del programa de cribado del CCR.</t>
  </si>
  <si>
    <t xml:space="preserve">No se debe ofrecer ningún tipo de prueba complementaria.</t>
  </si>
  <si>
    <t xml:space="preserve">Se debe ofrecer al paciente hacer una segunda determinación de SOH.</t>
  </si>
  <si>
    <t xml:space="preserve">Se debe ofrecer al paciente hacer una colonoscopia.</t>
  </si>
  <si>
    <t xml:space="preserve">Si no hay síntomas no es necesario hacer una colonoscopia.</t>
  </si>
  <si>
    <t xml:space="preserve">Deben ser procedimientos hechos por endoscopistas de alta cualificación para poder detectar y tratar las lesiones.</t>
  </si>
  <si>
    <t xml:space="preserve">Se deben hacer en gabinetes con programación específica separada de las endoscopias de rutina.</t>
  </si>
  <si>
    <t xml:space="preserve">Se debe disponer de equipamientos de la máxima calidad para optimizar la detección de las lesiones.</t>
  </si>
  <si>
    <t xml:space="preserve">Las endoscopias del programa de cribado pueden hacerse en cualquier gabinete y por cualquier tipo de endoscopista independientemente de su tasa de detección de adenomas.</t>
  </si>
  <si>
    <t xml:space="preserve">Se debe repetir la colonoscopia para conseguir una puntuación total de 6 puntos (o superior) con un mínimo de dos puntos en cada tramo.</t>
  </si>
  <si>
    <t xml:space="preserve">Se debe repetir la colonoscopia para conseguir una puntuación total de 6 puntos (o superior), independientemente de la puntuación de cada tramo.</t>
  </si>
  <si>
    <t xml:space="preserve">No se debe repetir la colonoscopia, este grado de limpieza del colon es adecuado.</t>
  </si>
  <si>
    <t xml:space="preserve">El grado de limpieza del colon no es un factor determinante para la tasa de detección de adenomas ni para evitar la neoplasia de intervalo.</t>
  </si>
  <si>
    <t xml:space="preserve">Se requiere un tratamiento quirúrgico complementario para asegurar la curación de la lesión.</t>
  </si>
  <si>
    <t xml:space="preserve">La lesión ha quedado curada tras la resección endoscópica.</t>
  </si>
  <si>
    <t xml:space="preserve">Se debe repetir la colonoscopia de inmediato para revisar la escara de la polipectomía dado el riesgo alto de lesión residual.</t>
  </si>
  <si>
    <t xml:space="preserve">Se debe hacer una TC abdominal complementaria como estudio de la extensión de la lesión.</t>
  </si>
  <si>
    <t xml:space="preserve">Se requiere una revisión endoscópica en 6 meses.</t>
  </si>
  <si>
    <t xml:space="preserve">No requiere una revisión endoscópica ya que se trata de una lesión de riesgo bajo.</t>
  </si>
  <si>
    <t xml:space="preserve">Este paciente será susceptible de una colonoscopia anual a partir de ahora.</t>
  </si>
  <si>
    <t xml:space="preserve">Una revisión endoscópica dentro de tres años es suficiente.</t>
  </si>
  <si>
    <t xml:space="preserve">Es susceptible de endoscopia de forma inmediata.</t>
  </si>
  <si>
    <t xml:space="preserve">No requiere ningún tipo de procedimiento dada la edad y la ausencia de clínica asociada.</t>
  </si>
  <si>
    <t xml:space="preserve">En este caso se recomienda el control por medio de una SOH bianual.</t>
  </si>
  <si>
    <t xml:space="preserve">Se le debe ofrecer una colonoscopia anual como herramienta de prevención más eficaz a nivel de coste.</t>
  </si>
  <si>
    <t xml:space="preserve">No requiere una colonoscopia porque tiene una de hace siete años.</t>
  </si>
  <si>
    <t xml:space="preserve">Requiere colonoscopia por la clínica que presenta para descartar un CCR.</t>
  </si>
  <si>
    <t xml:space="preserve">En este caso basta con un análisis de SOH.</t>
  </si>
  <si>
    <t xml:space="preserve">La exploración inicial debe ser una ecografía abdominal.</t>
  </si>
  <si>
    <t xml:space="preserve">Estadio T3N1M1.</t>
  </si>
  <si>
    <t xml:space="preserve">Estadio T2N0M0.</t>
  </si>
  <si>
    <t xml:space="preserve">Estadio T1N0M0.</t>
  </si>
  <si>
    <t xml:space="preserve">Estadio T2N1M0.</t>
  </si>
  <si>
    <t xml:space="preserve">Requiere tratamiento quirúrgico mediante resección abdominoperineal.</t>
  </si>
  <si>
    <t xml:space="preserve">La única opción válida es hacer una mucosectomía convencional en fragmentos.</t>
  </si>
  <si>
    <t xml:space="preserve">Es susceptible de una resección en bloque mediante una disección endoscópica submucosa.</t>
  </si>
  <si>
    <t xml:space="preserve">Requiere un tratamiento neoadyuvante mediante quimioterapia y radioterapia antes del tratamiento.</t>
  </si>
  <si>
    <t xml:space="preserve">La resección endoscópica ha sido curativa.</t>
  </si>
  <si>
    <t xml:space="preserve">Se requiere un tratamiento quirúrgico complementario para completar el tratamlento.</t>
  </si>
  <si>
    <t xml:space="preserve">Se requiere quimioterapia y radioterapia adyuvantes.</t>
  </si>
  <si>
    <t xml:space="preserve">La resección endoscópica no muestra criterios para considerar que haya sido curativa.</t>
  </si>
  <si>
    <t xml:space="preserve">No requiere una revisión endoscópica.</t>
  </si>
  <si>
    <t xml:space="preserve">Requiere únicamente que se le hagan rectosigmoidoscopias de control.</t>
  </si>
  <si>
    <t xml:space="preserve">Requiere un control endoscópico de forma precoz, que es aceptable a los seis meses.</t>
  </si>
  <si>
    <t xml:space="preserve">Requiere un control endoscópico a los tres años.</t>
  </si>
  <si>
    <t xml:space="preserve">Si es factible, la resección endoscópica de las lesiones ha de ser el tratamiento de elección.</t>
  </si>
  <si>
    <t xml:space="preserve">El paciente cumple criterios para hacer una colectomía total con ileostomía.</t>
  </si>
  <si>
    <t xml:space="preserve">Basta hacer el seguimiento de las lesiones sin necesidad de plantear la resección.</t>
  </si>
  <si>
    <t xml:space="preserve">Se debe hacer un estudio genético antes de plantear cualquier tipo de tratamiento de las lesiones descritas.</t>
  </si>
  <si>
    <t xml:space="preserve">No tiene indicación para ser remitido a una consulta de riesgo alto de cáncer colorrectal.</t>
  </si>
  <si>
    <t xml:space="preserve">Puede ser susceptible de un estudio genético complementario.</t>
  </si>
  <si>
    <t xml:space="preserve">El resultado del estudio genético es indispensable para el manejo clínico.</t>
  </si>
  <si>
    <t xml:space="preserve">El estudio genético tiene probabilidades altas de ser patológico.</t>
  </si>
  <si>
    <t xml:space="preserve">Poliposis adenomatosa familiar clásica.</t>
  </si>
  <si>
    <t xml:space="preserve">Poliposis adenomatosa familiar atenuada.</t>
  </si>
  <si>
    <t xml:space="preserve">Síndrome de Lynch.</t>
  </si>
  <si>
    <t xml:space="preserve">Síndrome de Lynch-like.</t>
  </si>
  <si>
    <t xml:space="preserve">No tiene relevancia a la hora de tomar decisiones durante la endoscopia.</t>
  </si>
  <si>
    <t xml:space="preserve">Es aconsejable utilizarla cuando se caracterizan lesiones endoscópicas antes de la resección.</t>
  </si>
  <si>
    <t xml:space="preserve">Su uso tiene relevancia para tomar decisiones durante la endoscopia.</t>
  </si>
  <si>
    <t xml:space="preserve">La respuestas b) y c) son correctas.</t>
  </si>
  <si>
    <t xml:space="preserve">Con este resultado se puede considerar que no existe alteración de la inmunohistoquímica y se puede descartar el síndrome de Lynch.</t>
  </si>
  <si>
    <t xml:space="preserve">Existe déficit de expresión de MSH6 por lo que se debe continuar el estudio por un posible síndrome de Lynch.</t>
  </si>
  <si>
    <t xml:space="preserve">Se trata de un resultado típico de la poliposis adenomatosa familiar.</t>
  </si>
  <si>
    <t xml:space="preserve">Se trata de un resultado típico del síndrome de poliposis serrada.</t>
  </si>
  <si>
    <t xml:space="preserve">Poliposis adenomatosa familiar.</t>
  </si>
  <si>
    <t xml:space="preserve">Síndrome X.</t>
  </si>
  <si>
    <t xml:space="preserve">Todos los familiares de primer grado del caso índice requieren colonoscopia anual de forma obligatoria.</t>
  </si>
  <si>
    <t xml:space="preserve">Se debe hacer un estudio de manifestaciones extracolónicas mediante pantomografía y un estudio del fondo de ojo.</t>
  </si>
  <si>
    <t xml:space="preserve">La ausencia de mutación genética identificada indica la no existencia de un riesgo de cáncer de colon mayor en esta familia.</t>
  </si>
  <si>
    <t xml:space="preserve">Todas las respuestas anteriores son falsas.</t>
  </si>
  <si>
    <t xml:space="preserve">caso-2</t>
  </si>
  <si>
    <t xml:space="preserve">[BASE CLINICAL CONTEXT: illes-balears-2022-base-caso-2]
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t>
  </si>
  <si>
    <t xml:space="preserve">El paciente que presenta síntomas típicos de enfermedad por reflujo puede diagnosticarse a partir de la historia clínica y generalmente no requiere otras investigaciones.</t>
  </si>
  <si>
    <t xml:space="preserve">La endoscopia digestiva está indicada como método diagnóstico inicial en todos los pacientes que muestran síntomas típicos de ERGE.</t>
  </si>
  <si>
    <t xml:space="preserve">El ensayo terapéutico con inhibidores de la bomba de protones (IBP) tiene valor diagnóstico en los pacientes con síntomas típicos de ERGE.</t>
  </si>
  <si>
    <t xml:space="preserve">La pH-metría está indicada para investigar la presencia de reflujo en los pacientes que no responden al tratamiento empírico y presentan una endoscopia negativa.</t>
  </si>
  <si>
    <t xml:space="preserve">illes-balears-2022-base-caso-2</t>
  </si>
  <si>
    <t xml:space="preserve">CONTINUES THE ACTIVE CONTEXT: illes-balears-2022-base-caso-2</t>
  </si>
  <si>
    <t xml:space="preserve">Las modificaciones en el estilo de vida son fundamentales en el manejo de la enfermedad por reflujo gastroesofágico.</t>
  </si>
  <si>
    <t xml:space="preserve">La disfagia debe considerarse un síntoma de alarma para valorar hacer una gastroscopia.</t>
  </si>
  <si>
    <t xml:space="preserve">Se puede considerar suspender el tratamiento médico en pacientes con ERGE no complicado que responden a ocho semanas de tratamiento con inhibidores de la bomba de protones.</t>
  </si>
  <si>
    <t xml:space="preserve">En los pacientes con gastroscopia normal y con pirosis que no responden al tratamiento médico con inhibidores de la bomba de protones, se debe descartar una enfermedad por reflujo gastroesofágico y no se deben hacer otros estudios.</t>
  </si>
  <si>
    <t xml:space="preserve">La hipotonía del esfínter esofágico inferior es un factor predisponente.</t>
  </si>
  <si>
    <t xml:space="preserve">Las relajaciones transitorias del esfínter esofágico inferior pueden ser responsables de hasta el 60 % de los episodios de reflujo gastroesofágico (RGE).</t>
  </si>
  <si>
    <t xml:space="preserve">Las alteraciones de la motilidad del cuerpo esofágico no influyen en el reflujo gastroesofágico.</t>
  </si>
  <si>
    <t xml:space="preserve">El vaciamiento gástrico es otro factor que hay que tener en cuenta.</t>
  </si>
  <si>
    <t xml:space="preserve">La enfermedad por reflujo gastroesofágico no erosivo supone menos del 50 % de todos los casos de reflujo.</t>
  </si>
  <si>
    <t xml:space="preserve">No hay diferencias en la gravedad de la pirosis entre los diferentes fenotipos de reflujo gastroesofágico.</t>
  </si>
  <si>
    <t xml:space="preserve">El reflujo no erosivo se asocia a exposiciones normales de ácido en el esófago sin lesiones de la mucosa esofágica.</t>
  </si>
  <si>
    <t xml:space="preserve">La enfermedad por reflujo gastroesofágico erosiva es más frecuente que la no erosiva y se clasifica según la clasificación de Los Ángeles.</t>
  </si>
  <si>
    <t xml:space="preserve">La sensibilidad en el diagnóstico de la enfermedad por reflujo gastroesofágico es escasa.</t>
  </si>
  <si>
    <t xml:space="preserve">Existe una buena correlación entre la intensidad o la frecuencia de los síntomas de ERGE y la gravedad de las lesiones endoscópicas.</t>
  </si>
  <si>
    <t xml:space="preserve">La biopsia esofágica añade poca información a la endoscopia en la valoración de la esofagitis.</t>
  </si>
  <si>
    <t xml:space="preserve">La endoscopia de seguimiento es generalmente innecesaria y solo está indicada en determinados casos (pacientes que no responden al tratamiento, control de esofagitis por reflujo grado C-D, seguimiento de esófago de Barrett, necesidad de biopsias para clarificar el diagnóstico).</t>
  </si>
  <si>
    <t xml:space="preserve">Supone una o más lesiones de la mucosa, igual o menor de 5 mm de longitud, sin confluencia.</t>
  </si>
  <si>
    <t xml:space="preserve">Supone una o más lesiones de la mucosa, con confluencia y afectación de más del 75 % de la circunferencia esofágica.</t>
  </si>
  <si>
    <t xml:space="preserve">Supone una o más lesiones de la mucosa, con confluencia y afectación menor del 75 % de la circunferencia del esófago.</t>
  </si>
  <si>
    <t xml:space="preserve">Supone una o más lesiones de la mucosa, superior a 5 mm de longitud, sin confluencia.</t>
  </si>
  <si>
    <t xml:space="preserve">Manometría de alta resolución.</t>
  </si>
  <si>
    <t xml:space="preserve">PH-metría ambulatoria 24 h de doble canal.</t>
  </si>
  <si>
    <t xml:space="preserve">Impedancia intraluminal multicanal asociada a pH-metría.</t>
  </si>
  <si>
    <t xml:space="preserve">Bilitec™.</t>
  </si>
  <si>
    <t xml:space="preserve">Se basa en la medida de los cambios de la resistencia al paso de una corriente eléctrica entre dos electrodos que surgen como consecuencia de modificaciones funcionales o estructurales en el esófago.</t>
  </si>
  <si>
    <t xml:space="preserve">Permite detectar reflujo líquido, gas y combinado de gas y líquido.</t>
  </si>
  <si>
    <t xml:space="preserve">No interfiere su interpretación si hay alteraciones de la motilidad o histológicas del esófago.</t>
  </si>
  <si>
    <t xml:space="preserve">Es una técnica indicada en pacientes con síntomas laringofaríngeos o respiratorios de causa no clara.</t>
  </si>
  <si>
    <t xml:space="preserve">Tabaquismo.</t>
  </si>
  <si>
    <t xml:space="preserve">Historia familiar de cáncer de esófago.</t>
  </si>
  <si>
    <t xml:space="preserve">Obesidad central.</t>
  </si>
  <si>
    <t xml:space="preserve">Edad superior a 50 años sin diferencia de sexo y raza.</t>
  </si>
  <si>
    <t xml:space="preserve">La mayoría de las sociedades científicas necesitan la presencia de metaplasia intestinal para el diagnóstico del esófago de Barrett.</t>
  </si>
  <si>
    <t xml:space="preserve">Se recomienda usar endoscopios de alta definición con luz blanca para la vigilancia endoscópica del esófago de Barrett.</t>
  </si>
  <si>
    <t xml:space="preserve">Siempre se aconseja biopsiar un esófago de Barrett en presencia de esofagitis por reflujo.</t>
  </si>
  <si>
    <t xml:space="preserve">No se recomienda el uso rutinario de cromoendoscopia, endoscopia de autofluoresencia o endomicroscopia láser focal para el diagnóstico del esófago de Barrett.</t>
  </si>
  <si>
    <t xml:space="preserve">Los criterios de Praga de extensión longitudinal y circunferencial (CM).</t>
  </si>
  <si>
    <t xml:space="preserve">La presencia y la localización de algún área sospechosa así como su tamaño y morfología (clasificación de Paris).</t>
  </si>
  <si>
    <t xml:space="preserve">Presencia o no de lesiones de esofagitis por reflujo.</t>
  </si>
  <si>
    <t xml:space="preserve">Todas las respuestas anteriores son correctas.</t>
  </si>
  <si>
    <t xml:space="preserve">El extremo proximal de la afectación longitudinal y circunferencial del epitelio de Barrett (CM).</t>
  </si>
  <si>
    <t xml:space="preserve">La longitud del esófago.</t>
  </si>
  <si>
    <t xml:space="preserve">El hiato diafragmático.</t>
  </si>
  <si>
    <t xml:space="preserve">La unión esofagogástrica.</t>
  </si>
  <si>
    <t xml:space="preserve">Se deben hacer biopsias de forma aleatoria de cualquier sitio.</t>
  </si>
  <si>
    <t xml:space="preserve">Se deben hacer biopsias en botes separados de los cuatro cuadrantes cada 2 cm de esófago de Barrett o cada 1 cm si hay displasia severa previa.</t>
  </si>
  <si>
    <t xml:space="preserve">Solo se deben biopsiar las áreas sospechosas.</t>
  </si>
  <si>
    <t xml:space="preserve">Se deben hacer biopsias de los cuatro cuadrantes por cada centímetro de Barrett en botes separados.</t>
  </si>
  <si>
    <t xml:space="preserve">En general depende de la extensión del Barrett y de la presencia o no de displasia.</t>
  </si>
  <si>
    <t xml:space="preserve">El esófago de Barrett sin displasia requiere un seguimiento de entre tres y cinco años según las diferentes sociedades científicas.</t>
  </si>
  <si>
    <t xml:space="preserve">Ante el hallazgo de displasia indefinida se recomienda una revisión endoscópica en dos años.</t>
  </si>
  <si>
    <t xml:space="preserve">La displasia de grado bajo detectada en el seguimiento endoscópico debe ser confirmada por un segundo patólogo o por un patólogo experto.</t>
  </si>
  <si>
    <t xml:space="preserve">Los síntomas de reflujo entre los pacientes de Barrett deben tratarse de manera similar a los pacientes con ERGE.</t>
  </si>
  <si>
    <t xml:space="preserve">La cirugía antirreflujo se considera una opción más eficaz que el tratamiento médico con IBP para los pacientes con esófago de Barrett.</t>
  </si>
  <si>
    <t xml:space="preserve">La evolución de las modalidades de tratamiento endoscópico mínimamente invasivo ha cambiado el paradigma de tratamiento para la neoplasia relacionada con el esófago de Barrett (EB).</t>
  </si>
  <si>
    <t xml:space="preserve">Si se diagnostica cáncer en fase precoz o displasia de grado alto, la terapia endoscópica es el tratamiento de elección con mejor perfil de seguridad y con eficacia similar en comparación con la esofagectomía.</t>
  </si>
  <si>
    <t xml:space="preserve">La terapia endoscópica se basa en un concepto de dos pasos: las lesiones visibles se extirpan endoscópicamente y el EB plano restante se ablaciona para prevenir la neoplasia metacrónica.</t>
  </si>
  <si>
    <t xml:space="preserve">La ablación por radiofrecuencia es coste-efectiva en todos los casos de esófago de Barrett de longitud larga (superior a 5 cm).</t>
  </si>
  <si>
    <t xml:space="preserve">Los pacientes con esófago de Barrett con displasia confirmada sin lesiones visibles pueden someterse a una ablación por radiofrecuencia.</t>
  </si>
  <si>
    <t xml:space="preserve">La repetición de la endoscopia antes de planificar un tratamiento en un centro experto con endoscopistas y patólogos experimentados proporciona un diagnóstico final más fiable.</t>
  </si>
  <si>
    <t xml:space="preserve">Planificar una resección endoscópica de la lesión con displasia de grado alto y posteriormente una ablación con radiofrecuencia de todo el esófago de Barrett.</t>
  </si>
  <si>
    <t xml:space="preserve">Hacer directamente una ablación con radiofrecuencia ante la evidencia de displasia.</t>
  </si>
  <si>
    <t xml:space="preserve">Proponer una esofagectomía ante la evidencia de displasia de grado alto.</t>
  </si>
  <si>
    <t xml:space="preserve">Repetir la endoscopia para confirmar la displasia por parte de un patólogo experto y actuar según el resultado.</t>
  </si>
  <si>
    <t xml:space="preserve">El aspecto macroscópico de la lesión visible según la clasificación de Paris se asocia al riesgo de infiltración en profundidad y al riesgo de metástasis linfáticas.</t>
  </si>
  <si>
    <t xml:space="preserve">La mucosectomía multibanda es la técnica más usada para la resección endoscópica en los países occidentales.</t>
  </si>
  <si>
    <t xml:space="preserve">La disección submucosa es la preferida para lesiones sospechosas de invasión submucosa o de más tamaño para conseguir resecciones en bloque y radicales.</t>
  </si>
  <si>
    <t xml:space="preserve">El riesgo de diseminación linfática si hay invasión submucosa es superior a un 40 % por lo que se debe proponer una esofaguectomía.</t>
  </si>
  <si>
    <t xml:space="preserve">Los factores pronósticos del tumor son favorables por lo que se debe discutir en un equipo multidisciplinar para decidir la actitud terapéutica.</t>
  </si>
  <si>
    <t xml:space="preserve">Se debe plantear directamente hacer radioterapia por el riesgo de invasión linfática.</t>
  </si>
  <si>
    <t xml:space="preserve">La quimioterapia adyuvante está indicada tras la resección endoscópica.</t>
  </si>
  <si>
    <t xml:space="preserve">Las sociedades científicas recomiendan la RFA como terapia de primera línea para la ablación de EB displásico o EB después de la resección de lesiones visibles.</t>
  </si>
  <si>
    <t xml:space="preserve">La ablación por radiofrecuencia erradica eficazmente el esófago de Barrett displásico (BE) y reduce el riesgo metacrónico del adenocarcinoma esofágico (EAC).</t>
  </si>
  <si>
    <t xml:space="preserve">La tasa de complicaciones es aceptablemente baja (del 6 al 14 % de estenosis).</t>
  </si>
  <si>
    <t xml:space="preserve">Una vez hecha la ablación por RFA no necesita ningún seguimiento endoscópico por la recurrencia baja de displasia.</t>
  </si>
  <si>
    <t xml:space="preserve">Presencia de hernia de hiato.</t>
  </si>
  <si>
    <t xml:space="preserve">Hábito tabáquico.</t>
  </si>
  <si>
    <t xml:space="preserve">Displasia de riesgo alto en la presentación inicial.</t>
  </si>
  <si>
    <t xml:space="preserve">Raza caucásica.</t>
  </si>
  <si>
    <t xml:space="preserve">El riesgo de desarrollar un adenocarcinoma de esófago si hay displasia de grado alto es de un 7 % /año.</t>
  </si>
  <si>
    <t xml:space="preserve">El riesgo de desarrollar un adenocarcinoma de esófago si no hay displasia es de un 0,2-0,5 % /año.</t>
  </si>
  <si>
    <t xml:space="preserve">Los pacientes que desarrollan un adenocarcinoma de esófago sobre un esófago de Barrett conocido tienen mejor pronóstico que los que lo desarrollan sin el diagnóstico previo de Barrett.</t>
  </si>
  <si>
    <t xml:space="preserve">La incidencia de adenocarcinoma de esófago está disminuyendo gracias a los avances diagnósticos.</t>
  </si>
  <si>
    <t xml:space="preserve">Argón plasma coagulation.</t>
  </si>
  <si>
    <t xml:space="preserve">Crioterapia.</t>
  </si>
  <si>
    <t xml:space="preserve">Terapia fotodinámica.</t>
  </si>
  <si>
    <t xml:space="preserve">Termoterapia por microondas.</t>
  </si>
  <si>
    <t xml:space="preserve">caso-3</t>
  </si>
  <si>
    <t xml:space="preserve">[BASE CLINICAL CONTEXT: illes-balears-2022-base-caso-3]
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t>
  </si>
  <si>
    <t xml:space="preserve">Pancreatitis aguda de etiología enólica.</t>
  </si>
  <si>
    <t xml:space="preserve">Hepatitis alcohólica aguda.</t>
  </si>
  <si>
    <t xml:space="preserve">Pancreatitis crónica calcificante.</t>
  </si>
  <si>
    <t xml:space="preserve">Fibrosis quística.</t>
  </si>
  <si>
    <t xml:space="preserve">illes-balears-2022-base-caso-3</t>
  </si>
  <si>
    <t xml:space="preserve">CONTINUES THE ACTIVE CONTEXT: illes-balears-2022-base-caso-3</t>
  </si>
  <si>
    <t xml:space="preserve">Es imprescindible disponer de un análisis histológico.</t>
  </si>
  <si>
    <t xml:space="preserve">La historia clínica, los datos analíticos y las pruebas de imagen son suficientes para establecer el diagnóstico.</t>
  </si>
  <si>
    <t xml:space="preserve">Es imprescindible hacer una colangiopancreatografía retrógrada endoscópica (CPRE).</t>
  </si>
  <si>
    <t xml:space="preserve">Si no presenta nuevos episodios de pancreatitis aguda hay que dudar del diagnóstico inicial.</t>
  </si>
  <si>
    <t xml:space="preserve">CPRE.</t>
  </si>
  <si>
    <t xml:space="preserve">Colangiopancreatografía por resonancia magnética.</t>
  </si>
  <si>
    <t xml:space="preserve">Ecografía abdominal.</t>
  </si>
  <si>
    <t xml:space="preserve">TC abdominal.</t>
  </si>
  <si>
    <t xml:space="preserve">Balthazar.</t>
  </si>
  <si>
    <t xml:space="preserve">Rosemont.</t>
  </si>
  <si>
    <t xml:space="preserve">Atlanta.</t>
  </si>
  <si>
    <t xml:space="preserve">TIGAR-O.</t>
  </si>
  <si>
    <t xml:space="preserve">Calprotectina fecal.</t>
  </si>
  <si>
    <t xml:space="preserve">Elastasa fecal pancreática.</t>
  </si>
  <si>
    <t xml:space="preserve">Test de sobrecrecimiento bacteriano.</t>
  </si>
  <si>
    <t xml:space="preserve">Test de intolerancia a la lactosa.</t>
  </si>
  <si>
    <t xml:space="preserve">El peso actual es suficiente para evaluar su estado nutricional.</t>
  </si>
  <si>
    <t xml:space="preserve">Peso, índice de masa corporal y determinación de vitaminas liposolubles y otros micronutrientes (magnesio, zinc y vitamina B12).</t>
  </si>
  <si>
    <t xml:space="preserve">Glucosa, calcio y hematocrito.</t>
  </si>
  <si>
    <t xml:space="preserve">Proteinograma, función renal e iones.</t>
  </si>
  <si>
    <t xml:space="preserve">[CLINICAL TRANSITION: illes-balears-2022-caso-3-transition-01]
Las pruebas para determinar la insuficiencia pancreática exocrina demuestran una insuficiencia pancreática exocrina (IPE) grave.</t>
  </si>
  <si>
    <t xml:space="preserve">Osteoporosis.</t>
  </si>
  <si>
    <t xml:space="preserve">Osteopenia.</t>
  </si>
  <si>
    <t xml:space="preserve">Alteración de la agudeza visual.</t>
  </si>
  <si>
    <t xml:space="preserve">illes-balears-2022-base-caso-3, illes-balears-2022-caso-3-transition-01</t>
  </si>
  <si>
    <t xml:space="preserve">CONTINUES THE ACTIVE CONTEXT: illes-balears-2022-base-caso-3 → illes-balears-2022-caso-3-transition-01</t>
  </si>
  <si>
    <t xml:space="preserve">Debe iniciarse un tratamiento enzimático sustitutivo solo si tiene dolor abdominal.</t>
  </si>
  <si>
    <t xml:space="preserve">Debe iniciarse un tratamiento enzimático sustitutivo cuando presente otro episodio de pancreatitis aguda.</t>
  </si>
  <si>
    <t xml:space="preserve">Debe iniciarse inmediatamente un tratamiento enzimático sustitutivo.</t>
  </si>
  <si>
    <t xml:space="preserve">No debe iniciarse un tratamiento enzimático sustitutivo porque el paciente no tiene antecedentes de cirugía pancreática.</t>
  </si>
  <si>
    <t xml:space="preserve">20.000 U en desayuno, comida y cena.</t>
  </si>
  <si>
    <t xml:space="preserve">10.000 U en el desayuno, comida y cena y 10.000 U en los snacks.</t>
  </si>
  <si>
    <t xml:space="preserve">50.000 U en la comida principal.</t>
  </si>
  <si>
    <t xml:space="preserve">50.000 U en desayuno, comida y cena y 25.000 U en los snacks.</t>
  </si>
  <si>
    <t xml:space="preserve">Suspender definitivamente el tratamiento enzimático y hacer una colonoscopia.</t>
  </si>
  <si>
    <t xml:space="preserve">Aumentar la dosis de enzimas pancreáticas y añadir inhibidores de la bomba de protones al TES.</t>
  </si>
  <si>
    <t xml:space="preserve">Retirar el gluten de la dieta.</t>
  </si>
  <si>
    <t xml:space="preserve">Solicitar marcadores tumorales (CA 19-9 y CEA).</t>
  </si>
  <si>
    <t xml:space="preserve">...presenta más riesgo de cáncer de colon.</t>
  </si>
  <si>
    <t xml:space="preserve">...no presenta más riesgo de eventos cardiovasculares.</t>
  </si>
  <si>
    <t xml:space="preserve">...presenta más riesgo de sobrecrecimiento bacteriano en el intestino delgado (SIBO).</t>
  </si>
  <si>
    <t xml:space="preserve">...presenta el mismo riesgo de mortalidad que un paciente sin IPE.</t>
  </si>
  <si>
    <t xml:space="preserve">Es suficiente la mejoría sintomática y la normalización de los parámetros nutricionales.</t>
  </si>
  <si>
    <t xml:space="preserve">Debe hacerse una determinación de elastasa fecal cada mes.</t>
  </si>
  <si>
    <t xml:space="preserve">Tras la mejoría inicial, debe retirarse el TES para confirmar el empeoramiento de los síntomas si se retira.</t>
  </si>
  <si>
    <t xml:space="preserve">Debe hacerse una TC abdominal para comprobar si han mejorado las calcificaciones pancreáticas.</t>
  </si>
  <si>
    <t xml:space="preserve">Por medio de una TC abdominal cada tres meses.</t>
  </si>
  <si>
    <t xml:space="preserve">No hay una estrategia definida para la detección del cáncer de páncreas en estos pacientes.</t>
  </si>
  <si>
    <t xml:space="preserve">Por medio de la determinación de CA 19-9 cada dos meses.</t>
  </si>
  <si>
    <t xml:space="preserve">Por medio de la determinación de parámetros nutricionales cada tres meses.</t>
  </si>
  <si>
    <t xml:space="preserve">[CLINICAL TRANSITION: illes-balears-2022-caso-3-transition-02]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</si>
  <si>
    <t xml:space="preserve">Coledocolitiasis.</t>
  </si>
  <si>
    <t xml:space="preserve">Cáncer de páncreas.</t>
  </si>
  <si>
    <t xml:space="preserve">Estenosis biliar benigna.</t>
  </si>
  <si>
    <t xml:space="preserve">illes-balears-2022-base-caso-3, illes-balears-2022-caso-3-transition-01, illes-balears-2022-caso-3-transition-02</t>
  </si>
  <si>
    <t xml:space="preserve">[CLINICAL TRANSITION: illes-balears-2022-caso-3-transition-03]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</si>
  <si>
    <t xml:space="preserve">Drenaje por vía transparietohepática con colocación de un drenaje metálico no recubierto.</t>
  </si>
  <si>
    <t xml:space="preserve">CPRE con colocación de un drenaje metálico no recubierto.</t>
  </si>
  <si>
    <t xml:space="preserve">CPRE con citología de colédoco y colocación de un drenaje biliar de plástico.</t>
  </si>
  <si>
    <t xml:space="preserve">Drenaje interno-externo por vía transparietohepática y colocación posterior de un drenaje biliar de plástico por vía endoscópica.</t>
  </si>
  <si>
    <t xml:space="preserve">illes-balears-2022-base-caso-3, illes-balears-2022-caso-3-transition-01, illes-balears-2022-caso-3-transition-02, illes-balears-2022-caso-3-transition-03</t>
  </si>
  <si>
    <t xml:space="preserve">CONTINUES THE ACTIVE CONTEXT: illes-balears-2022-base-caso-3 → illes-balears-2022-caso-3-transition-01 → illes-balears-2022-caso-3-transition-02 → illes-balears-2022-caso-3-transition-03</t>
  </si>
  <si>
    <t xml:space="preserve">Debe solicitarse una ecoendoscopia con aspiración de aguja fina (PAAF) o fine needle biopsy (FNB) de la lesión.</t>
  </si>
  <si>
    <t xml:space="preserve">Una determinación de CA 19-9 es diagnóstica si los niveles duplican el valor normal.</t>
  </si>
  <si>
    <t xml:space="preserve">La vigilancia de la lesión por TC es suficiente dado que probablemente es una lesión inflamatoria.</t>
  </si>
  <si>
    <t xml:space="preserve">Si la citología de colédoco es negativa y el CA 19-9 normal se puede descartar con seguridad un adenocarcinoma pancreático.</t>
  </si>
  <si>
    <t xml:space="preserve">Un patrón heterogéneo predominantemente verde.</t>
  </si>
  <si>
    <t xml:space="preserve">Un patrón verde homogéneo.</t>
  </si>
  <si>
    <t xml:space="preserve">No nos ofrece ninguna orientación en cuanto a la naturaleza histológica de la lesión.</t>
  </si>
  <si>
    <t xml:space="preserve">Un patrón heterogéneo predominantemente azul.</t>
  </si>
  <si>
    <t xml:space="preserve">Con los datos de que disponemos debe indicarse una duodenopancreatectomía cefálica.</t>
  </si>
  <si>
    <t xml:space="preserve">Debe valorarse la resecabilidad de la lesión basándose en su tamaño.</t>
  </si>
  <si>
    <t xml:space="preserve">Debe valorarse la resecabilidad de la lesión en base a la afectación vascular arterial y venosa.</t>
  </si>
  <si>
    <t xml:space="preserve">Debe indicarse una intervención de Frey lo antes posible.</t>
  </si>
  <si>
    <t xml:space="preserve">Resecable.</t>
  </si>
  <si>
    <t xml:space="preserve">Borderline.</t>
  </si>
  <si>
    <t xml:space="preserve">Localmente avanzado.</t>
  </si>
  <si>
    <t xml:space="preserve">Metastásico.</t>
  </si>
  <si>
    <t xml:space="preserve">Los niveles de CA 19-9 se relacionan con el tamaño del tumor, la presencia de metástasis y el pronóstico del paciente.</t>
  </si>
  <si>
    <t xml:space="preserve">La monitorización del CA 19-9 es útil para evaluar la respuesta al tratamiento, especialmente en pacientes con niveles elevados.</t>
  </si>
  <si>
    <t xml:space="preserve">Un 75 % de la población no expresa el antígeno Lewis por lo que los niveles de CA 19-9 no son informativos en estos pacientes.</t>
  </si>
  <si>
    <t xml:space="preserve">Los niveles de CA 19-9 pueden elevarse en enfermedades pancreatobiliares benignas y en casos de obstrucción biliar.</t>
  </si>
  <si>
    <t xml:space="preserve">Pseudoquiste de páncreas.</t>
  </si>
  <si>
    <t xml:space="preserve">Trombosis esplénica.</t>
  </si>
  <si>
    <t xml:space="preserve">El paracetamol suele ser suficiente.</t>
  </si>
  <si>
    <t xml:space="preserve">El tratamiento enzimático sustitutivo ha demostrado un claro beneficio en la reducción del dolor.</t>
  </si>
  <si>
    <t xml:space="preserve">En el dolor neuropático, la evidencia en cuanto a la mejoría del dolor es clara para técnicas como el bloqueo del plexo celíaco, la estimulación de la medula espinal o la acupuntura.</t>
  </si>
  <si>
    <t xml:space="preserve">La gabapentina puede ser útil en el tratamiento del dolor neuropático.</t>
  </si>
  <si>
    <t xml:space="preserve">En un protocolo pancreático es la prueba de elección para la evaluación de un paciente con sospecha de adenocarcinoma pancreático.</t>
  </si>
  <si>
    <t xml:space="preserve">En comparación con la resonancia magnética, ofrece más detalles anatómicos de la relación del tumor con la vascularización.</t>
  </si>
  <si>
    <t xml:space="preserve">Normalmente aparece como una lesión hiperdensa comparada con el parénquima pancreático adyacente.</t>
  </si>
  <si>
    <t xml:space="preserve">La PET-TC no se utiliza habitualmente en el diagnóstico, pero puede ser útil en la detección de enfermedad metastásica oculta.</t>
  </si>
  <si>
    <t xml:space="preserve">Alcohol y tabaco.</t>
  </si>
  <si>
    <t xml:space="preserve">Pancreatitis hereditaria.</t>
  </si>
  <si>
    <t xml:space="preserve">Todas las respuestas anteriores son ciertas.</t>
  </si>
  <si>
    <t xml:space="preserve">caso-4</t>
  </si>
  <si>
    <t xml:space="preserve">[BASE CLINICAL CONTEXT: illes-balears-2022-base-caso-4]
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</si>
  <si>
    <t xml:space="preserve">Tuberculosis intestinal.</t>
  </si>
  <si>
    <t xml:space="preserve">Colitis microscópica.</t>
  </si>
  <si>
    <t xml:space="preserve">Enfermedad de Crohn.</t>
  </si>
  <si>
    <t xml:space="preserve">Colitis ulcerosa.</t>
  </si>
  <si>
    <t xml:space="preserve">illes-balears-2022-base-caso-4</t>
  </si>
  <si>
    <t xml:space="preserve">CONTINUES THE ACTIVE CONTEXT: illes-balears-2022-base-caso-4</t>
  </si>
  <si>
    <t xml:space="preserve">...criterios clínicos.</t>
  </si>
  <si>
    <t xml:space="preserve">...endoscopia.</t>
  </si>
  <si>
    <t xml:space="preserve">...anatomía patológica.</t>
  </si>
  <si>
    <t xml:space="preserve">La enfermedad de Crohn puede afectar a cualquier parte del tubo digestivo.</t>
  </si>
  <si>
    <t xml:space="preserve">En la colitis ulcerosa siempre hay afectación rectal.</t>
  </si>
  <si>
    <t xml:space="preserve">En la enfermedad de Crohn y en la colitis ulcerosa puede haber manifestaciones extraintestinales.</t>
  </si>
  <si>
    <t xml:space="preserve">En la colitis ulcerosa la inflamación intestinal es transmural.</t>
  </si>
  <si>
    <t xml:space="preserve">Edad.</t>
  </si>
  <si>
    <t xml:space="preserve">Estado general.</t>
  </si>
  <si>
    <t xml:space="preserve">Dolor abdominal.</t>
  </si>
  <si>
    <t xml:space="preserve">Número de deposiciones.</t>
  </si>
  <si>
    <t xml:space="preserve">Rx de tórax y prueba de Mantoux.</t>
  </si>
  <si>
    <t xml:space="preserve">Estudios microbiológicos.</t>
  </si>
  <si>
    <t xml:space="preserve">Colonoscopia.</t>
  </si>
  <si>
    <t xml:space="preserve">Resonancia magnética.</t>
  </si>
  <si>
    <t xml:space="preserve">Tránsito intestinal.</t>
  </si>
  <si>
    <t xml:space="preserve">Presencia de enfermedad perianal.</t>
  </si>
  <si>
    <t xml:space="preserve">Edad joven de inicio.</t>
  </si>
  <si>
    <t xml:space="preserve">Sexo masculino.</t>
  </si>
  <si>
    <t xml:space="preserve">Necesidad de corticoides en el primer brote.</t>
  </si>
  <si>
    <t xml:space="preserve">A1 L2 B2.</t>
  </si>
  <si>
    <t xml:space="preserve">A2 L3 B1.</t>
  </si>
  <si>
    <t xml:space="preserve">A3 L3 B2.</t>
  </si>
  <si>
    <t xml:space="preserve">A2 L1 B3.</t>
  </si>
  <si>
    <t xml:space="preserve">Antibióticos de amplio espectro.</t>
  </si>
  <si>
    <t xml:space="preserve">Inmunosupresores como la azatioprina.</t>
  </si>
  <si>
    <t xml:space="preserve">Corticoides.</t>
  </si>
  <si>
    <t xml:space="preserve">5-ASA.</t>
  </si>
  <si>
    <t xml:space="preserve">Curación mucosa.</t>
  </si>
  <si>
    <t xml:space="preserve">Cierre de fístulas.</t>
  </si>
  <si>
    <t xml:space="preserve">Mejorar la calidad de vida.</t>
  </si>
  <si>
    <t xml:space="preserve">Los corticoides sistémicos son útiles para la inducción de la respuesta y la remisión clínica en la enfermedad de Crohn activa moderada-grave.</t>
  </si>
  <si>
    <t xml:space="preserve">Los corticoides se utilizan como tratamiento de mantenimiento en la enfermedad de Crohn.</t>
  </si>
  <si>
    <t xml:space="preserve">La budesonida es útil para inducir la remisión clínica en pacientes con enfermedad de Crohn leve-moderada limitada al íleon y/o al colon ascendente.</t>
  </si>
  <si>
    <t xml:space="preserve">Los pacientes que toman corticoides a dosis altas tienen más riesgo de infecciones.</t>
  </si>
  <si>
    <t xml:space="preserve">La azatioprina se utiliza en monoterapia para inducir la remisión en el brote moderado-grave de la enfermedad de Crohn.</t>
  </si>
  <si>
    <t xml:space="preserve">Está contraindicada en el embarazo.</t>
  </si>
  <si>
    <t xml:space="preserve">Siempre se debe monitorizar la tiopurina metiltransferasa.</t>
  </si>
  <si>
    <t xml:space="preserve">La azatioprina está recomendada para el mantenimiento de la remisión en pacientes con enfermedad de Crohn corticodependiente.</t>
  </si>
  <si>
    <t xml:space="preserve">Determinación de Mantoux y QuantiFERON®.</t>
  </si>
  <si>
    <t xml:space="preserve">Hemograma y bioquímica completa.</t>
  </si>
  <si>
    <t xml:space="preserve">Serologías infecciosas.</t>
  </si>
  <si>
    <t xml:space="preserve">Tofacitinib.</t>
  </si>
  <si>
    <t xml:space="preserve">Ustekinumab.</t>
  </si>
  <si>
    <t xml:space="preserve">Vedolizumab.</t>
  </si>
  <si>
    <t xml:space="preserve">Infliximab.</t>
  </si>
  <si>
    <t xml:space="preserve">La presencia del alelo HLA-DQA1*05 confiere mayor riesgo de inmunogenicidad.</t>
  </si>
  <si>
    <t xml:space="preserve">La asociación con azatioprina disminuye el riesgo de inmunogenicidad.</t>
  </si>
  <si>
    <t xml:space="preserve">Siempre deben monitorizarse los niveles de biológicos.</t>
  </si>
  <si>
    <t xml:space="preserve">Los pacientes tratados con anti-TNFα tienen más riesgo de infecciones.</t>
  </si>
  <si>
    <t xml:space="preserve">En ocasiones la enfermedad perianal puede preceder al inicio de síntomas intestinales.</t>
  </si>
  <si>
    <t xml:space="preserve">El tratamiento quirúrgico es el tratamiento de elección de las fístulas.</t>
  </si>
  <si>
    <t xml:space="preserve">Los índices de actividad clínica de la enfermedad de Crohn (CDAI, Harvey-Bradshaw, Van Hees) no reflejan la gravedad de las lesiones perianales por lo que se requieren índices específicos.</t>
  </si>
  <si>
    <t xml:space="preserve">Los tratamientos anti-TNFα son eficaces en el tratamiento de las fístulas.</t>
  </si>
  <si>
    <t xml:space="preserve">Fumador.</t>
  </si>
  <si>
    <t xml:space="preserve">Tipo de cirugía.</t>
  </si>
  <si>
    <t xml:space="preserve">Patrón penetrante.</t>
  </si>
  <si>
    <t xml:space="preserve">Enfermedad perianal.</t>
  </si>
  <si>
    <t xml:space="preserve">A los 3 meses.</t>
  </si>
  <si>
    <t xml:space="preserve">A los 6 meses.</t>
  </si>
  <si>
    <t xml:space="preserve">A los 12 meses.</t>
  </si>
  <si>
    <t xml:space="preserve">No es necesario realizar una ileocolonoscopia después de la cirugía.</t>
  </si>
  <si>
    <t xml:space="preserve">Ileítis aftosa difusa con mucosa difusamente inflamada.</t>
  </si>
  <si>
    <t xml:space="preserve">Presencia de menos de cinco aftas en el íleon distal.</t>
  </si>
  <si>
    <t xml:space="preserve">Más de cinco aftas o lesiones ulceradas con mucosa normal entre las lesiones a menos de 1 cm de la anastomosis.</t>
  </si>
  <si>
    <t xml:space="preserve">Mucosa normal.</t>
  </si>
  <si>
    <t xml:space="preserve">Existe más riesgo de complicaciones gestacionales en las pacientes con enfermedad de Crohn activa durante el embarazo.</t>
  </si>
  <si>
    <t xml:space="preserve">Los corticoides son seguros en el embarazo.</t>
  </si>
  <si>
    <t xml:space="preserve">La utilización de metotrexato está absolutamente contraindicada durante el embarazo.</t>
  </si>
  <si>
    <t xml:space="preserve">Todas las mujeres con enfermedad inflamatoria intestinal tienen menos fertilidad que la población general.</t>
  </si>
  <si>
    <t xml:space="preserve">Budesonida.</t>
  </si>
  <si>
    <t xml:space="preserve">Tratamiento con anti-TNF$\alpha$.</t>
  </si>
  <si>
    <t xml:space="preserve">Antibióticos.</t>
  </si>
  <si>
    <t xml:space="preserve">Tiopurinas.</t>
  </si>
  <si>
    <t xml:space="preserve">La inducción se hace por vía endovenosa.</t>
  </si>
  <si>
    <t xml:space="preserve">Durante el tratamiento con vedolizumab se pueden administrar vacunas de virus vivos.</t>
  </si>
  <si>
    <t xml:space="preserve">Es más eficaz en pacientes naive de anti-TNF$\alpha$.</t>
  </si>
  <si>
    <t xml:space="preserve">La inmunogenicidad o formación de anticuerpos es infrecuente.</t>
  </si>
  <si>
    <t xml:space="preserve">Inhibe el TNFα.</t>
  </si>
  <si>
    <t xml:space="preserve">Se une a una integrina del endotelio intestinal.</t>
  </si>
  <si>
    <t xml:space="preserve">Inhibe los receptores JAK1 y JAK3.</t>
  </si>
  <si>
    <t xml:space="preserve">Se une a la subunidad p40 de la interleuquina12/23.</t>
  </si>
  <si>
    <t xml:space="preserve">caso-5</t>
  </si>
  <si>
    <t xml:space="preserve">[BASE CLINICAL CONTEXT: illes-balears-2022-base-caso-5]
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t>
  </si>
  <si>
    <t xml:space="preserve">La CU es un proceso inflamatorio crónico que característicamente afecta todo el espesor de la pared colónica.</t>
  </si>
  <si>
    <t xml:space="preserve">La afectación del recto se da en la mayoría de los pacientes.</t>
  </si>
  <si>
    <t xml:space="preserve">La afectación del íleon no descarta el diagnóstico de CU.</t>
  </si>
  <si>
    <t xml:space="preserve">Puede afectarse la totalidad del colon en general de forma continua.</t>
  </si>
  <si>
    <t xml:space="preserve">illes-balears-2022-base-caso-5</t>
  </si>
  <si>
    <t xml:space="preserve">CONTINUES THE ACTIVE CONTEXT: illes-balears-2022-base-caso-5</t>
  </si>
  <si>
    <t xml:space="preserve">La afectación es similar tanto en mujeres como en hombres.</t>
  </si>
  <si>
    <t xml:space="preserve">La edad de debut más frecuente son la segunda y la tercera década de la vida.</t>
  </si>
  <si>
    <t xml:space="preserve">La prevalencia es diferente según el grupo étnico estudiado.</t>
  </si>
  <si>
    <t xml:space="preserve">La prevalencia es más importante en países subdesarrollados.</t>
  </si>
  <si>
    <t xml:space="preserve">La afectación de familiares de primer grado aumenta el riesgo de desarrollar la patología.</t>
  </si>
  <si>
    <t xml:space="preserve">Se han detectado antígenos alimentarios específicos involucrados en la patogenia.</t>
  </si>
  <si>
    <t xml:space="preserve">El tabaco se considera un factor de riesgo.</t>
  </si>
  <si>
    <t xml:space="preserve">Las respuestas a) y b) son ciertas.</t>
  </si>
  <si>
    <t xml:space="preserve">El diagnóstico de la CU se establece por la suma de criterios clínicos, analíticos, endoscópicos e histológicos.</t>
  </si>
  <si>
    <t xml:space="preserve">La detección de ANCA+ por si sola confirma de forma absoluta el diagnóstico.</t>
  </si>
  <si>
    <t xml:space="preserve">La presencia del citomegalovirus detectado por inmunohistoquímica y PCR en las biopsias descarta el diagnóstico de CU.</t>
  </si>
  <si>
    <t xml:space="preserve">Las opciones a) y c) son correctas.</t>
  </si>
  <si>
    <t xml:space="preserve">Esteroides tópicos para inducir la remisión y no pautar un tratamiento de mantenimiento porque es el primer brote.</t>
  </si>
  <si>
    <t xml:space="preserve">Mesalazina en enemas para inducir la remisión y la pautar como tratamiento de mantenimiento.</t>
  </si>
  <si>
    <t xml:space="preserve">Mesalazina en enemas para inducir la remisión y no pautar tratamiento de mantenimiento porque es el primer brote.</t>
  </si>
  <si>
    <t xml:space="preserve">Prednisona oral para la remisión y mesalazina oral para el mantenimiento.</t>
  </si>
  <si>
    <t xml:space="preserve">[CLINICAL TRANSITION: illes-balears-2022-caso-5-transition-01]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t>
  </si>
  <si>
    <t xml:space="preserve">La extensión de la afectación mucosa se da en un 20 % de los pacientes en los cinco primeros años desde el diagnóstico.</t>
  </si>
  <si>
    <t xml:space="preserve">Los medicamentos antiinflamatorios no esteroides (AINES) están completamente contraindicados en la CU.</t>
  </si>
  <si>
    <t xml:space="preserve">Un 20 % de los pacientes de CU tendrán manifestaciones extraintestinales a lo largo de su vida.</t>
  </si>
  <si>
    <t xml:space="preserve">Las manifestaciones extraintestinales pueden aparecer antes que la enfermedad intestinal.</t>
  </si>
  <si>
    <t xml:space="preserve">illes-balears-2022-base-caso-5, illes-balears-2022-caso-5-transition-01</t>
  </si>
  <si>
    <t xml:space="preserve">CONTINUES THE ACTIVE CONTEXT: illes-balears-2022-base-caso-5 → illes-balears-2022-caso-5-transition-01</t>
  </si>
  <si>
    <t xml:space="preserve">La PCR no es un marcador sensible de actividad inflamatoria en la CU.</t>
  </si>
  <si>
    <t xml:space="preserve">Unos niveles de calprotectina fecal normales a los tres meses de conseguir una respuesta al tratamiento indican, muy probablemente, la curación mucosa.</t>
  </si>
  <si>
    <t xml:space="preserve">Unos niveles elevados de calprotectina fecal en un paciente asintomático suelen anticipar la actividad clínica de la CU.</t>
  </si>
  <si>
    <t xml:space="preserve">Puede asumirse que está en actividad moderada y que se pueden iniciar esteroides sistémicos vía oral para inducir la remisión.</t>
  </si>
  <si>
    <t xml:space="preserve">La presencia de colestasis disociada hace sospechar la colangitis esclerosante primaria (CEP) como manifestación extraintestinal ya que es la más frecuente en la CU.</t>
  </si>
  <si>
    <t xml:space="preserve">En este caso se debe completar el estudio con una nueva colonoscopia o una rectosigmoidoscopia con toma de biopsias y se deben descartar infecciones por citomegalovirus (CMV) o Clostridium.</t>
  </si>
  <si>
    <t xml:space="preserve">[CLINICAL TRANSITION: illes-balears-2022-caso-5-transition-02]
En el caso presentado se hizo una colonoscopia completa que mostró una progresión a pancolitis ulcerosa, se asumió el diagnóstico de brote moderado severo y se controló de manera ambulatoria.</t>
  </si>
  <si>
    <t xml:space="preserve">Los corticoides sistémicos vía oral deben ser la primera opción de tratamiento con un fuerte grado de recomendación en las guías de la European Crohn and Colitis Organization (ECCO) fundamentado en un nivel alto de evidencia en la literatura.</t>
  </si>
  <si>
    <t xml:space="preserve">Infliximab, adalimumab y golimumab no muestran diferencias significativas entre ellos y son recomendados como primera opción tras un fallo o una intolerancia a los esteroides.</t>
  </si>
  <si>
    <t xml:space="preserve">Vedolizumab, tofacitinib y ustekinumab están indicados para inducir la remisión en determinados supuestos.</t>
  </si>
  <si>
    <t xml:space="preserve">El ustekinumab inhibe la bioactividad de las interleuquinas humanas 12 y 23.</t>
  </si>
  <si>
    <t xml:space="preserve">illes-balears-2022-base-caso-5, illes-balears-2022-caso-5-transition-01, illes-balears-2022-caso-5-transition-02</t>
  </si>
  <si>
    <t xml:space="preserve">CONTINUES THE ACTIVE CONTEXT: illes-balears-2022-base-caso-5 → illes-balears-2022-caso-5-transition-01 → illes-balears-2022-caso-5-transition-02</t>
  </si>
  <si>
    <t xml:space="preserve">Mesalazina oral con dosis bajas de esteroides sistémicos.</t>
  </si>
  <si>
    <t xml:space="preserve">Fármacos anti-TNF.</t>
  </si>
  <si>
    <t xml:space="preserve">Las respuestas b) y c) son correctas.</t>
  </si>
  <si>
    <t xml:space="preserve">Se aconseja mantener el tratamiento que ha conseguido inducir la remisión.</t>
  </si>
  <si>
    <t xml:space="preserve">Para inducir la remisión, vedolizumab es superior a cualquier anti-TNF.</t>
  </si>
  <si>
    <t xml:space="preserve">Factores como la edad, antecedentes personales o comorbilidades (cardiopatía, neoplasias o infecciones graves) deben tenerse en cuenta a la hora de decidir el tratamiento para inducir la remisión y el mantenimiento en la CU moderada-grave.</t>
  </si>
  <si>
    <t xml:space="preserve">En el caso de los fármacos anti-TNF se aconseja añadir tiopurinas para mejorar la respuesta y la duración del tratamiento.</t>
  </si>
  <si>
    <t xml:space="preserve">Se dispone de evidencia científica para afirmar que los fármacos anti-TNF son mejores para inducir la remisión y mantener la respuesta que vedolizumab, ustekinumab y tofacitinib.</t>
  </si>
  <si>
    <t xml:space="preserve">El perfil de seguridad de tofacitinib es superior a vedolizumab y ustekinumab.</t>
  </si>
  <si>
    <t xml:space="preserve">Vedolizumab y ustekinumab tienen menos riesgo de infecciones graves que los anti-TNF.</t>
  </si>
  <si>
    <t xml:space="preserve">Ninguna de las respuestas anteriores es correcta.</t>
  </si>
  <si>
    <t xml:space="preserve">[CLINICAL TRANSITION: illes-balears-2022-caso-5-transition-03]
El paciente recibió un tratamiento con adalimumab para conseguir la remisión y se pautó como tratamiento de mantenimiento. Se le asoció, inicialmente, azatioprina que fue retirada por un episodio de pancreatitis leve.</t>
  </si>
  <si>
    <t xml:space="preserve">Hacer una ecografía y, en caso de ausencia de datos sugestivos, hacer controles analíticos ambulatorios y valorar otra exploración si la colestasis progresa.</t>
  </si>
  <si>
    <t xml:space="preserve">Hacer una ecografía y si es normal solicitar un estudio con colangioresonancia. Si no hay lesiones hay que hacer un seguimiento ambulatorio.</t>
  </si>
  <si>
    <t xml:space="preserve">Hacer una ecografía y si es normal solicitar un estudio con colangioresonancia. Si no hay lesiones debe hacerse una colangiografía retrograda endoscópica.</t>
  </si>
  <si>
    <t xml:space="preserve">Si la ecografía y la colangioresonancia son normales debe hacerse una biopsia hepática.</t>
  </si>
  <si>
    <t xml:space="preserve">illes-balears-2022-base-caso-5, illes-balears-2022-caso-5-transition-01, illes-balears-2022-caso-5-transition-02, illes-balears-2022-caso-5-transition-03</t>
  </si>
  <si>
    <t xml:space="preserve">CONTINUES THE ACTIVE CONTEXT: illes-balears-2022-base-caso-5 → illes-balears-2022-caso-5-transition-01 → illes-balears-2022-caso-5-transition-02 → illes-balears-2022-caso-5-transition-03</t>
  </si>
  <si>
    <t xml:space="preserve">La localización y la extensión de la CU asociada a la CEP es distinta a la de la CU sin CEP.</t>
  </si>
  <si>
    <t xml:space="preserve">Se recomienda a los pacientes diagnosticados de CEP hacer una colonoileoscopia con toma de muestra para biopsia a pesar de la ausencia de lesiones macroscópicas dado que entre el 50 % y el 80 % están afectos también de dicha enfermedad inflamatoria intestinal.</t>
  </si>
  <si>
    <t xml:space="preserve">Los fármacos anti-TNF utilizados en los pacientes con CU y CEP han demostrado una mejoría en la colestasis crónica y en la evolución de la CEP.</t>
  </si>
  <si>
    <t xml:space="preserve">El riesgo de cáncer de colon aumenta de forma significativa en la CU asociada a CEP.</t>
  </si>
  <si>
    <t xml:space="preserve">[CLINICAL TRANSITION: illes-balears-2022-caso-5-transition-04]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</si>
  <si>
    <t xml:space="preserve">A pesar de su uso generalizado, ningún índice clínico ha sido validado.</t>
  </si>
  <si>
    <t xml:space="preserve">El índice de Mayo es ampliamente usado por su aplicación fácil e incluye variables clínicas y endoscópicas.</t>
  </si>
  <si>
    <t xml:space="preserve">Según el índice de Mayo es de un grado de actividad moderado.</t>
  </si>
  <si>
    <t xml:space="preserve">illes-balears-2022-base-caso-5, illes-balears-2022-caso-5-transition-01, illes-balears-2022-caso-5-transition-02, illes-balears-2022-caso-5-transition-03, illes-balears-2022-caso-5-transition-04</t>
  </si>
  <si>
    <t xml:space="preserve">CONTINUES THE ACTIVE CONTEXT: illes-balears-2022-base-caso-5 → illes-balears-2022-caso-5-transition-01 → illes-balears-2022-caso-5-transition-02 → illes-balears-2022-caso-5-transition-03 → illes-balears-2022-caso-5-transition-04</t>
  </si>
  <si>
    <t xml:space="preserve">Según diferentes estudios, en un 5 % de los pacientes con CU se detecta la presencia de CMV en la mucosa colónica.</t>
  </si>
  <si>
    <t xml:space="preserve">El mejor método diagnóstico para el CMV en la colitis ulcerosa es la PCR o la inmunohistoquímica específica para CMV en tejido colónico.</t>
  </si>
  <si>
    <t xml:space="preserve">La edad avanzada, la colitis extensa y la exposición a corticoides o tiopurinas son factores de riesgo para la colitis por CMV.</t>
  </si>
  <si>
    <t xml:space="preserve">La infección por CMV es más frecuente en pacientes con colitis ulcerosa que en los afectos por la enfermedad de Crohn.</t>
  </si>
  <si>
    <t xml:space="preserve">La disparidad de los resultados respecto a una infección por CMV obliga a repetir la toma de muestras y a hacer un nuevo estudio histológico y microbiológico.</t>
  </si>
  <si>
    <t xml:space="preserve">Debe asumirse la reactivación de CMV y debe añadirse al tratamiento valganciclovir vía oral durante seis semanas.</t>
  </si>
  <si>
    <t xml:space="preserve">Debe asumirse una infección crónica por CMV sin influencia en la actividad inflamatoria y únicamente debe tratarse el brote de colitis.</t>
  </si>
  <si>
    <t xml:space="preserve">Debe asumirse una infección crónica por CMV, no debe tratarse la infección pero debe suspenderse el tratamiento anti-TNF para evitar la reactivación.</t>
  </si>
  <si>
    <t xml:space="preserve">Probablemente sea una colitis por reactivación del CMV.</t>
  </si>
  <si>
    <t xml:space="preserve">El tratamiento con anti-TNF ha perdido eficacia, situación que se da en el 90 % de los casos en el primer año de tratamiento si no se asocia a tiopurinas.</t>
  </si>
  <si>
    <t xml:space="preserve">La pérdida de eficacia de la combinación con anti-TNF más tiopurinas antes del año de inicio del tratamiento se da en menos del 1 % de los casos.</t>
  </si>
  <si>
    <t xml:space="preserve">La presencia del CMV empeora el pronóstico de la colitis ulcerosa.</t>
  </si>
  <si>
    <t xml:space="preserve">Debe iniciarse el tratamiento con esteroides orales, debe suspenderse el adalimumab y debe iniciarse el tratamiento con infliximab para inducir de nuevo la remisión.</t>
  </si>
  <si>
    <t xml:space="preserve">Si se dispone de niveles de fármaco y títulos de anticuerpos contra el fármaco debe intensificarse el tratamiento en caso de niveles bajos de fármaco y ausencia de anticuerpos contra el fármaco.</t>
  </si>
  <si>
    <t xml:space="preserve">Con presencia de anticuerpos antiadalimumab y niveles bajos del fármaco, debe insistirse en el adalimumab intensificando y debe añadirse el tacrolimus como inmunosupresor.</t>
  </si>
  <si>
    <t xml:space="preserve">Todas las respuestas anteriores son adecuadas.</t>
  </si>
  <si>
    <t xml:space="preserve">El infliximab debe ser la primera opción ya que tendría un 75 % de posibilidades de recuperar la respuesta.</t>
  </si>
  <si>
    <t xml:space="preserve">El cambio de diana terapéutica tendría más posibilidades de éxito.</t>
  </si>
  <si>
    <t xml:space="preserve">Se ha de iniciar el vedolizumab porqué se ha demostrado que es más eficaz que ustekinumab.</t>
  </si>
  <si>
    <t xml:space="preserve">Las respuestas b) y c) son ciertas.</t>
  </si>
  <si>
    <t xml:space="preserve">Están indicados los antibióticos de amplio espectro en todos los pacientes.</t>
  </si>
  <si>
    <t xml:space="preserve">Debe administrarse profilaxis para tromboembolismo venoso en todos los pacientes.</t>
  </si>
  <si>
    <t xml:space="preserve">La dieta absoluta con nutrición parenteral está indicada en todos los pacientes.</t>
  </si>
  <si>
    <t xml:space="preserve">Los esteroides sistémicos son el tratamiento inicial y se debe añadir una segunda línea de tratamiento si no hay respuesta siete días después de iniciar el tratamiento esteroideo.</t>
  </si>
  <si>
    <t xml:space="preserve">En caso de requerir una segunda línea debe indicarse infliximab porqué ha demostrado que es más eficaz y seguro que la ciclosporina en estos pacientes.</t>
  </si>
  <si>
    <t xml:space="preserve">Si a los cinco días de la primera dosis de infliximab no hay respuesta, se debe administrar una segunda dosis a 10 mg/kg.</t>
  </si>
  <si>
    <t xml:space="preserve">La ciclosporina siempre es la primera elección en caso de fracaso de los esteroides.</t>
  </si>
  <si>
    <t xml:space="preserve">Gastroenteritis.</t>
  </si>
  <si>
    <t xml:space="preserve">Privación de sueño.</t>
  </si>
  <si>
    <t xml:space="preserve">Apendicetomía.</t>
  </si>
  <si>
    <t xml:space="preserve">Fármacos como AINES, antibióticos o anticonceptivos orales.</t>
  </si>
  <si>
    <t xml:space="preserve">Entre un 20 % y un 30 % de los pacientes de CU requerirán una colectomía por complicaciones agudas o por fracaso del tratamiento médico.</t>
  </si>
  <si>
    <t xml:space="preserve">La apendicetomía en pacientes jóvenes previa al diagnóstico de la CU se ha asociado a un riesgo inferior de colectomía.</t>
  </si>
  <si>
    <t xml:space="preserve">La curación mucosa conseguida con un tratamiento médico se asocia a un menor riesgo de colectomía.</t>
  </si>
  <si>
    <t xml:space="preserve">caso-6</t>
  </si>
  <si>
    <t xml:space="preserve">[BASE CLINICAL CONTEXT: illes-balears-2022-base-caso-6]
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</si>
  <si>
    <t xml:space="preserve">Paracentesis diagnóstica.</t>
  </si>
  <si>
    <t xml:space="preserve">Paracentesis evacuadora.</t>
  </si>
  <si>
    <t xml:space="preserve">illes-balears-2022-base-caso-6</t>
  </si>
  <si>
    <t xml:space="preserve">CONTINUES THE ACTIVE CONTEXT: illes-balears-2022-base-caso-6</t>
  </si>
  <si>
    <t xml:space="preserve">Determinación de glucosa, proteínas, albúmina y lactato-deshidrogenasa (LDH).</t>
  </si>
  <si>
    <t xml:space="preserve">Recuento de células (hematíes y leucocitos con recuento diferencial).</t>
  </si>
  <si>
    <t xml:space="preserve">Cultivo en un frasco de hemocultivo.</t>
  </si>
  <si>
    <t xml:space="preserve">[CLINICAL TRANSITION: illes-balears-2022-caso-6-transition-01]
Se hace una paracentesis (diagnóstica y evacuadora), y se obtienen 6.000 ml de ascitis.
Análisis del líquido ascítico:
- Glucosa: 120 mg/dl.
- Proteínas: 1,0 g/dl.
- Albúmina: 0,8 g/dl.
- LDH: 40 ui/ml.
- Hematíes: 100 /mm³.
- Leucocitos: 220 /mm³.</t>
  </si>
  <si>
    <t xml:space="preserve">Hay que calcular el gradiente de albúmina entre suero y ascitis (GASA) para determinar si la ascitis es por hipertensión (HT) portal.</t>
  </si>
  <si>
    <t xml:space="preserve">Hay que fijarse en el recuento de leucocitos polinucleares para valorar si el líquido está infectado.</t>
  </si>
  <si>
    <t xml:space="preserve">illes-balears-2022-base-caso-6, illes-balears-2022-caso-6-transition-01</t>
  </si>
  <si>
    <t xml:space="preserve">CONTINUES THE ACTIVE CONTEXT: illes-balears-2022-base-caso-6 → illes-balears-2022-caso-6-transition-01</t>
  </si>
  <si>
    <t xml:space="preserve">Que la ascitis no está causada por una enfermedad neoplásica.</t>
  </si>
  <si>
    <t xml:space="preserve">Que la ascitis no está causada por hipertensión portal.</t>
  </si>
  <si>
    <t xml:space="preserve">Que la ascitis está causada por hipertensión portal.</t>
  </si>
  <si>
    <t xml:space="preserve">Que tiene una peritonitis bacteriana espontánea.</t>
  </si>
  <si>
    <t xml:space="preserve">Que tiene una peritonitis bacteriana secundaria.</t>
  </si>
  <si>
    <t xml:space="preserve">Que tiene una bacterioascitis.</t>
  </si>
  <si>
    <t xml:space="preserve">Que no tiene una peritonitis bacteriana espontánea.</t>
  </si>
  <si>
    <t xml:space="preserve">Albúmina IV siempre.</t>
  </si>
  <si>
    <t xml:space="preserve">Albúmina IV, pero solo en caso de que en la paracentesis se evacúen más de cinco litros de ascitis.</t>
  </si>
  <si>
    <t xml:space="preserve">Expansores del plasma siempre.</t>
  </si>
  <si>
    <t xml:space="preserve">Expansores del plasma, pero solo en caso de que en la paracentesis se evacúen más de cinco litros de ascitis.</t>
  </si>
  <si>
    <t xml:space="preserve">Depende del nivel de albúmina en sangre del paciente.</t>
  </si>
  <si>
    <t xml:space="preserve">8 g de albúmina por litro de ascitis evacuado.</t>
  </si>
  <si>
    <t xml:space="preserve">Depende de la función renal del paciente.</t>
  </si>
  <si>
    <t xml:space="preserve">El paciente bebe una cantidad de alcohol moderada que no supone un riesgo significativo para su salud.</t>
  </si>
  <si>
    <t xml:space="preserve">El paciente bebe una cantidad de alcohol excesiva que supone un riesgo significativo de patología orgánica relacionada con el alcohol.</t>
  </si>
  <si>
    <t xml:space="preserve">El paciente bebe una cantidad de alcohol posiblemente excesiva, pero el riesgo de patología orgánica relacionada con el alcohol depende de su peso y de su comorbilidad.</t>
  </si>
  <si>
    <t xml:space="preserve">Con los datos actuales no podemos juzgar si el consumo de alcohol de este paciente es excesivo o no.</t>
  </si>
  <si>
    <t xml:space="preserve">Ascitis por HT portal y edema.</t>
  </si>
  <si>
    <t xml:space="preserve">Cirrosis hepática con HT portal y etiología de la cirrosis por determinar.</t>
  </si>
  <si>
    <t xml:space="preserve">Insuficiencia hepática: coagulación (actividad de protrombina) alterada.</t>
  </si>
  <si>
    <t xml:space="preserve">Abstinencia absoluta de alcohol.</t>
  </si>
  <si>
    <t xml:space="preserve">Dieta baja en sal.</t>
  </si>
  <si>
    <t xml:space="preserve">Espironolactona, asociada o no a furosemida.</t>
  </si>
  <si>
    <t xml:space="preserve">Gastroscopia.</t>
  </si>
  <si>
    <t xml:space="preserve">Estudio etiológico de la hepatopatía.</t>
  </si>
  <si>
    <t xml:space="preserve">Elastografía (Fibroscan®).</t>
  </si>
  <si>
    <t xml:space="preserve">Child-Pugh.</t>
  </si>
  <si>
    <t xml:space="preserve">MELD score.</t>
  </si>
  <si>
    <t xml:space="preserve">MELD-Na score.</t>
  </si>
  <si>
    <t xml:space="preserve">HBsAg, anti-HBc, anti-VHC.</t>
  </si>
  <si>
    <t xml:space="preserve">HBsAg, anti-VHC, RNA VHC.</t>
  </si>
  <si>
    <t xml:space="preserve">Anti-HBs, anti-VHC anti-VHD.</t>
  </si>
  <si>
    <t xml:space="preserve">HBsAg, anti-VHC, anti-VHD.</t>
  </si>
  <si>
    <t xml:space="preserve">Seguro que no la tiene porque no tiene ictericia.</t>
  </si>
  <si>
    <t xml:space="preserve">Es posible pero si la tiene es una hepatitis alcohólica sin criterios de gravedad, porque no tiene ictericia y la alteración de la coagulación es moderada.</t>
  </si>
  <si>
    <t xml:space="preserve">Es muy probable porque bebe mucho alcohol.</t>
  </si>
  <si>
    <t xml:space="preserve">Es seguro que tiene hepatitis alcohólica, porque todos los individuos que beben más de 60 g de alcohol al día tienen siempre cierto grado de hepatitis alcohólica.</t>
  </si>
  <si>
    <t xml:space="preserve">Hay que recomendar abstinencia total y definitiva de alcohol.</t>
  </si>
  <si>
    <t xml:space="preserve">Hay que asegurar un aporte nutricional y vitamínico adecuado.</t>
  </si>
  <si>
    <t xml:space="preserve">Hay que iniciar un tratamiento con corticoides.</t>
  </si>
  <si>
    <t xml:space="preserve">Hay que valorar la gravedad de la hepatitis alcohólica mediante scores específicos antes de valorar el tratamiento que necesita.</t>
  </si>
  <si>
    <t xml:space="preserve">Este paciente tiene una sobrecarga patológica de hierro por hemocromatosis.</t>
  </si>
  <si>
    <t xml:space="preserve">Hay que hacer el test genético (detección de mutaciones C282Y y H63D) para confirmar la sospecha de hemocromatosis hereditaria.</t>
  </si>
  <si>
    <t xml:space="preserve">Estos análisis no sugieren que el paciente tiene hemocromatosis.</t>
  </si>
  <si>
    <t xml:space="preserve">Para confirmar si tiene hemocromatosis hay que hacer una biopsia hepática.</t>
  </si>
  <si>
    <t xml:space="preserve">Se puede hacer la biopsia hepática percutánea sin problemas, siempre que sea con control ecográfico.</t>
  </si>
  <si>
    <t xml:space="preserve">Para hacer la biopsia hepática percutánea es necesario evacuar la ascitis primero.</t>
  </si>
  <si>
    <t xml:space="preserve">Para hacer la biopsia hepática con seguridad es necesario administrar plasma fresco y plaquetas.</t>
  </si>
  <si>
    <t xml:space="preserve">En este paciente solo es posible hacer la biopsia hepática por vía transyugular.</t>
  </si>
  <si>
    <t xml:space="preserve">[CLINICAL TRANSITION: illes-balears-2022-caso-6-transition-02]
Se hace una gastroscopia. El paciente tiene varices esofágicas grandes con puntos rojos y gastropatía por HT portal leve-moderada.</t>
  </si>
  <si>
    <t xml:space="preserve">Iniciar profilaxis farmacológica con betabloqueantes, si no tiene contraindicación.</t>
  </si>
  <si>
    <t xml:space="preserve">Iniciar profilaxis farmacológica con nitritos, si no tiene contraindicación.</t>
  </si>
  <si>
    <t xml:space="preserve">Iniciar profilaxis farmacológica con betabloqueantes y nitritos, si no tiene contraindicación.</t>
  </si>
  <si>
    <t xml:space="preserve">Se debe hacer una ligadura profiláctica de las varices esofágicas.</t>
  </si>
  <si>
    <t xml:space="preserve">illes-balears-2022-base-caso-6, illes-balears-2022-caso-6-transition-01, illes-balears-2022-caso-6-transition-02</t>
  </si>
  <si>
    <t xml:space="preserve">CONTINUES THE ACTIVE CONTEXT: illes-balears-2022-base-caso-6 → illes-balears-2022-caso-6-transition-01 → illes-balears-2022-caso-6-transition-02</t>
  </si>
  <si>
    <t xml:space="preserve">Propranolol.</t>
  </si>
  <si>
    <t xml:space="preserve">Bisoprolol.</t>
  </si>
  <si>
    <t xml:space="preserve">Nadolol.</t>
  </si>
  <si>
    <t xml:space="preserve">Carvedilol.</t>
  </si>
  <si>
    <t xml:space="preserve">[CLINICAL TRANSITION: illes-balears-2022-caso-6-transition-03]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t>
  </si>
  <si>
    <t xml:space="preserve">Tiene ascitis transudativa no complicada.</t>
  </si>
  <si>
    <t xml:space="preserve">Tiene peritonitis bacteriana espontánea (PBE).</t>
  </si>
  <si>
    <t xml:space="preserve">Tiene peritonitis bacteriana secundaria.</t>
  </si>
  <si>
    <t xml:space="preserve">Tiene bacterioascitis.</t>
  </si>
  <si>
    <t xml:space="preserve">illes-balears-2022-base-caso-6, illes-balears-2022-caso-6-transition-01, illes-balears-2022-caso-6-transition-02, illes-balears-2022-caso-6-transition-03</t>
  </si>
  <si>
    <t xml:space="preserve">CONTINUES THE ACTIVE CONTEXT: illes-balears-2022-base-caso-6 → illes-balears-2022-caso-6-transition-01 → illes-balears-2022-caso-6-transition-02 → illes-balears-2022-caso-6-transition-03</t>
  </si>
  <si>
    <t xml:space="preserve">Debe remitirse una muestra de ascitis para cultivo (en frasco de hemocultivo).</t>
  </si>
  <si>
    <t xml:space="preserve">Deben cursarse hemocultivos.</t>
  </si>
  <si>
    <t xml:space="preserve">Se debe esperar a los resultados de los cultivos para decidir si está indicado iniciar un tratamiento antibiótico</t>
  </si>
  <si>
    <t xml:space="preserve">Cefalosporina de 3ª generación, IV, al menos siete días.</t>
  </si>
  <si>
    <t xml:space="preserve">Albúmina IV, 1,5 g/kg en el primer día y 1 g/kg en el tercer día de tratamiento.</t>
  </si>
  <si>
    <t xml:space="preserve">Suspensión del tratamiento diurético.</t>
  </si>
  <si>
    <t xml:space="preserve">[CLINICAL TRANSITION: illes-balears-2022-caso-6-transition-04]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t>
  </si>
  <si>
    <t xml:space="preserve">Levofloxacino.</t>
  </si>
  <si>
    <t xml:space="preserve">Rifaximina.</t>
  </si>
  <si>
    <t xml:space="preserve">Norfloxacino.</t>
  </si>
  <si>
    <t xml:space="preserve">illes-balears-2022-base-caso-6, illes-balears-2022-caso-6-transition-01, illes-balears-2022-caso-6-transition-02, illes-balears-2022-caso-6-transition-03, illes-balears-2022-caso-6-transition-04</t>
  </si>
  <si>
    <t xml:space="preserve">CONTINUES THE ACTIVE CONTEXT: illes-balears-2022-base-caso-6 → illes-balears-2022-caso-6-transition-01 → illes-balears-2022-caso-6-transition-02 → illes-balears-2022-caso-6-transition-03 → illes-balears-2022-caso-6-transition-04</t>
  </si>
  <si>
    <t xml:space="preserve">Este paciente no tiene ninguna indicación de trasplante hepático porque es alcohólico.</t>
  </si>
  <si>
    <t xml:space="preserve">Este paciente no tiene indicación de trasplante hepático porque la función hepática no está suficientemente alterada.</t>
  </si>
  <si>
    <t xml:space="preserve">Este paciente tiene indicación de trasplante hepático porque tiene ascitis y ha tenido PBE.</t>
  </si>
  <si>
    <t xml:space="preserve">Antes de indicar y de hacer un trasplante hepático es necesario que el paciente consiga y mantenga la abstinencia completa de alcohol.</t>
  </si>
  <si>
    <t xml:space="preserve">caso-7</t>
  </si>
  <si>
    <t xml:space="preserve">[BASE CLINICAL CONTEXT: illes-balears-2022-base-caso-7]
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t>
  </si>
  <si>
    <t xml:space="preserve">Transfusión de plaquetas.</t>
  </si>
  <si>
    <t xml:space="preserve">Transfusión de concentrados de hematíes.</t>
  </si>
  <si>
    <t xml:space="preserve">Administración de 250 mg de eritromicina endovenosa entre 30 y 120 minutos antes de la endoscopia.</t>
  </si>
  <si>
    <t xml:space="preserve">illes-balears-2022-base-caso-7</t>
  </si>
  <si>
    <t xml:space="preserve">CONTINUES THE ACTIVE CONTEXT: illes-balears-2022-base-caso-7</t>
  </si>
  <si>
    <t xml:space="preserve">Debe hacerse lo antes posible, independientemente del estado hemodinámico del paciente.</t>
  </si>
  <si>
    <t xml:space="preserve">Debe hacerse en las primeras doce horas desde la presentación del paciente tras la correcta resucitación hemodinámica.</t>
  </si>
  <si>
    <t xml:space="preserve">Antes de hacer la endoscopia oral debe hacerse una intubación orotraqueal a todos los pacientes con sospecha de hemorragia por varices esofágicas.</t>
  </si>
  <si>
    <t xml:space="preserve">Variz esofágica grande con manchas rojas y un tapón plaquetario o pezón.</t>
  </si>
  <si>
    <t xml:space="preserve">Varices esofágicas grandes con manchas rojas abundantes, sin sangrado activo ni signos de hemostasia reciente y presencia de restos hemáticos en el estómago. No se observan otras lesiones potencialmente sangrantes en el estudio endoscópico.</t>
  </si>
  <si>
    <t xml:space="preserve">Varices esofágicas pequeñas sin signos rojos y sin sangrado activo ni signos de hemostasia reciente sobre las varices y sin restos hemáticos en el estómago.</t>
  </si>
  <si>
    <t xml:space="preserve">Ligadura con bandas.</t>
  </si>
  <si>
    <t xml:space="preserve">Escleroterapia.</t>
  </si>
  <si>
    <t xml:space="preserve">Hemospray®.</t>
  </si>
  <si>
    <t xml:space="preserve">Inyección de cianoacrilato.</t>
  </si>
  <si>
    <t xml:space="preserve">Nivel de conciencia.</t>
  </si>
  <si>
    <t xml:space="preserve">Presencia de sangrado activo durante la endoscopia.</t>
  </si>
  <si>
    <t xml:space="preserve">Gradiente de presión venosa hepática.</t>
  </si>
  <si>
    <t xml:space="preserve">Puntuación de Child-Pugh.</t>
  </si>
  <si>
    <t xml:space="preserve">Child-Pugh A6.</t>
  </si>
  <si>
    <t xml:space="preserve">Child-Pugh B8.</t>
  </si>
  <si>
    <t xml:space="preserve">Child-Pugh C10.</t>
  </si>
  <si>
    <t xml:space="preserve">Child-Pugh B9.</t>
  </si>
  <si>
    <t xml:space="preserve">Mantener antibioterapia con ceftriaxona 1 gr cada 24 h endovenosa hasta completar siete días de tratamiento.</t>
  </si>
  <si>
    <t xml:space="preserve">Colocar un TIPS (del inglés transjugular intrahepatic portosystemic shunt) en las primeras 72 horas tras el episodio de sangrado.</t>
  </si>
  <si>
    <t xml:space="preserve">Mantener el tratamiento vasoactivo con somatostatina durante cinco días y tras la suspensión iniciar el tratamiento betabloqueante.</t>
  </si>
  <si>
    <t xml:space="preserve">Administración de lactulosa oral o en enemas.</t>
  </si>
  <si>
    <t xml:space="preserve">La pauta de tratamiento recomendada es el uso de betabloqueantes (propranolol o carvedilol) en combinación con el tratamiento endoscópico.</t>
  </si>
  <si>
    <t xml:space="preserve">En pacientes con cirrosis hepática y Child-Pugh B o C el uso de betabloqueantes está contraindicado.</t>
  </si>
  <si>
    <t xml:space="preserve">El tratamiento endoscópico debe hacerse por medio de una ligadura endoscópica con bandas con un intervalo de entre una y cuatro semanas hasta la erradicación de las varices.</t>
  </si>
  <si>
    <t xml:space="preserve">Las respuestas a) y c) son correctas.</t>
  </si>
  <si>
    <t xml:space="preserve">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</si>
  <si>
    <t xml:space="preserve">El taponamiento con un balón de Sengstaken-Blakemore es un procedimiento seguro y permite demorar hasta siete días la colocación del TIPS de rescate.</t>
  </si>
  <si>
    <t xml:space="preserve">La colocación de un stent metálico completamente recubierto autoexpandible es mucho más efectivo que el taponamiento con un balón de Sengstaken-Blakemore para el control inicial de la hemorragia.</t>
  </si>
  <si>
    <t xml:space="preserve">La edad de adquisición de la infección por el VHB es un factor que predice la evolución a la cronicidad.</t>
  </si>
  <si>
    <t xml:space="preserve">Es más frecuente que se cronifique la infección adquirida en la edad adulta que la infección perinatal.</t>
  </si>
  <si>
    <t xml:space="preserve">La fase de infección crónica AgHBe positivo (fase de inmunotolerancia) se caracteriza por niveles muy elevados de DNA VHB y una progresión lenta o nula de la fibrosis.</t>
  </si>
  <si>
    <t xml:space="preserve">Los pacientes que permanecen años en la fase de hepatitis crónica AgHBe positivo tienen más riesgo de desarrollar cirrosis y hepatocarcinoma.</t>
  </si>
  <si>
    <t xml:space="preserve">Reducir el riesgo de descompensación en pacientes con cirrosis hepática.</t>
  </si>
  <si>
    <t xml:space="preserve">Reducir el riesgo de desarrollo de un hepatocarcinoma.</t>
  </si>
  <si>
    <t xml:space="preserve">Reducir el riesgo de recurrencia de la hepatitis B postrasplante.</t>
  </si>
  <si>
    <t xml:space="preserve">Todos los anteriores son objetivos esperables del tratamiento de la infección por VHB.</t>
  </si>
  <si>
    <t xml:space="preserve">Cirrosis hepática compensada con DNA VHB 200 UI/ml.</t>
  </si>
  <si>
    <t xml:space="preserve">Hepatitis crónica AgHBe negativo y AcHBe positivo con transaminasas elevadas tres veces por encima del valor normal, DNA VHB 40.000 UI/ml y fibrosis F2 en la escala Metavir.</t>
  </si>
  <si>
    <t xml:space="preserve">Cirrosis hepática descompensada con DNA VHB indetectable.</t>
  </si>
  <si>
    <t xml:space="preserve">Infección crónica AgHBe negativo (portador inactivo) que precisa tratamiento con prednisona durante una semana por una reagudización de una enfermedad pulmonar obstructiva crónica (EPOC).</t>
  </si>
  <si>
    <t xml:space="preserve">Lamivudina.</t>
  </si>
  <si>
    <t xml:space="preserve">Adefovir dipivoxil.</t>
  </si>
  <si>
    <t xml:space="preserve">Entecavir.</t>
  </si>
  <si>
    <t xml:space="preserve">Interferón.</t>
  </si>
  <si>
    <t xml:space="preserve">Debe iniciarse el tratamiento con análogos nucleósidos y nucleótidos lo antes posible.</t>
  </si>
  <si>
    <t xml:space="preserve">Los análogos nucleósidos y nucleótidos indicados en esta situación son entecavir o tenofovir disoproxil fumarato (TDF).</t>
  </si>
  <si>
    <t xml:space="preserve">Dado que la paciente presenta osteoporosis es preferible usar de tenofovir disoproxil fumarato (TDF).</t>
  </si>
  <si>
    <t xml:space="preserve">El tratamiento de la infección por VHB puede reducir el riesgo de recurrencia del hepatocarcinoma postrasplante hepático.</t>
  </si>
  <si>
    <t xml:space="preserve">El diagnóstico de hepatocarcinoma debe basarse en los hallazgos típicos en las técnicas de imagen y/o hallazgos anatomopatológicos.</t>
  </si>
  <si>
    <t xml:space="preserve">En pacientes con una cirrosis hepática y una lesión hepática superior a 1 cm, el diagnóstico puede basarse únicamente en la presencia de los hallazgos típicos de las técnicas de imagen (TC con contraste multifase o RM con contraste multifase).</t>
  </si>
  <si>
    <t xml:space="preserve">El diagnóstico requiere una biopsia en todos los casos.</t>
  </si>
  <si>
    <t xml:space="preserve">Los hallazgos típicos en la TC con contraste multifase son la presencia de realce de la lesión en la fase arterial y lavado del realce en la fase venosa o tardía.</t>
  </si>
  <si>
    <t xml:space="preserve">La mayoría de las lesiones hepáticas inferiores a 1 cm detectadas por una ecografía en pacientes cirróticos son hepatocarcinomas.</t>
  </si>
  <si>
    <t xml:space="preserve">Para poder hacer un diagnóstico correcto es recomendable biopsiar la lesión.</t>
  </si>
  <si>
    <t xml:space="preserve">Es recomendable hacer un seguimiento de la lesión con ecografías cada tres o cuatro meses durante uno o dos años y, en caso de estabilidad de la lesión durante este periodo, volver al cribado habitual.</t>
  </si>
  <si>
    <t xml:space="preserve">Hacer una biopsia de la lesión hepática.</t>
  </si>
  <si>
    <t xml:space="preserve">Hacer una RM con contraste multifase.</t>
  </si>
  <si>
    <t xml:space="preserve">Volver a los controles ecográficos semestrales.</t>
  </si>
  <si>
    <t xml:space="preserve">Hacer una PET-TC.</t>
  </si>
  <si>
    <t xml:space="preserve">Número y tamaño de los nódulos.</t>
  </si>
  <si>
    <t xml:space="preserve">Función hepática.</t>
  </si>
  <si>
    <t xml:space="preserve">Etiología de la cirrosis hepática.</t>
  </si>
  <si>
    <t xml:space="preserve">Performance status.</t>
  </si>
  <si>
    <t xml:space="preserve">Estadio 0.</t>
  </si>
  <si>
    <t xml:space="preserve">Estadio D.</t>
  </si>
  <si>
    <t xml:space="preserve">Estadio B.</t>
  </si>
  <si>
    <t xml:space="preserve">Estadio A.</t>
  </si>
  <si>
    <t xml:space="preserve">Resección quirúrgica.</t>
  </si>
  <si>
    <t xml:space="preserve">Trasplante hepático.</t>
  </si>
  <si>
    <t xml:space="preserve">Ablación térmica por radiofrecuencia.</t>
  </si>
  <si>
    <t xml:space="preserve">Quimioembolización.</t>
  </si>
  <si>
    <t xml:space="preserve">El mejor predictor de resangrado precoz es la medición del gradiente de presión venosa hepática (GPVH).</t>
  </si>
  <si>
    <t xml:space="preserve">Un GPVH de 12 indica un alto riesgo de resangrado.</t>
  </si>
  <si>
    <t xml:space="preserve">Este paciente no presenta un riesgo alto de resangrado.</t>
  </si>
  <si>
    <t xml:space="preserve">Cirrosis hepática.</t>
  </si>
  <si>
    <t xml:space="preserve">Exposición a la aflatoxina B1.</t>
  </si>
  <si>
    <t xml:space="preserve">Consumo de café.</t>
  </si>
  <si>
    <t xml:space="preserve">Infección crónica de VHB.</t>
  </si>
  <si>
    <t xml:space="preserve">El tratamiento neoadyuvante podría reducir el riesgo de exclusión de la lista de trasplante por crecimiento tumoral y el riesgo de recidiva postrasplante.</t>
  </si>
  <si>
    <t xml:space="preserve">La quimioembolización sería la opción de tratamiento neoadyuvante recomendada en este paciente.</t>
  </si>
  <si>
    <t xml:space="preserve">La ablación mediante radiofrecuencia sería la opción de tratamiento neoadyuvante recomendada en este paciente.</t>
  </si>
  <si>
    <t xml:space="preserve">Análogos nucleósidos y nucleótidos + gammaglobulina hiperinmune antihepatitis B durante cuatro semanas y continuar con análogos nucleósidos y nucleótidos indefinidamente.</t>
  </si>
  <si>
    <t xml:space="preserve">Análogos nucleósidos y nucleótidos + gammaglobulina hiperinmune antihepatitis B durante cuatro semanas.</t>
  </si>
  <si>
    <t xml:space="preserve">Análogos nucleósidos y nucleótidos + gammaglobulina hiperinmune antihepatitis B durante un año y continuar con análogos nucleósidos y nucleótidos indefinidamente.</t>
  </si>
  <si>
    <t xml:space="preserve">Análogos nucleósidos y nucleótidos + gammaglobulina hiperinmune antihepatitis B durante un año.</t>
  </si>
  <si>
    <t xml:space="preserve">navarra/2022</t>
  </si>
  <si>
    <t xml:space="preserve">caso-clinico-1</t>
  </si>
  <si>
    <t xml:space="preserve">[FULL CLINICAL CONTEXT: navarra-2022-case-01]
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t>
  </si>
  <si>
    <t xml:space="preserve">Emergente (antes de 6h)</t>
  </si>
  <si>
    <t xml:space="preserve">Urgente (antes de 12h)</t>
  </si>
  <si>
    <t xml:space="preserve">Precoz (antes de 24h)</t>
  </si>
  <si>
    <t xml:space="preserve">Demorada (&gt;24 horas)</t>
  </si>
  <si>
    <t xml:space="preserve">navarra-2022-case-01</t>
  </si>
  <si>
    <t xml:space="preserve">CONTINUES THE ACTIVE CONTEXT: navarra-2022-case-01</t>
  </si>
  <si>
    <t xml:space="preserve">Las causas más frecuentes son la infección por Helicobacter pylori y la ingesta de AINES</t>
  </si>
  <si>
    <t xml:space="preserve">Hasta el 70% de las úlceras pépticas son asintomáticas</t>
  </si>
  <si>
    <t xml:space="preserve">La complicación más frecuente de la úlcera péptica es la hemorragia</t>
  </si>
  <si>
    <t xml:space="preserve">La perforación es la menos frecuente de las 3 complicaciones clásicas (hemorragia, estenosis, perforación)</t>
  </si>
  <si>
    <t xml:space="preserve">Como ha tomado AINES, asumimos que ésa es la causa de la úlcera y, en el futuro, sólo deberemos aconsejar que no tome AINES o que asocie gastroprotección en caso de ser imprescindibles</t>
  </si>
  <si>
    <t xml:space="preserve">Como tiene una hemorragia, el test de ureasa puede ser un falso negativo y habrá que confirmar el resultado con un test del aliento</t>
  </si>
  <si>
    <t xml:space="preserve">Como tiene una hemorragia, el test de ureasa puede ser un falso negativo y habrá que realizar nueva gastroscopia para confirmar la cicatrización de la úlcera y tomar nuevas muestras</t>
  </si>
  <si>
    <t xml:space="preserve">Como tiene más de 65 años, y ha sido una úlcera complicada, deberá hacer gastroprotección indefinida por lo que la presencia de Helicobácter es irrelevante</t>
  </si>
  <si>
    <t xml:space="preserve">Se recomienda un tratamiento que sea capaz de curar la infección en un porcentaje próximo al 90%</t>
  </si>
  <si>
    <t xml:space="preserve">Se recomienda asociar probióticos al tratamiento erradicador</t>
  </si>
  <si>
    <t xml:space="preserve">La duración adecuada del tratamiento ha de ser 7 días</t>
  </si>
  <si>
    <t xml:space="preserve">OLAB-14 sería el tratamiento de elección de segunda línea</t>
  </si>
  <si>
    <t xml:space="preserve">Indefinido ya que tiene &gt; 65 años</t>
  </si>
  <si>
    <t xml:space="preserve">8 semanas</t>
  </si>
  <si>
    <t xml:space="preserve">El tiempo que dure el tratamiento erradicador</t>
  </si>
  <si>
    <t xml:space="preserve">Hasta confirmación de la erradicación</t>
  </si>
  <si>
    <t xml:space="preserve">La edad</t>
  </si>
  <si>
    <t xml:space="preserve">La asociación de AINES con anticoagulantes</t>
  </si>
  <si>
    <t xml:space="preserve">El antecedente ulceroso</t>
  </si>
  <si>
    <t xml:space="preserve">El sexo</t>
  </si>
  <si>
    <t xml:space="preserve">caso-clinico-2</t>
  </si>
  <si>
    <t xml:space="preserve">[FULL CLINICAL CONTEXT: navarra-2022-case-02]
Una mañana en la sala de endoscopias en la agenda de cribado de cáncer colorrectal (CCR):</t>
  </si>
  <si>
    <t xml:space="preserve">Una demora de 3 meses en la realización de las colonoscopias de cribado se considera adecuado</t>
  </si>
  <si>
    <t xml:space="preserve">Se recomienda que los endoscopistas que realizan las endoscopias de cribado cumplan unos criterios de calidad, como tener una adecuada tasa de detección de adenomas</t>
  </si>
  <si>
    <t xml:space="preserve">En Navarra los pacientes pueden elegir por test de sangre oculta en heces o por colonoscopia directa</t>
  </si>
  <si>
    <t xml:space="preserve">Los vídeo-colonoscopios que no tienen alta definición de imagen son aptos para este tipo de endoscopia.</t>
  </si>
  <si>
    <t xml:space="preserve">navarra-2022-case-02</t>
  </si>
  <si>
    <t xml:space="preserve">CONTINUES THE ACTIVE CONTEXT: navarra-2022-case-02</t>
  </si>
  <si>
    <t xml:space="preserve">Nuestro informe debería describir la morfología básica del pólipo, utilizando la Clasificación de París o al menos nombrando si es plano, sésil o polipoide.</t>
  </si>
  <si>
    <t xml:space="preserve">Se debería realizar una correcta inspección del pólipo, incluyendo aspectos básicos del patrón de superficie que nos permitan conocer si el pólipo tiene un carácter o no invasivo</t>
  </si>
  <si>
    <t xml:space="preserve">Los pólipos de colon derecho, de este tamaño, aunque tengan aspecto benigno, deben ser enviados para resección por los endoscopistas más expertos de la unidad.</t>
  </si>
  <si>
    <t xml:space="preserve">Los endoscopistas del programa de cribado deben de estar capacitados para extirpar este tipo de pólipos, si no están localizados en zonas de excesiva complejidad</t>
  </si>
  <si>
    <t xml:space="preserve">El informe describe que el pólipo se encontraba a 90cm del ano. Incluir en este informe la distancia en cm a la cual hemos encontrado el pólipo es muy útil, ya que será de gran ayuda para el endoscopista que realice la resección</t>
  </si>
  <si>
    <t xml:space="preserve">La morfología del pólipo indica alto poder de invasión submucosa e implica técnicas de resección en bloque como la disección endoscópica submucosa</t>
  </si>
  <si>
    <t xml:space="preserve">Como el endoscopista que realiza la exploración se considera competente en realizar la resección, decide realizar una resección bajo el agua, ya que la probabilidad de resecar esta lesión en bloque con esta técnica se acerca al 95%.</t>
  </si>
  <si>
    <t xml:space="preserve">El endoscopista considera adecuado indicar una resección fragmentada que se podría haber realizado en la primera colonoscopia o de forma diferida según la experiencia del mismo.</t>
  </si>
  <si>
    <t xml:space="preserve">Se sabe que los pólipos con nódulos menores de 1cm y de tamaño similar, se llaman granulares mixtos</t>
  </si>
  <si>
    <t xml:space="preserve">Los pólipos planos elevados tienen un porcentaje estimado de invasividad menor del 5%</t>
  </si>
  <si>
    <t xml:space="preserve">Los pólipos no granulares se dividen en planos elevados y en pseudodeprimidos</t>
  </si>
  <si>
    <t xml:space="preserve">Los pólipos pseudodeprimidos tienen un porcentaje de invasividad del 10%</t>
  </si>
  <si>
    <t xml:space="preserve">Cogemos múltiples biopsias del pólipo, ya que tiene un patrón NICE II que nos indica invasividad</t>
  </si>
  <si>
    <t xml:space="preserve">Realizamos un tatuaje proximal y distal ya que tiene un patrón JNET IIa y probablemente necesite cirugía</t>
  </si>
  <si>
    <t xml:space="preserve">Presenta una zona central con patrón JNET IIb e indicamos una resección diferida en bloque</t>
  </si>
  <si>
    <t xml:space="preserve">Tiene un claro patrón JNET III, lo que es clara indicación de disección endoscópica submucosa</t>
  </si>
  <si>
    <t xml:space="preserve">Siempre hay que hacer RMN y TC en este tipo de pólipos independientemente de su patrón óptico mucoso y de su morfología</t>
  </si>
  <si>
    <t xml:space="preserve">En el nódulo central podría existir un “covert cancer” o cáncer oculto, en un porcentaje significativo</t>
  </si>
  <si>
    <t xml:space="preserve">El patrón mucoso es de benignidad, lo que indica que puede realizar resección fragmentada e inclusión de todos los fragmentos en un solo bote de anatomía patológica.</t>
  </si>
  <si>
    <t xml:space="preserve">El patrón mucoso es un NICE I, lo que indica que con alta probabilidad se trate de un adenoma</t>
  </si>
  <si>
    <t xml:space="preserve">caso-clinico-3</t>
  </si>
  <si>
    <t xml:space="preserve">[FULL CLINICAL CONTEXT: navarra-2022-case-03]
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</si>
  <si>
    <t xml:space="preserve">Inicio de fármacos vasoactivos (somatostatina/terlipresina)</t>
  </si>
  <si>
    <t xml:space="preserve">Profilaxis antibiótica con cefotaxima 1mg/8h</t>
  </si>
  <si>
    <t xml:space="preserve">Reposición de la volemia con cristaloides (o coloides) en caso de inestabilidad hemodinámica</t>
  </si>
  <si>
    <t xml:space="preserve">El paciente sería candidatos a TIPS preventivo</t>
  </si>
  <si>
    <t xml:space="preserve">navarra-2022-case-03</t>
  </si>
  <si>
    <t xml:space="preserve">CONTINUES THE ACTIVE CONTEXT: navarra-2022-case-03</t>
  </si>
  <si>
    <t xml:space="preserve">Presión arterial pulmonar media 50 mmHg</t>
  </si>
  <si>
    <t xml:space="preserve">Insuficiencia tricuspídea grave</t>
  </si>
  <si>
    <t xml:space="preserve">Infección sistémica activa o sepsis</t>
  </si>
  <si>
    <t xml:space="preserve">Insuficiencia renal estadio 2</t>
  </si>
  <si>
    <t xml:space="preserve">Ligadura endoscópica con bandas y bisoprolol</t>
  </si>
  <si>
    <t xml:space="preserve">Ligadura endoscópica con bandas y carvedilol</t>
  </si>
  <si>
    <t xml:space="preserve">Inyección de cianoacrilato y bisoprolol</t>
  </si>
  <si>
    <t xml:space="preserve">Inyección de cianoacrilato y carvedilol</t>
  </si>
  <si>
    <t xml:space="preserve">Sofosbuvir+velpatasvir+ribavirina 24 semanas</t>
  </si>
  <si>
    <t xml:space="preserve">Sofosbuvir+velpatasvir 12 semanas</t>
  </si>
  <si>
    <t xml:space="preserve">Glecaprevir+pibrentasvir 16 semanas</t>
  </si>
  <si>
    <t xml:space="preserve">Grazoprevir+elbasvir 16 semanas</t>
  </si>
  <si>
    <t xml:space="preserve">Realizar prueba de imagen con contraste</t>
  </si>
  <si>
    <t xml:space="preserve">Iniciar anticoagulación</t>
  </si>
  <si>
    <t xml:space="preserve">Realizar estudio exhaustivo de trombofilia</t>
  </si>
  <si>
    <t xml:space="preserve">La aparición de isquemia intestinal es menos frecuente que en los pacientes que no presentan cirrosis</t>
  </si>
  <si>
    <t xml:space="preserve">Quimiembolización transarterial</t>
  </si>
  <si>
    <t xml:space="preserve">Sorafenib</t>
  </si>
  <si>
    <t xml:space="preserve">Trasplante hepático</t>
  </si>
  <si>
    <t xml:space="preserve">Atezolizumab + bevacizumab</t>
  </si>
  <si>
    <t xml:space="preserve">reserva-casos-clinicos</t>
  </si>
  <si>
    <t xml:space="preserve">Misoprostol reduce el riesgo de úlcera asociada a AINEs, independientemente de la dosis</t>
  </si>
  <si>
    <t xml:space="preserve">Más del 30% de los pacientes que toman misoprostol lo suspenden por efectos secundarios</t>
  </si>
  <si>
    <t xml:space="preserve">La prevención de las complicaciones ulcerosas sólo se consigue dosis más altas de misoprostol</t>
  </si>
  <si>
    <t xml:space="preserve">Los antiH2 a dosis estándar son eficaces en la prevención de las úlceras secundaria a AINES</t>
  </si>
  <si>
    <t xml:space="preserve">Ausencia de budding (nidos tumorales)</t>
  </si>
  <si>
    <t xml:space="preserve">Infiltración submucosa mayor de 2000 µ (2 mm)</t>
  </si>
  <si>
    <t xml:space="preserve">Ausencia de invasión linfática o vascular</t>
  </si>
  <si>
    <t xml:space="preserve">Pólipo pediculado con invasión Haggitt 2</t>
  </si>
  <si>
    <t xml:space="preserve">Segundo intento de hemostasia endoscópica</t>
  </si>
  <si>
    <t xml:space="preserve">Trasfusión de 1 gramo de fibrinógeno</t>
  </si>
  <si>
    <t xml:space="preserve">Sería candidato a un TIPS de rescate</t>
  </si>
  <si>
    <t xml:space="preserve">El resangrado variceal tras un tratamiento endoscópico inicial puede ocurrir en el 10 -20% de los pacientes</t>
  </si>
  <si>
    <t xml:space="preserve">2021</t>
  </si>
  <si>
    <t xml:space="preserve">comunidad-de-madrid/2021</t>
  </si>
  <si>
    <t xml:space="preserve">main</t>
  </si>
  <si>
    <t xml:space="preserve">Varón, 73 años, sin episodios previos de HDB, tacto rectal con dedil limpio, Fc 63 lpm, TAS 133mm Hg, Hb 16 g/dl.</t>
  </si>
  <si>
    <t xml:space="preserve">Mujer, 52 años, HDB hace 8 meses atendida en otro centro, tacto rectal con dedil limpio, Fc 93 lpm, TAS 112mm Hg, Hb 10,3 g/dl.</t>
  </si>
  <si>
    <t xml:space="preserve">Varón, 57 años, sin episodios previos de HDB, tacto rectal con restos hemáticos, Fc 85 lpm, TAS 120mm Hg, Hb 11,2 g/dl.</t>
  </si>
  <si>
    <t xml:space="preserve">Mujer, 72 años, sin episodios previos, tacto rectal con dedil limpio, 92 lpm, TAS 109 mm Hg, Hb 12,5 g/dl.</t>
  </si>
  <si>
    <t xml:space="preserve">2019</t>
  </si>
  <si>
    <t xml:space="preserve">castilla-y-leon/2019</t>
  </si>
  <si>
    <t xml:space="preserve">reserva-especifica</t>
  </si>
  <si>
    <t xml:space="preserve">Ascitis</t>
  </si>
  <si>
    <t xml:space="preserve">Datos de encefalopatía</t>
  </si>
  <si>
    <t xml:space="preserve">Síntomas de hipoglucemia</t>
  </si>
  <si>
    <t xml:space="preserve">Todos los anteriores</t>
  </si>
  <si>
    <t xml:space="preserve">region-de-murcia/2019</t>
  </si>
  <si>
    <t xml:space="preserve">La paracentesis de gran volumen (PGV) se debe realizar conjuntamente con la administración de albumina iv a razón de 80 g por litro extraído.</t>
  </si>
  <si>
    <t xml:space="preserve">En PGV de más de 5 litros el uso de expansores plasmáticos distintos a la albúmina no está recomendado.</t>
  </si>
  <si>
    <t xml:space="preserve">Los pacientes con un primer episodio de ascitis grado 2 (moderada) deben recibir solo antagonistas de la aldosterona, empezando a dosis de 100 mg/día.</t>
  </si>
  <si>
    <t xml:space="preserve">La restricción moderada de la ingesta de sal es un componente importante en el manejo de la ascitis.</t>
  </si>
  <si>
    <t xml:space="preserve">Insuficiencia renal</t>
  </si>
  <si>
    <t xml:space="preserve">Cefalea</t>
  </si>
  <si>
    <t xml:space="preserve">Convulsiones</t>
  </si>
  <si>
    <t xml:space="preserve">Pancreatitis aguda</t>
  </si>
  <si>
    <t xml:space="preserve">2016</t>
  </si>
  <si>
    <t xml:space="preserve">galicia/ope-2016</t>
  </si>
  <si>
    <t xml:space="preserve">Todo paciente con hepatitis aguda por VHC debe recibir tratamiento antiviral.</t>
  </si>
  <si>
    <t xml:space="preserve">El tratamiento con ledipasvir y sofosbuvir durante 4 ó 6 semanas es muy seguro y eficaz en pacientes con hepatitis aguda por VHC con genotipo 1.</t>
  </si>
  <si>
    <t xml:space="preserve">El tratamiento de la hepatitis C post trasplante hepático está indicado en todos los pacientes, estando contraindicada la ribavirina.</t>
  </si>
  <si>
    <t xml:space="preserve">En pacientes con cirrosis por VHC no existen exámenes no invasivos que permitan descartar con un 90 por ciento de seguridad la existencia de varices esofágicas.</t>
  </si>
  <si>
    <t xml:space="preserve">teorico-practica</t>
  </si>
  <si>
    <t xml:space="preserve">Colangiocarcinoma tipo Klatskin</t>
  </si>
  <si>
    <t xml:space="preserve">Quiste de colédoco</t>
  </si>
  <si>
    <t xml:space="preserve">Síndrome de Mirizzi</t>
  </si>
  <si>
    <t xml:space="preserve">Colangiocarcinoma proximal</t>
  </si>
  <si>
    <t xml:space="preserve">andalucia/2021-22-libre</t>
  </si>
  <si>
    <t xml:space="preserve">cuestionario-practico</t>
  </si>
  <si>
    <t xml:space="preserve">[Full clinical context: andalucia-2021-22-libre-case-007]
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t>
  </si>
  <si>
    <t xml:space="preserve">Iniciar ya colonoscopias, con una periodicidad cada 10 años.</t>
  </si>
  <si>
    <t xml:space="preserve">Participar en el programa de cribado poblacional de cáncer colorrectal de Andalucía cuando se le invite.</t>
  </si>
  <si>
    <t xml:space="preserve">Iniciar colonoscopias a partir de los 40 años con una periodicidad cada 5 años.</t>
  </si>
  <si>
    <t xml:space="preserve">Iniciar colonoscopias a partir de los 50 años con una periodicidad cada 5 años.</t>
  </si>
  <si>
    <t xml:space="preserve">andalucia-2021-22-libre-case-007</t>
  </si>
  <si>
    <t xml:space="preserve">comunitat-valenciana/2022</t>
  </si>
  <si>
    <t xml:space="preserve">main-47-80</t>
  </si>
  <si>
    <t xml:space="preserve">Interferon pegilado indefinido.</t>
  </si>
  <si>
    <t xml:space="preserve">Glecaprevir.</t>
  </si>
  <si>
    <t xml:space="preserve">Tenofovir indefinido.</t>
  </si>
  <si>
    <t xml:space="preserve">No tiene indicación de tratamiento.</t>
  </si>
  <si>
    <t xml:space="preserve">2020</t>
  </si>
  <si>
    <t xml:space="preserve">aragon/2020</t>
  </si>
  <si>
    <t xml:space="preserve">Absceso.</t>
  </si>
  <si>
    <t xml:space="preserve">Fístula compleja.</t>
  </si>
  <si>
    <t xml:space="preserve">Fístula transesfinteriana.</t>
  </si>
  <si>
    <t xml:space="preserve">Actividad rectal.</t>
  </si>
  <si>
    <t xml:space="preserve">Cuerpos de Councilman</t>
  </si>
  <si>
    <t xml:space="preserve">Infiltrado linfocítico periportal con destrucción de los ductos biliares</t>
  </si>
  <si>
    <t xml:space="preserve">Fibrosis en puentes</t>
  </si>
  <si>
    <t xml:space="preserve">Granulomas no caseificantes</t>
  </si>
  <si>
    <t xml:space="preserve">Diabetes tipo I.</t>
  </si>
  <si>
    <t xml:space="preserve">Diabetes tipo II.</t>
  </si>
  <si>
    <t xml:space="preserve">Porfiria cutánea tardía.</t>
  </si>
  <si>
    <t xml:space="preserve">Condrocalcinosis.</t>
  </si>
  <si>
    <t xml:space="preserve">2017</t>
  </si>
  <si>
    <t xml:space="preserve">castilla-la-mancha/2017-2018</t>
  </si>
  <si>
    <t xml:space="preserve">La moda</t>
  </si>
  <si>
    <t xml:space="preserve">Cuartil 2</t>
  </si>
  <si>
    <t xml:space="preserve">El rango</t>
  </si>
  <si>
    <t xml:space="preserve">Desviación estándar</t>
  </si>
  <si>
    <t xml:space="preserve">[Full clinical context: andalucia-2021-22-libre-case-010]
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t>
  </si>
  <si>
    <t xml:space="preserve">Se deben obtener muestras de heces para cultivo, parásitos y toxina de Clostridium difficile.</t>
  </si>
  <si>
    <t xml:space="preserve">La tomografía computarizada (TC) es el examen de imagen más útil.</t>
  </si>
  <si>
    <t xml:space="preserve">La colonoscopia es la técnica principal para el diagnóstico, siempre que no haya datos de peritonitis.</t>
  </si>
  <si>
    <t xml:space="preserve">La leucocitosis en un hallazgo frecuente desde las fases iniciales de la enfermedad.</t>
  </si>
  <si>
    <t xml:space="preserve">andalucia-2021-22-libre-case-010</t>
  </si>
  <si>
    <t xml:space="preserve">la-rioja/2020-2021</t>
  </si>
  <si>
    <t xml:space="preserve">reserva</t>
  </si>
  <si>
    <t xml:space="preserve">Ácido Ursodesoxicólico.</t>
  </si>
  <si>
    <t xml:space="preserve">Trasplante Hepático.</t>
  </si>
  <si>
    <t xml:space="preserve">Resección quirúrgica del lóbulo afectado.</t>
  </si>
  <si>
    <t xml:space="preserve">Litotricia extracorpórea.</t>
  </si>
  <si>
    <t xml:space="preserve">En pacientes con adenocarcinoma esofágico en estadio T1a N0 M0 la terapéutica endoscópica es de elección.</t>
  </si>
  <si>
    <t xml:space="preserve">La esofagectomía radical y transtorácica (procedimiento de Ivor-Lewis) es la técnica quirúrgica de elección en el cáncer de esófago localizado, más allá de las etapas muy tempranas (T1b-T2 N0 M0).</t>
  </si>
  <si>
    <t xml:space="preserve">En los pacientes con adenocarcinoma de esófago con enfermedad localmente avanzada (T3-T4 N1-3 M0), después de una respuesta tumoral completa a la quimio radioterapia, nunca es preciso realizar cirugía.</t>
  </si>
  <si>
    <t xml:space="preserve">En pacientes con enfermedad metastásica (M1) de adenocarcinoma esofágico y buen estado general, está indicada la quimioterapia como tratamiento paliativo.</t>
  </si>
  <si>
    <t xml:space="preserve">Los episodios de dolor en la Proctalgia Fugax duran de segundos a minutos.</t>
  </si>
  <si>
    <t xml:space="preserve">El Síndrome del Elevador del Ano afecta típicamente a mujeres de menos 45 años.</t>
  </si>
  <si>
    <t xml:space="preserve">Los criterios de Roma IV reconocen tres tipos de Dolor Rectal Funcional: Proctalgia Fugax, el Síndrome del Elevador del Ano y la Fisura Anal Crónica Idiopática.</t>
  </si>
  <si>
    <t xml:space="preserve">El salbutamol inhalado se utiliza para el tratamiento del Síndrome del Elevador del Ano.</t>
  </si>
  <si>
    <t xml:space="preserve">aragon/2017</t>
  </si>
  <si>
    <t xml:space="preserve">Sodio en sangre 115.</t>
  </si>
  <si>
    <t xml:space="preserve">Creatinina en sangre 5 mg/dl.</t>
  </si>
  <si>
    <t xml:space="preserve">Excreción de sodio en orina 50%.</t>
  </si>
  <si>
    <t xml:space="preserve">Proteinuria indetectable.</t>
  </si>
  <si>
    <t xml:space="preserve">Eliminación del verde de Indocianina.</t>
  </si>
  <si>
    <t xml:space="preserve">Prueba de espiración de aminopirina.</t>
  </si>
  <si>
    <t xml:space="preserve">Eliminación de cafeína.</t>
  </si>
  <si>
    <t xml:space="preserve">Todas son correctas.</t>
  </si>
  <si>
    <t xml:space="preserve">Las de libre designación.</t>
  </si>
  <si>
    <t xml:space="preserve">Las plazas asistenciales vinculadas a otras de carácter docente.</t>
  </si>
  <si>
    <t xml:space="preserve">Las plazas de jefatura.</t>
  </si>
  <si>
    <t xml:space="preserve">Azatioprina</t>
  </si>
  <si>
    <t xml:space="preserve">Ácido valproico</t>
  </si>
  <si>
    <t xml:space="preserve">Tamsulosina</t>
  </si>
  <si>
    <t xml:space="preserve">IECA</t>
  </si>
  <si>
    <t xml:space="preserve">No existen datos que apoyen el uso de omeprazol asociado al tratamiento sustitutivo enzimático.</t>
  </si>
  <si>
    <t xml:space="preserve">En la diabetes mellitus secundaria a pancreatitis crónica está indicado el tratamiento inicial con antidiabéticos orales.</t>
  </si>
  <si>
    <t xml:space="preserve">El tratamiento sustitutivo enzimático se debe controlar siempre mediante test de funcionalismo pancreático.</t>
  </si>
  <si>
    <t xml:space="preserve">La dosis de tratamiento sustitutivo enzimático correcta es de 40000-50000 unidades con las comidas principales y 20000-25000 con los snacks.</t>
  </si>
  <si>
    <t xml:space="preserve">Edad del donante mayor de 65 años.</t>
  </si>
  <si>
    <t xml:space="preserve">Un IMC mayor de 30.</t>
  </si>
  <si>
    <t xml:space="preserve">Esteatosis hepática mayor del 60%.</t>
  </si>
  <si>
    <t xml:space="preserve">Bilirrubina en suero mayor de 3 mg/dL.</t>
  </si>
  <si>
    <t xml:space="preserve">castilla-la-mancha/2022</t>
  </si>
  <si>
    <t xml:space="preserve">Las técnicas de cromoendoscopia pueden ser útiles para determinar los límites de la lesión.</t>
  </si>
  <si>
    <t xml:space="preserve">La ecoendoscopia puede ser útil para evaluar la profundidad de la lesión.</t>
  </si>
  <si>
    <t xml:space="preserve">Se debería suprimir el tratamiento con inhibidores de la bomba de protones pues aumentan las complicaciones tras la resección.</t>
  </si>
  <si>
    <t xml:space="preserve">La resección endoscópica podría realizarse en lesiones menores o iguales a 2 centímetros no ulceradas.</t>
  </si>
  <si>
    <t xml:space="preserve">La elevación asintomática de la fosfatasa alcalina tres veces los limites altos de la normalidad con elevación de la bilirrubina durante 1 mes se acepta como indicación para el drenaje de la vía biliar</t>
  </si>
  <si>
    <t xml:space="preserve">Se debe considerar la cirugía cuando hay fracaso del tratamiento endoscópico después de 1 año.</t>
  </si>
  <si>
    <t xml:space="preserve">Se recomienda la utilización de prótesis metálicas autoexpandibles no cubiertas.</t>
  </si>
  <si>
    <t xml:space="preserve">La ictericia se puede resolver espontáneamente en el plazo de 1 mes en el 20-50% de los casos.</t>
  </si>
  <si>
    <t xml:space="preserve">En un porcentaje significativo de los adultos que siguen la dieta sin gluten, las biopsias solo muestran una mejoría parcial, recuperándose más rápidamente el íleon que el duodeno</t>
  </si>
  <si>
    <t xml:space="preserve">Se recomienda repetir la biopsia duodenal al año de iniciar la dieta sin gluten a todos los pacientes adultos celíacos.</t>
  </si>
  <si>
    <t xml:space="preserve">Se recomienda realizar una densitometría ósea al año del diagnóstico a todos los pacientes adultos celíacos.</t>
  </si>
  <si>
    <t xml:space="preserve">Además de la dieta sin gluten, algunos pacientes celíacos precisan suplementos de hierro, vitamina D, vitamina B12, ácido fólico o vitamina K.</t>
  </si>
  <si>
    <t xml:space="preserve">El síndrome de Bouveret hace referencia a la obstrucción al vaciamiento gástrico por impactación de una litiasis vesicular en el duodeno</t>
  </si>
  <si>
    <t xml:space="preserve">El síndrome de Mirizzi se presenta en la mayoría de casos con dolor, fiebre e ictericia</t>
  </si>
  <si>
    <t xml:space="preserve">La diabetes mellitus es un factor predisponente para la colecistitis enfisematosa.</t>
  </si>
  <si>
    <t xml:space="preserve">La colelitiasis son principalmente cálculos de bilirrubinato cálcico.</t>
  </si>
  <si>
    <t xml:space="preserve">Atención a la salud laboral.</t>
  </si>
  <si>
    <t xml:space="preserve">Atención a problemas de salud mental y conductas adictivas.</t>
  </si>
  <si>
    <t xml:space="preserve">Tratamientos de hemodiálisis.</t>
  </si>
  <si>
    <t xml:space="preserve">Cirugía mayor ambulatoria.</t>
  </si>
  <si>
    <t xml:space="preserve">2024</t>
  </si>
  <si>
    <t xml:space="preserve">la-rioja/2023-2024</t>
  </si>
  <si>
    <t xml:space="preserve">Walmsley.</t>
  </si>
  <si>
    <t xml:space="preserve">Harvey-Bradshaw.</t>
  </si>
  <si>
    <t xml:space="preserve">Lewis.</t>
  </si>
  <si>
    <t xml:space="preserve">IBUS-SAS.</t>
  </si>
  <si>
    <t xml:space="preserve">Se debe evaluar la presencia de sarcopenia y el estatus nutricional de todos los pacientes con encefalopatía hepática</t>
  </si>
  <si>
    <t xml:space="preserve">La ingesta calórica y proteica no debe ser diferente de la recomendada para cualquier paciente con cirrosis</t>
  </si>
  <si>
    <t xml:space="preserve">La nutrición enteral es recomendable en los pacientes con encefalopatía grado II</t>
  </si>
  <si>
    <t xml:space="preserve">Las proteinas vegetales y las procedentes de la leche son preferibles a las proteinas animales en pacientes con encefalopatía hepática</t>
  </si>
  <si>
    <t xml:space="preserve">castilla-y-leon/2022</t>
  </si>
  <si>
    <t xml:space="preserve">Las principales manifestaciones clínicas son la diarrea y la esteatorrea.</t>
  </si>
  <si>
    <t xml:space="preserve">La resección extensa de intestino delgado se relaciona con hiposecreción gástrica por disminución en los niveles de gastrina.</t>
  </si>
  <si>
    <t xml:space="preserve">La malabsorción de grasas secundaria a una resección ileal extensa se asocia a mayor riesgo de cálculos renales de oxalato cálcico.</t>
  </si>
  <si>
    <t xml:space="preserve">andalucia/2022-extraordinaria-libre</t>
  </si>
  <si>
    <t xml:space="preserve">[Full clinical context: andalucia-2022-extraordinaria-libre-caso-07]
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t>
  </si>
  <si>
    <t xml:space="preserve">Debemos iniciar tratamiento antibiótico con ciprofloxacino o metronidazol.</t>
  </si>
  <si>
    <t xml:space="preserve">Además del antibiótico se debe intensificar el infliximab, o pasar adalimumab para controlar la enfermedad rectal.</t>
  </si>
  <si>
    <t xml:space="preserve">Debemos solicitar una ecografía endoanal previa a cualquier opción terapéutica.</t>
  </si>
  <si>
    <t xml:space="preserve">Al ser asintomática, basta realizar un seguimiento del paciente, no siendo preciso un tratamiento específico de la fístula.</t>
  </si>
  <si>
    <t xml:space="preserve">andalucia-2022-extraordinaria-libre-caso-07</t>
  </si>
  <si>
    <t xml:space="preserve">Dolor abdominal recurrente al menos 1 día a la semana durante los últimos seis meses que se asocia a dos o más de los siguientes: se relaciona con la defecación, se asocia a un cambio en la frecuencia de las deposiciones, se asocia a un cambio en la forma (consistencia) de las deposiciones.</t>
  </si>
  <si>
    <t xml:space="preserve">Disconfort abdominal recurrente al menos 3 días al mes durante los tres últimos meses que se asocia a dos o más de los siguientes: Se relaciona con la defecación, se asocia a un cambio en la frecuencia de las deposiciones, se asocia a un cambio en la forma (consistencia) de las deposiciones.</t>
  </si>
  <si>
    <t xml:space="preserve">Disconfort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</si>
  <si>
    <t xml:space="preserve">Dolor abdominal recurrente al menos 1 día a la semana durante los últimos tres meses que se asocia a dos o más de los siguientes: Se relaciona con la defecación, se asocia a un cambio en la frecuencia de las deposiciones, se asocia a un cambio en la forma (consistencia) de las deposiciones.</t>
  </si>
  <si>
    <t xml:space="preserve">Corresponde a un índice de Rutgeerts i1, continua con azatioprina.</t>
  </si>
  <si>
    <t xml:space="preserve">Corresponde a un índice de Rutgeerts i0, continua con azatioprina.</t>
  </si>
  <si>
    <t xml:space="preserve">Corresponde a un índice de Rutgeerts i2b, cambiamos el tratamiento a un anti TNF.</t>
  </si>
  <si>
    <t xml:space="preserve">Corresponde a un índice de Rutgeerts i2a, continua con azatioprina.</t>
  </si>
  <si>
    <t xml:space="preserve">Colangitis Biliar Primaria.</t>
  </si>
  <si>
    <t xml:space="preserve">Colangitis esclerosante primaria.</t>
  </si>
  <si>
    <t xml:space="preserve">Hepatitis autoinmune tipo I.</t>
  </si>
  <si>
    <t xml:space="preserve">Hepatitis autoinmune tipo II.</t>
  </si>
  <si>
    <t xml:space="preserve">El cribado de varices esofágicas en el paciente con SBC crónico es igual que el del paciente cirrótico.</t>
  </si>
  <si>
    <t xml:space="preserve">Todos los pacientes con SBC deben recibir tratamiento anticoagulante.</t>
  </si>
  <si>
    <t xml:space="preserve">Si no hay respuesta al tratamiento médico debe de realizarse un tratamiento quirúrgico para la hipertensión portal.</t>
  </si>
  <si>
    <t xml:space="preserve">El trasplante hepático es útil en pacientes con fallo hepático agudo secundario a SBC y en pacientes con fracaso de otras terapias.</t>
  </si>
  <si>
    <t xml:space="preserve">Vólvulo gástrico</t>
  </si>
  <si>
    <t xml:space="preserve">Síndrome de Bouveret</t>
  </si>
  <si>
    <t xml:space="preserve">Bezoar gástrico</t>
  </si>
  <si>
    <t xml:space="preserve">Síndrome de la pinza aorto-mesentérica</t>
  </si>
  <si>
    <t xml:space="preserve">Los estudios controlados no demuestran que la biopsia con control ecográfico ~~reduzca~~ la mortalidad, pero sí la incidencia de complicaciones graves.</t>
  </si>
  <si>
    <t xml:space="preserve">La indicación fundamental de la biopsia transyugular (BTY) es la presencia de una alteración grave de la coagulación.</t>
  </si>
  <si>
    <t xml:space="preserve">La eficacia diagnóstica de la BTY es muy elevada, lo que permite obtener un diagnóstico histológico correcto en cerca del 80% de los pacientes.</t>
  </si>
  <si>
    <t xml:space="preserve">La hemorragia peritoneal significativa es una complicación frecuente en la BTY.</t>
  </si>
  <si>
    <t xml:space="preserve">Al menos 2 días.</t>
  </si>
  <si>
    <t xml:space="preserve">Al menos 5 días.</t>
  </si>
  <si>
    <t xml:space="preserve">Al menos 7 días.</t>
  </si>
  <si>
    <t xml:space="preserve">Al menos 10 días.</t>
  </si>
  <si>
    <t xml:space="preserve">Colonoscopia cada 1-2 años a partir de los 20-25 años</t>
  </si>
  <si>
    <t xml:space="preserve">Test inmunológico de sangre oculta en heces (SOHi) bienal a partir de los 50 años</t>
  </si>
  <si>
    <t xml:space="preserve">Colonoscopia cada 5 años a partir de los 30 años</t>
  </si>
  <si>
    <t xml:space="preserve">Sigmoidoscopia anual desde los 40 años</t>
  </si>
  <si>
    <t xml:space="preserve">Perforación.</t>
  </si>
  <si>
    <t xml:space="preserve">Hemorragia.</t>
  </si>
  <si>
    <t xml:space="preserve">Obstrucción.</t>
  </si>
  <si>
    <t xml:space="preserve">Penetración.</t>
  </si>
  <si>
    <t xml:space="preserve">Ingesta de 25-30 g de fibra soluble con la dieta al día.</t>
  </si>
  <si>
    <t xml:space="preserve">Ingesta adecuada de líquido (1,5-2 l al día).</t>
  </si>
  <si>
    <t xml:space="preserve">Patrón regular de comidas.</t>
  </si>
  <si>
    <t xml:space="preserve">Dieta sin gluten.</t>
  </si>
  <si>
    <t xml:space="preserve">[Full clinical context: andalucia-2022-extraordinaria-libre-caso-17]
Paciente de 76 años con antecedentes de cáncer de endometrio 12 años antes, tratado con éxito mediante cirugía y raditerapia, e hipertensión arterial, en tratamiento con Omeprazol, Losartan, Lormetazepam, Levosulpiride, Metamizol y Optovite, que acude a urgencias por cuadro de dolor abdominal en epigastrio irradiado a hipocondrio derecho, constante, de gran intensidad, náuseas y vómitos de contenido alimentario-bilioso, así como sensación febril no termometrada sin clara tiritona. Exploración: TA: 161/68 mmHg; frecuencia cardíaca: 69 lpm; Temperatura: 37,6 ºC; Saturación: 97% (aire ambiente). Buen estado general. Consciente, alerta y orientada. Eupneica en reposo. No cortejo vegetativo ni bacteriémico. ACR: Tonos rítmicos, sin soplos audibles. Abdomen: Blando y depresible. Dolor a la palpación en epigastrio e hipocondrio derecho. No signos de peritonismo; ruidos algo disminuidos, de timbre normal. No se palpan masas ni megalias. Miembros inferiores sin edemas. ANALÍTICA: Destaca leucocitosis de 18.420/mm³ (91% PMN), amilasa 5.518 U/L, AST: 93 U/L, ALT: 63 U/L, Fosfatasa alcalina: 350 U/L, GammaGT: 267 U/L, Bilirrubina total 3 mg/dL; PCR: 200,1 mg/L, procalcitonina 9,72 ng/mL.</t>
  </si>
  <si>
    <t xml:space="preserve">Es una pancreatitis aguda leve, porque el fallo orgánico es transitorio y no hay complicaciones locales.</t>
  </si>
  <si>
    <t xml:space="preserve">Es una pancreatitis aguda moderadamente severa, porque el fallo orgánico puede ser transitorio.</t>
  </si>
  <si>
    <t xml:space="preserve">Es una pancreatitis aguda necrotizante, no pudiendo precisarse más porque estamos en fase temprana de la enfermedad.</t>
  </si>
  <si>
    <t xml:space="preserve">Es una pancreatitis aguda grave, porque presenta un fallo respiratorio que ya no puede considerarse transitorio, pues se prolonga más de 48 horas.</t>
  </si>
  <si>
    <t xml:space="preserve">andalucia-2022-extraordinaria-libre-caso-17</t>
  </si>
  <si>
    <t xml:space="preserve">Subictericia.</t>
  </si>
  <si>
    <t xml:space="preserve">Ascitis.</t>
  </si>
  <si>
    <t xml:space="preserve">Encefalopatía.</t>
  </si>
  <si>
    <t xml:space="preserve">Cualquiera de ellas.</t>
  </si>
  <si>
    <t xml:space="preserve">Fibra soluble.</t>
  </si>
  <si>
    <t xml:space="preserve">Laxante osmótico.</t>
  </si>
  <si>
    <t xml:space="preserve">Linaclotida.</t>
  </si>
  <si>
    <t xml:space="preserve">Prucaloprida.</t>
  </si>
  <si>
    <t xml:space="preserve">Es recomendable una dieta con un contenido muy bajo de sodio (&lt;40 mmol / día) en pacientes con ascitis moderada.</t>
  </si>
  <si>
    <t xml:space="preserve">La administración de baclofeno es beneficiosa en pacientes con calambres musculares secundarios al tratamiento diurético.</t>
  </si>
  <si>
    <t xml:space="preserve">En la actualidad, no se recomienda la adición de clonidina o midodrina al tratamiento diurético en la ascitis refractaria.</t>
  </si>
  <si>
    <t xml:space="preserve">Después de la paracentesis evacuadora, los pacientes deben recibir la dosis mínima de diuréticos necesaria para prevenir la reaparición de la ascitis.</t>
  </si>
  <si>
    <t xml:space="preserve">Anticuerpos monoclonales frente al factor de crecimiento transformante alfa (TGF-alfa).</t>
  </si>
  <si>
    <t xml:space="preserve">Erradicar la infección por H. pylori</t>
  </si>
  <si>
    <t xml:space="preserve">Anticolinérgicos.</t>
  </si>
  <si>
    <t xml:space="preserve">Infliximab</t>
  </si>
  <si>
    <t xml:space="preserve">La dosis recomendada es de 5 mg/kg/día</t>
  </si>
  <si>
    <t xml:space="preserve">La respuesta se valora por la normalización de la GGT</t>
  </si>
  <si>
    <t xml:space="preserve">La respuesta al tratamiento tiene valor pronóstico</t>
  </si>
  <si>
    <t xml:space="preserve">No debe iniciarse hasta que la bilirrubina supere los 2 mg/dl</t>
  </si>
  <si>
    <t xml:space="preserve">Disminución del pH fecal mediante transformación a ácidos grasos de cadena corta.</t>
  </si>
  <si>
    <t xml:space="preserve">Disminución fecal de los ácidos biliares secundarios y mutágenos.</t>
  </si>
  <si>
    <t xml:space="preserve">Disminución del volumen fecal.</t>
  </si>
  <si>
    <t xml:space="preserve">Aumento del volumen fecal.</t>
  </si>
  <si>
    <t xml:space="preserve">Cáncer pulmonar microcítico.</t>
  </si>
  <si>
    <t xml:space="preserve">Carcinoma hepatocelular.</t>
  </si>
  <si>
    <t xml:space="preserve">Carcinoma de células renales.</t>
  </si>
  <si>
    <t xml:space="preserve">Adenocarcinoma de páncreas.</t>
  </si>
  <si>
    <t xml:space="preserve">galicia/ope-2019</t>
  </si>
  <si>
    <t xml:space="preserve">Esquistosomiasis.</t>
  </si>
  <si>
    <t xml:space="preserve">Síndrome de Budd-Chiari.</t>
  </si>
  <si>
    <t xml:space="preserve">Insuficiencia cardíaca congestiva.</t>
  </si>
  <si>
    <t xml:space="preserve">Pericarditis constrictiva.</t>
  </si>
  <si>
    <t xml:space="preserve">Sólo si hay fracaso a tratamiento con diuréticos</t>
  </si>
  <si>
    <t xml:space="preserve">Sólo si la ascitis es a tensión</t>
  </si>
  <si>
    <t xml:space="preserve">En cualquier circunstancia en que no esté contraindicada</t>
  </si>
  <si>
    <t xml:space="preserve">Solo si el paciente presenta datos concomitantes de encefalopatía hepática</t>
  </si>
  <si>
    <t xml:space="preserve">El descanso necesario, mediante la limitación de la jornada, las vacaciones periódicas retribuidas y permisos en los términos que se establezcan.</t>
  </si>
  <si>
    <t xml:space="preserve">El derecho de reunión.</t>
  </si>
  <si>
    <t xml:space="preserve">La negociación colectiva.</t>
  </si>
  <si>
    <t xml:space="preserve">La libre sindicación</t>
  </si>
  <si>
    <t xml:space="preserve">El tipo histológico más frecuentes es el adenocarcinoma.</t>
  </si>
  <si>
    <t xml:space="preserve">El colangiocarcinoma intrahepático tiende a la formación de masas.</t>
  </si>
  <si>
    <t xml:space="preserve">Los adenocarcinomas intraductales-papilares se extienden en profundidad a lo largo de la mucosa biliar invadiendo las capas de las paredes fibromusculares.</t>
  </si>
  <si>
    <t xml:space="preserve">[Full clinical context: andalucia-2022-extraordinaria-libre-caso-14]
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</si>
  <si>
    <t xml:space="preserve">Acido Ursodesoxicólico a dosis elevadas.</t>
  </si>
  <si>
    <t xml:space="preserve">Hepatectomía de los segmentos afectos.</t>
  </si>
  <si>
    <t xml:space="preserve">Iniciar protocolo pretrasplante hepático.</t>
  </si>
  <si>
    <t xml:space="preserve">CPRE con colangioscopia y drenaje biliar selectivo de las zonas afectas.</t>
  </si>
  <si>
    <t xml:space="preserve">andalucia-2022-extraordinaria-libre-caso-14</t>
  </si>
  <si>
    <t xml:space="preserve">Antibióticos en la infancia.</t>
  </si>
  <si>
    <t xml:space="preserve">Dieta pobre en fibra.</t>
  </si>
  <si>
    <t xml:space="preserve">Lactancia materna.</t>
  </si>
  <si>
    <t xml:space="preserve">Solo en los pacientes con HBsAg POSITIVO.</t>
  </si>
  <si>
    <t xml:space="preserve">Solo en los pacientes con HBcAc POSITIVO.</t>
  </si>
  <si>
    <t xml:space="preserve">Tanto en los pacientes HBsAg POSITIVO como en los HBcAc POSITIVO.</t>
  </si>
  <si>
    <t xml:space="preserve">Metotrexato</t>
  </si>
  <si>
    <t xml:space="preserve">Ácido ursodesoxicólico (UDCA)</t>
  </si>
  <si>
    <t xml:space="preserve">Ciclosporina</t>
  </si>
  <si>
    <t xml:space="preserve">Se deben retirar los diuréticos.</t>
  </si>
  <si>
    <t xml:space="preserve">En la reanimación hemodinámica están contraindicados los preparados a base de coloides de almidón.</t>
  </si>
  <si>
    <t xml:space="preserve">En caso de shock persistente el vasopresor indicado es norepinefrina.</t>
  </si>
  <si>
    <t xml:space="preserve">La diálisis de albúmina mediante el Sistema Recirculante de Absorción Molecular (MARS) mejora la supervivencia a corto plazo (28 días).</t>
  </si>
  <si>
    <t xml:space="preserve">Mama.</t>
  </si>
  <si>
    <t xml:space="preserve">Melanoma.</t>
  </si>
  <si>
    <t xml:space="preserve">Pulmón.</t>
  </si>
  <si>
    <t xml:space="preserve">Ovario.</t>
  </si>
  <si>
    <t xml:space="preserve">Lupus eritematoso sistémico.</t>
  </si>
  <si>
    <t xml:space="preserve">Esclerodermia.</t>
  </si>
  <si>
    <t xml:space="preserve">Enfermedad celíaca.</t>
  </si>
  <si>
    <t xml:space="preserve">Propofol- Sedación profunda.</t>
  </si>
  <si>
    <t xml:space="preserve">Fentanilo- Analgesia.</t>
  </si>
  <si>
    <t xml:space="preserve">Naloxona- Antagonista benzodiacepinico.</t>
  </si>
  <si>
    <t xml:space="preserve">Midazolam- Sedación superficial.</t>
  </si>
  <si>
    <t xml:space="preserve">Se debe excluir gastritis por H. pylori antes de hacer un diagnóstico de dispepsia funcional</t>
  </si>
  <si>
    <t xml:space="preserve">Antes de testar por la presencia de infección por H. pylori, los IBP deben suspenderse 2 semanas antes y los compuestos con bismuto y los antibióticos 4 semanas antes</t>
  </si>
  <si>
    <t xml:space="preserve">Como tratamiento de primera línea de la infección por H. pylori se recomienda una pauta cuádruple concomitante sin bismuto (IBP, claritromicina, amoxicilina y metronidazol) o una combinación cuádruple con bismuto (IBP, bismuto, tetraciclina y metronidazol)</t>
  </si>
  <si>
    <t xml:space="preserve">Se recomienda que la duración del tratamiento con terapia cuádruple sin bismuto o cuádruple con bismuto sea de 14 días</t>
  </si>
  <si>
    <t xml:space="preserve">Su vida media es de unas 8 horas.</t>
  </si>
  <si>
    <t xml:space="preserve">Está indicado en el síndrome de Zollinger-Ellison.</t>
  </si>
  <si>
    <t xml:space="preserve">Está indicado en el síndrome del intestino corto.</t>
  </si>
  <si>
    <t xml:space="preserve">Puede utilizarse en el síndrome carcinoide.</t>
  </si>
  <si>
    <t xml:space="preserve">Una clasificación de la candidiasis esofágica.</t>
  </si>
  <si>
    <t xml:space="preserve">Una clasificación de los trastornos motores esofágicos basada en manometría de alta resolución.</t>
  </si>
  <si>
    <t xml:space="preserve">Una clasificación de la esofagitis por cáusticos.</t>
  </si>
  <si>
    <t xml:space="preserve">Una clasificación del tipo de estenosis esofágica.</t>
  </si>
  <si>
    <t xml:space="preserve">Se resuelve con tratamiento antibiótico en la mayoría de los pacientes.</t>
  </si>
  <si>
    <t xml:space="preserve">Los organismos más comúnmente aislados son bacterias Gram positivas.</t>
  </si>
  <si>
    <t xml:space="preserve">La aparición de PBE en un paciente cirrótico no condiciona un empeoramiento del pronóstico de la enfermedad.</t>
  </si>
  <si>
    <t xml:space="preserve">Nunca hay que plantear diagnóstico diferencial con una peritonitis bacteriana secundaria.</t>
  </si>
  <si>
    <t xml:space="preserve">El uso de propofol por personal de enfermería entrenado es equiparable en seguridad a los sedantes tradicionales si se hace en las condiciones de monitorización y vigilancia adecuadas</t>
  </si>
  <si>
    <t xml:space="preserve">La utilización de propofol por personal de endoscopias en pacientes ASA III es posible y segura cuando se realiza en unidades de endoscopia con experiencia en el uso del mismo</t>
  </si>
  <si>
    <t xml:space="preserve">La dosificación del propofol debe individualizarse de acuerdo a la respuesta y condiciones basales del paciente</t>
  </si>
  <si>
    <t xml:space="preserve">La administración de midazolam previa al propofol permite reducir sus dosis y disminuir los efectos adversos, especialmente la hipotensión en cardiópatas o en situaciones de hipovolemia, porque disminuye el tiempo de recuperación</t>
  </si>
  <si>
    <t xml:space="preserve">Pancreatitis crónica.</t>
  </si>
  <si>
    <t xml:space="preserve">Sexo femenino.</t>
  </si>
  <si>
    <t xml:space="preserve">Vía biliar no dilatada.</t>
  </si>
  <si>
    <t xml:space="preserve">Disfunción del esfínter de Oddi.</t>
  </si>
  <si>
    <t xml:space="preserve">Una causa es el déficit adquirido de la lactasa.</t>
  </si>
  <si>
    <t xml:space="preserve">Se puede producir por consumo excesivo de sorbitol.</t>
  </si>
  <si>
    <t xml:space="preserve">Continúa a pesar del ayuno.</t>
  </si>
  <si>
    <t xml:space="preserve">Es el mecanismo de acción de la lactulosa.</t>
  </si>
  <si>
    <t xml:space="preserve">La ausencia de afectación orofaríngea, excluye el diagnóstico de esofagitis candidiásica.</t>
  </si>
  <si>
    <t xml:space="preserve">Las infecciones esofágicas por Candida albicans son las más frecuentes tanto en los pacientes inmunodeprimidos como en los inmunocompetentes.</t>
  </si>
  <si>
    <t xml:space="preserve">Candida albicans puede encontrarse en el esófago como comensal.</t>
  </si>
  <si>
    <t xml:space="preserve">En cuanto al tratamiento, es de elección el fluconazol en dosis de 200-400 mg/día durante 14-21 días.</t>
  </si>
  <si>
    <t xml:space="preserve">cuestionario-teorico</t>
  </si>
  <si>
    <t xml:space="preserve">Solicitaría un Tc abdominal con contraste endovenoso.</t>
  </si>
  <si>
    <t xml:space="preserve">Solicitaría serologías de Yersinia enterocolítica.</t>
  </si>
  <si>
    <t xml:space="preserve">Revisaría si hay algún fármaco potencialmente asociado a la diarrea.</t>
  </si>
  <si>
    <t xml:space="preserve">Dado que se trata de una diarrea de características funcionales no precisa realizar exploración física.</t>
  </si>
  <si>
    <t xml:space="preserve">Elevación de amilasa y lipasa sérica más de tres veces el límite superior de la normalidad</t>
  </si>
  <si>
    <t xml:space="preserve">Dolor abdominal en piso abdominal superior</t>
  </si>
  <si>
    <t xml:space="preserve">Datos compatibles en prueba de imagen (ecografía, TC o resonancia magnética) compatibles</t>
  </si>
  <si>
    <t xml:space="preserve">Ninguno de las anteriores</t>
  </si>
  <si>
    <t xml:space="preserve">[Full clinical context: andalucia-2022-extraordinaria-libre-caso-01]
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</si>
  <si>
    <t xml:space="preserve">La encefalopatía del paciente en fases iniciales justificaría una dieta baja en proteínas.</t>
  </si>
  <si>
    <t xml:space="preserve">Entre las actuaciones iniciales debe incluirse una paracentesis diagnóstica y una ecografía.</t>
  </si>
  <si>
    <t xml:space="preserve">A pesar de los antecedentes clínicos de este paciente y sus hábitos tóxicos, no se puede establecer de entrada una contraindicación absoluta para trasplante hepático.</t>
  </si>
  <si>
    <t xml:space="preserve">La utilización de diuréticos en este paciente tiene un alto riesgo de efectos secundarios.</t>
  </si>
  <si>
    <t xml:space="preserve">andalucia-2022-extraordinaria-libre-caso-01</t>
  </si>
  <si>
    <t xml:space="preserve">La presencia de niveles elevados de IgG, especialmente en ausencia de cirrosis, es una característica distintiva de la Hepatitis autoinmune. Una IgG selectivamente elevada en ausencia de IgA e IgM es particularmente sugestiva de HAI.</t>
  </si>
  <si>
    <t xml:space="preserve">La demostración histológica de hepatitis era un requisito previo para el diagnóstico de Hepatitis autoinmune, pero en la actualidad puede sustituirse por la elastografía hepática mucho menos invasiva.</t>
  </si>
  <si>
    <t xml:space="preserve">La coexistencia de características de Hepatitis autoinmune e hígado colestásico pueden observarse, tanto en el momento del diagnóstico como durante el seguimiento por los que deben realizarse pruebas de diagnóstico de CBP y CEP en pacientes que muestran características de colestasis.</t>
  </si>
  <si>
    <t xml:space="preserve">galicia/ope-2022</t>
  </si>
  <si>
    <t xml:space="preserve">El contacto con el centro de trasplante y la planificación apropiada del traslado debe hacerse de forma temprana en la evaluación del paciente.</t>
  </si>
  <si>
    <t xml:space="preserve">Están indicados los sistemas de soporte hepático como puente al trasplante.</t>
  </si>
  <si>
    <t xml:space="preserve">En pacientes con hepatomegalia gigante debe descartarse infiltración maligna mediante pruebas de imagen o biopsia.</t>
  </si>
  <si>
    <t xml:space="preserve">Debe indicarse el trasplante en aquellos pacientes que cumplen criterios del Kings College o de Clichy.</t>
  </si>
  <si>
    <t xml:space="preserve">Es una variante mas agresiva, con peor pronóstico</t>
  </si>
  <si>
    <t xml:space="preserve">Se caracteriza por no detectarse el Ag HBe</t>
  </si>
  <si>
    <t xml:space="preserve">Nunca coexiste con la variante no mutada</t>
  </si>
  <si>
    <t xml:space="preserve">La mutación mas frecuente es la sustitución de una única base</t>
  </si>
  <si>
    <t xml:space="preserve">Es el más frecuente en España globalmente.</t>
  </si>
  <si>
    <t xml:space="preserve">La forma hereditaria más frecuente es el Síndrome de Lynch.</t>
  </si>
  <si>
    <t xml:space="preserve">La obesidad es un factor de riesgo.</t>
  </si>
  <si>
    <t xml:space="preserve">Se recomienda administrar suplementos de vitamina D en poblaciones de riesgo de cáncer de colon.</t>
  </si>
  <si>
    <t xml:space="preserve">Es un anticuerpo monoclonal IgG4 humanizado que se une a la subunidad p19 de la IL-23.</t>
  </si>
  <si>
    <t xml:space="preserve">La inducción extendida (3 dosis más de 300 mg iv cada 4 semanas), consigue que más del 80% de pacientes alcancen respuesta clínica en semana 24 en los estudios de registro.</t>
  </si>
  <si>
    <t xml:space="preserve">Está indicado en pacientes que han perdido respuesta al tratamiento con Ustekinumab (anti IL-12/23).</t>
  </si>
  <si>
    <t xml:space="preserve">Todas las anteriores son ciertas.</t>
  </si>
  <si>
    <t xml:space="preserve">Contacto con la arteria mesentérica superior menos de 180 grados.</t>
  </si>
  <si>
    <t xml:space="preserve">Invasión de la pared duodenal.</t>
  </si>
  <si>
    <t xml:space="preserve">Contacto con la vena cava inferior.</t>
  </si>
  <si>
    <t xml:space="preserve">Contacto con la vena mesentérica superior más de 180 grados.</t>
  </si>
  <si>
    <t xml:space="preserve">Resección.</t>
  </si>
  <si>
    <t xml:space="preserve">Ablación.</t>
  </si>
  <si>
    <t xml:space="preserve">Quimioembolización transarterial.</t>
  </si>
  <si>
    <t xml:space="preserve">Se recomienda un consumo de fibra dietética de 20 a 35 gr al día</t>
  </si>
  <si>
    <t xml:space="preserve">El psyllium es un laxante formador de volumen</t>
  </si>
  <si>
    <t xml:space="preserve">La prucaloprida actúa activando los canales de cloro</t>
  </si>
  <si>
    <t xml:space="preserve">La linaclotida es un agonista de la guanilato-ciclasa</t>
  </si>
  <si>
    <t xml:space="preserve">Fue descrita por primera vez en la década de 1980.</t>
  </si>
  <si>
    <t xml:space="preserve">Es imprescindible la visión directa de la litiasis mediante colangioscopia para poder practicarla.</t>
  </si>
  <si>
    <t xml:space="preserve">La mayoría de los dispositivos son rígidos y de cierta dificultad de manejo.</t>
  </si>
  <si>
    <t xml:space="preserve">Es la modalidad de litotricia más económica.</t>
  </si>
  <si>
    <t xml:space="preserve">Tres o más individuos afectados de CCR o neoplasia relacionada (endometrio, intestino delgado, uréter o pelvis renal), uno de ellos familiar de primer grado de los otros dos.</t>
  </si>
  <si>
    <t xml:space="preserve">Afectación de 2 generaciones consecutivas.</t>
  </si>
  <si>
    <t xml:space="preserve">Como mínimo un caso diagnosticado antes de los 40 años.</t>
  </si>
  <si>
    <t xml:space="preserve">Exclusión del diagnóstico de poliposis adenomatosa familiar.</t>
  </si>
  <si>
    <t xml:space="preserve">Se puede producir déficit de B12 secundaria a menor proteolisis del compuesto vitamina B12- proteínas R fijadoras.</t>
  </si>
  <si>
    <t xml:space="preserve">La anemia ferropénica es la norma en estos pacientes.</t>
  </si>
  <si>
    <t xml:space="preserve">La anemia habitual es mixta, ferropénica y de proceso crónico.</t>
  </si>
  <si>
    <t xml:space="preserve">Lo habitual es una anemia asociada al tratamiento con enzimas pancreáticas.</t>
  </si>
  <si>
    <t xml:space="preserve">No se precisan de forma sistemática pruebas de función pancreática exocrina para controlar eficacia del tratamiento enzimático.</t>
  </si>
  <si>
    <t xml:space="preserve">La presencia de insuficiencia pancreática exocrina debe evaluarse anualmente en pacientes con pancreatitis crónica.</t>
  </si>
  <si>
    <t xml:space="preserve">Todo paciente con nuevo diagnóstico de pancreatitis crónica debe realizarse pruebas de detección de insuficiencia exocrina pancreática.</t>
  </si>
  <si>
    <t xml:space="preserve">Mayores niveles de elastasa fecal reflejan mayor grado de insuficiencia pancreática.</t>
  </si>
  <si>
    <t xml:space="preserve">[Full clinical context: andalucia-2022-extraordinaria-libre-caso-13]
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</si>
  <si>
    <t xml:space="preserve">Ampulectomía endoscópica dependiendo de su tamaño y extensión intraductal.</t>
  </si>
  <si>
    <t xml:space="preserve">Ampulectomía quirúrgica dependiendo de su tamaño y extensión intraductal.</t>
  </si>
  <si>
    <t xml:space="preserve">Duodenopancreatectomía cefálica.</t>
  </si>
  <si>
    <t xml:space="preserve">Tratamiento neoadyuvante.</t>
  </si>
  <si>
    <t xml:space="preserve">andalucia-2022-extraordinaria-libre-caso-13</t>
  </si>
  <si>
    <t xml:space="preserve">Aumento de riesgo de infección por Clostridium Difficile.</t>
  </si>
  <si>
    <t xml:space="preserve">Déficit de vitamina B12.</t>
  </si>
  <si>
    <t xml:space="preserve">Hipomagnesemia.</t>
  </si>
  <si>
    <t xml:space="preserve">Hipogastrinemia.</t>
  </si>
  <si>
    <t xml:space="preserve">El valor p asociado al contraste no es significativo estadísticamente.</t>
  </si>
  <si>
    <t xml:space="preserve">La reducción relativa del riesgo (RRR) para la variable "mortalidad global" es aproximadamente del 29%.</t>
  </si>
  <si>
    <t xml:space="preserve">El NNT (número de pacientes que necesitaría tratarse con el nuevo tratamiento en vez del estándar para reducir un resultado de muerte por cualquier causa) sería 71.</t>
  </si>
  <si>
    <t xml:space="preserve">La probabilidad de que estos resultados se deban al error del muestreo es del 95%.</t>
  </si>
  <si>
    <t xml:space="preserve">Los AINEs se asocian a un aumento del riesgo de complicaciones en todo el tracto digestivo.</t>
  </si>
  <si>
    <t xml:space="preserve">El daño gastrointestinal mediado por AINEs se debe en su mayoría, a la inhibición sistémica de la COX-1.</t>
  </si>
  <si>
    <t xml:space="preserve">Los IBP reducen la incidencia de úlcera péptica en pacientes con factores de riesgo para el desarrollo de complicaciones gastrointestinales asociadas al uso de AINEs.</t>
  </si>
  <si>
    <t xml:space="preserve">El uso de COXIB, frente a AINEs clásicos, se asocia a una mayor tasa de úlcera péptica, complicaciones y síntomas gastrointestinales.</t>
  </si>
  <si>
    <t xml:space="preserve">Pólipo serrado con displasia</t>
  </si>
  <si>
    <t xml:space="preserve">Adenoma tubular de 8 mm</t>
  </si>
  <si>
    <t xml:space="preserve">Adenoma con displasia de bajo grado</t>
  </si>
  <si>
    <t xml:space="preserve">Pólipo hiperplásico</t>
  </si>
  <si>
    <t xml:space="preserve">La edad avanzada es un factor de riesgo de hepatotoxicidad por isoniazida y predominantemente el tipo de lesión es hepatocelular.</t>
  </si>
  <si>
    <t xml:space="preserve">La ingesta regular de alcohol es un factor que contribuye a DILI asociado con fármacos específicos como la isoniazida, el metotrexato y el halotano.</t>
  </si>
  <si>
    <t xml:space="preserve">La edad avanzada parece ser un factor de riesgo para DILI inducido por ácido valproico.</t>
  </si>
  <si>
    <t xml:space="preserve">Se ha observado una mayor susceptibilidad del sexo femenino a agentes causales específicos, como la minociclina y la nitrofurantoína.</t>
  </si>
  <si>
    <t xml:space="preserve">Sangrado rectal</t>
  </si>
  <si>
    <t xml:space="preserve">Edad menor de 50 años.</t>
  </si>
  <si>
    <t xml:space="preserve">Pérdida de peso no explicada</t>
  </si>
  <si>
    <t xml:space="preserve">Anemia</t>
  </si>
  <si>
    <t xml:space="preserve">&lt; 10 mm.</t>
  </si>
  <si>
    <t xml:space="preserve">&gt; 10 mm.</t>
  </si>
  <si>
    <t xml:space="preserve">&gt; 20 mm.</t>
  </si>
  <si>
    <t xml:space="preserve">Ninguna de las anteriores es correcta.</t>
  </si>
  <si>
    <t xml:space="preserve">La posición en decúbito prono puede dificultar la ventilación en pacientes obesos.</t>
  </si>
  <si>
    <t xml:space="preserve">Colocar al paciente en decúbito lateral izquierdo puede facilitar atravesar el píloro.</t>
  </si>
  <si>
    <t xml:space="preserve">En pacientes intubados se puede realizar la exploración en decúbito supino.</t>
  </si>
  <si>
    <t xml:space="preserve">La visión óptima de la vía biliar se consigue con el paciente en decúbito lateral izquierdo.</t>
  </si>
  <si>
    <t xml:space="preserve">Ácidos grasos polinsaturados.</t>
  </si>
  <si>
    <t xml:space="preserve">Ceramidas.</t>
  </si>
  <si>
    <t xml:space="preserve">Colesterol.</t>
  </si>
  <si>
    <t xml:space="preserve">Lisofosfatidil colina</t>
  </si>
  <si>
    <t xml:space="preserve">El dímero D &gt;0,9 mg/L puede guiar el diagnóstico, aunque no es específico.</t>
  </si>
  <si>
    <t xml:space="preserve">Ante un dolor abdominal grave sin una exploración reveladora, es obligado descartar una IMA en primera instancia.</t>
  </si>
  <si>
    <t xml:space="preserve">La historia clínica ayuda a diferenciar entre los diferentes tipos de IMA (trombosis o embolia arterial, trombosis venosa o isquemia no oclusiva).</t>
  </si>
  <si>
    <t xml:space="preserve">La angiografía percutánea es la técnica inicial indicada para realizar el diagnóstico precoz de IMA.</t>
  </si>
  <si>
    <t xml:space="preserve">I</t>
  </si>
  <si>
    <t xml:space="preserve">II</t>
  </si>
  <si>
    <t xml:space="preserve">III</t>
  </si>
  <si>
    <t xml:space="preserve">IV</t>
  </si>
  <si>
    <t xml:space="preserve">La tasa de recaídas tras la suspensión del tratamiento con corticoides es significativamente mayo en la tipo I respecto a la tipo II</t>
  </si>
  <si>
    <t xml:space="preserve">Clínicamente suele manifestarse en forma de ictericia obstructiva por masa pancreática</t>
  </si>
  <si>
    <t xml:space="preserve">La pancreatitis autoinmune tipo I rara vez presenta flebitis obliterativa</t>
  </si>
  <si>
    <t xml:space="preserve">La pancreatitis autoinmune tipo II se asocia con más frecuencia a la enfermedad inflamatoria intestinal</t>
  </si>
  <si>
    <t xml:space="preserve">Se recomienda endoscopia urgente, dentro de las primeras 24 horas, para cuerpos extraños esofágicos sin obstrucción completa.</t>
  </si>
  <si>
    <t xml:space="preserve">ESGE no recomienda el estudio con bario.</t>
  </si>
  <si>
    <t xml:space="preserve">Se recomienda la evaluación radiológica para pacientes con impactación de bolo alimenticio sin presencia de hueso y sin complicaciones.</t>
  </si>
  <si>
    <t xml:space="preserve">Se recomienda endoscopia no urgente (dentro de las 72 horas) para cuerpos extraños romos de tamaño mediano localizados en el estómago.</t>
  </si>
  <si>
    <t xml:space="preserve">Hepatopatía Crónica en estadío de Cirrosis por alcohol con consumo activo y antecedente hace 5 días de hemorragia por varices esofágicas. Presenta nuevo episodio de hematemesis y encefalopatía hepática grado II. Shock hipovolémico. Bil. 17; Crea. 2,2; Alb. 2,3; INR 1,39. Endoscopia: Sangrado agudo incontrolable que requiere la colocación de prótesis de Dannis.</t>
  </si>
  <si>
    <t xml:space="preserve">Primer episodio de hematemesis en paciente sin enfermedad hepática conocida hasta la fecha. Inestabilidad hemodinámica. Endoscopia: hemorragia incoercible, se coloca balón de Sengstaken. Bil. 1,1; Crea. 0,75; Alb. 4,3; INR 1,1.</t>
  </si>
  <si>
    <t xml:space="preserve">Cirrosis por alcohol previamente descompensado por ascitis respondedora a diuréticos. Varices grandes en endoscopia previa en profilaxis primaria con Propranolol. Había desarrollado encefalopatía cuando bebía alcohol. Ingresa por hematemesis sin inestabilidad hemodinámica. Endoscopia: Varices grandes con pezón con fibrina sobre una de ellas, se efectúa ligadura con 5 bandas. Análisis: Bil. 3,67; Crea. 1,2; Alb. 2,1; INR 1,77.</t>
  </si>
  <si>
    <t xml:space="preserve">Paciente trasladado de otro centro para valorar trasplante por fallo agudo sobre crónico. Bil. 35; Crea. 3,15; Alb 1,9; INR 2,87. Intubado en UCI por distrés respiratorio. Encefalopatía hepática III-IV. Ascitis moderada. Presenta hematemesis con inestabilidad hemodinámica. Endoscopia: Sangrado activo procedente de variz esofágica. Se coloca prótesis de Danis.</t>
  </si>
  <si>
    <t xml:space="preserve">60 ml/min</t>
  </si>
  <si>
    <t xml:space="preserve">50 ml/min</t>
  </si>
  <si>
    <t xml:space="preserve">40 ml/min</t>
  </si>
  <si>
    <t xml:space="preserve">30 ml/min</t>
  </si>
  <si>
    <t xml:space="preserve">Diabetes Mellitus</t>
  </si>
  <si>
    <t xml:space="preserve">Hipertiroidismo</t>
  </si>
  <si>
    <t xml:space="preserve">Enfermedad de Parkinson</t>
  </si>
  <si>
    <t xml:space="preserve">Enfermedad de Hirschsprung</t>
  </si>
  <si>
    <t xml:space="preserve">La inmensa mayoría de ellas se deben a Cándida Glabrata.</t>
  </si>
  <si>
    <t xml:space="preserve">El aspecto endoscópico se caracteriza por ulceraciones redondeadas o lineales.</t>
  </si>
  <si>
    <t xml:space="preserve">Se ha observado una prevalencia de la colonización del esófago por Cándida en adultos ambulatorios sanos del 20%, aproximadamente.</t>
  </si>
  <si>
    <t xml:space="preserve">Las metástasis más frecuentes son las hepáticas.</t>
  </si>
  <si>
    <t xml:space="preserve">La afectación ganglionar es frecuente.</t>
  </si>
  <si>
    <t xml:space="preserve">La ruptura capsular tumoral se considera un factor de mal pronóstico.</t>
  </si>
  <si>
    <t xml:space="preserve">Clorhidrorrea congénita</t>
  </si>
  <si>
    <t xml:space="preserve">Giardiasis</t>
  </si>
  <si>
    <t xml:space="preserve">Amiloidosis</t>
  </si>
  <si>
    <t xml:space="preserve">Enteritis rádica</t>
  </si>
  <si>
    <t xml:space="preserve">Su colocación es el tratamiento paliativo de elección.</t>
  </si>
  <si>
    <t xml:space="preserve">Aunque no exista oclusión colónica debe colocarse de modo profiláctico para evitar la oclusión de la luz.</t>
  </si>
  <si>
    <t xml:space="preserve">Son una alternativa a la cirugía de urgencia con alto riesgo de mortalidad postoperatoria en la neoplasia de colon izquierdo potencialmente curable.</t>
  </si>
  <si>
    <t xml:space="preserve">IIa</t>
  </si>
  <si>
    <t xml:space="preserve">IIb</t>
  </si>
  <si>
    <t xml:space="preserve">Ninguna es correcta.</t>
  </si>
  <si>
    <t xml:space="preserve">El tratamiento de los datos personales de un menor de edad únicamente podrá fundarse en su consentimiento cuando sea mayor de trece años.</t>
  </si>
  <si>
    <t xml:space="preserve">El tratamiento de los datos personales de un menor de edad únicamente podrá fundarse en su consentimiento cuando sea mayor de quince años y lo autorice el titular de la patria potestad.</t>
  </si>
  <si>
    <t xml:space="preserve">El tratamiento de los datos personales de un menor de edad exclusivamente podrá fundarse en su consentimiento cuando sea mayor de dieciséis años.</t>
  </si>
  <si>
    <t xml:space="preserve">El tratamiento de los datos de los menores de catorce años, fundado en el consentimiento, solo será lícito si consta el del titular de la patria potestad o tutela, con el alcance que determinen los titulares de la patria potestad o tutela.</t>
  </si>
  <si>
    <t xml:space="preserve">Hiponatremia.</t>
  </si>
  <si>
    <t xml:space="preserve">Hipertensión intracraneal.</t>
  </si>
  <si>
    <t xml:space="preserve">Infecciones bacterianas.</t>
  </si>
  <si>
    <t xml:space="preserve">Hiperglucemia.</t>
  </si>
  <si>
    <t xml:space="preserve">Descenso de testosterona y de hormona de crecimiento</t>
  </si>
  <si>
    <t xml:space="preserve">Incremento de la concentración de amonio plasmático</t>
  </si>
  <si>
    <t xml:space="preserve">Presencia de endotoxinemia y de disfunción mitocondrial</t>
  </si>
  <si>
    <t xml:space="preserve">Aumento de la concentración sérica de aminoácidos ramificados</t>
  </si>
  <si>
    <t xml:space="preserve">El riesgo de desarrollo de adenocarcinoma sobre esófago de Barrett sin displasia es de un 0.3 por ciento por año.</t>
  </si>
  <si>
    <t xml:space="preserve">Para el tratamiento endoscópico del adenocarcinoma temprano se prefiere la disección submucosa endoscópica sobre la resección mucosa endoscópica por su menor tasa de recidiva.</t>
  </si>
  <si>
    <t xml:space="preserve">Los pacientes con extensión de esófago de Barrett mayor de 10 cm. tienen el mismo riesgo de progresión que los pacientes con displasia de bajo grado.</t>
  </si>
  <si>
    <t xml:space="preserve">La resección endoscópica de lesiones visibles sobre el epitelio metaplásico mediante la técnica de ligadura con bandas tiene una eficacia mayor del 85 por ciento.</t>
  </si>
  <si>
    <t xml:space="preserve">Disminuir la saturación de transferrina por debajo del 45%.</t>
  </si>
  <si>
    <t xml:space="preserve">Mantener la hemoglobina entre 12 y 13 g/dL.</t>
  </si>
  <si>
    <t xml:space="preserve">Conseguir unas cifras de ferritina sérica por debajo de 50 ng/mL.</t>
  </si>
  <si>
    <t xml:space="preserve">Conseguir cifras de hierro sérico por debajo de 100 microgramos por decilitro.</t>
  </si>
  <si>
    <t xml:space="preserve">Se trata de un Zargar 2A.</t>
  </si>
  <si>
    <t xml:space="preserve">Es necesario realizar un TC para valorar la gravedad.</t>
  </si>
  <si>
    <t xml:space="preserve">Tiene riesgo elevado de estenosis.</t>
  </si>
  <si>
    <t xml:space="preserve">Debe permanecer ingresado con nutrición enteral.</t>
  </si>
  <si>
    <t xml:space="preserve">1 año.</t>
  </si>
  <si>
    <t xml:space="preserve">3 años.</t>
  </si>
  <si>
    <t xml:space="preserve">5 años.</t>
  </si>
  <si>
    <t xml:space="preserve">No precisa más controles endoscópicos.</t>
  </si>
  <si>
    <t xml:space="preserve">Si hay insuficiencia renal se deben evitar los inhibidores de la calcineurina.</t>
  </si>
  <si>
    <t xml:space="preserve">Los corticoides son la base de la IS en el TH.</t>
  </si>
  <si>
    <t xml:space="preserve">En pacientes de riesgo inmunológico (hepatitis autoinmune, cirrosis biliar primaria y colangitis esclerosante primaria) es recomendable hacer una inducción más potente.</t>
  </si>
  <si>
    <t xml:space="preserve">El everólimus es un fármaco útil en los pacientes trasplantados por carcinoma hepatocelular por su función antitumoral.</t>
  </si>
  <si>
    <t xml:space="preserve">Convivientes con pacientes con Hepatitis aguda por virus A.</t>
  </si>
  <si>
    <t xml:space="preserve">Viaje a un país endémico, iniciando la pauta 1 semana antes del viaje.</t>
  </si>
  <si>
    <t xml:space="preserve">Trabajadores con primates.</t>
  </si>
  <si>
    <t xml:space="preserve">Antecedente de haber consumido drogas por vía parenteral, sin consumo actual.</t>
  </si>
  <si>
    <t xml:space="preserve">Una o más lesiones de la mucosa, con confluencia y afectación menor del 75% de la circunferencia del esófago.</t>
  </si>
  <si>
    <t xml:space="preserve">Una o más lesiones de la mucosa, igual o menor de 5 mm de longitud, sin confluencia.</t>
  </si>
  <si>
    <t xml:space="preserve">Una o más lesiones de la mucosa, con confluencia y afectación de más del 75% de la circunferencia esofágica.</t>
  </si>
  <si>
    <t xml:space="preserve">Una o más lesiones de la mucosa, mayor de 5 mm de longitud, sin confluencia.</t>
  </si>
  <si>
    <t xml:space="preserve">Colangitis esclerosante primaria</t>
  </si>
  <si>
    <t xml:space="preserve">Asbestos</t>
  </si>
  <si>
    <t xml:space="preserve">Cirrosis de cualquier etiología</t>
  </si>
  <si>
    <t xml:space="preserve">Infección hepática por parásitos</t>
  </si>
  <si>
    <t xml:space="preserve">4</t>
  </si>
  <si>
    <t xml:space="preserve">3</t>
  </si>
  <si>
    <t xml:space="preserve">2</t>
  </si>
  <si>
    <t xml:space="preserve">1</t>
  </si>
  <si>
    <t xml:space="preserve">Síndrome de distrés postprandial (SPD).</t>
  </si>
  <si>
    <t xml:space="preserve">Síndrome de dolor epigástrico (SDE).</t>
  </si>
  <si>
    <t xml:space="preserve">Síndrome de rumiación.</t>
  </si>
  <si>
    <t xml:space="preserve">Trastorno de eructación.</t>
  </si>
  <si>
    <t xml:space="preserve">Declaración de Helsinki</t>
  </si>
  <si>
    <t xml:space="preserve">Código de Nuremberg</t>
  </si>
  <si>
    <t xml:space="preserve">Informe Belmont</t>
  </si>
  <si>
    <t xml:space="preserve">Estudio Tuskegee</t>
  </si>
  <si>
    <t xml:space="preserve">El grado A se define como la presencia de al menos una lesión mucosa de &gt; 5mms, sin continuidad entre la pared más prominente de 2 pliegues mucosos.</t>
  </si>
  <si>
    <t xml:space="preserve">En el grado B se aprecia una o varias lesiones &lt; 5mms.</t>
  </si>
  <si>
    <t xml:space="preserve">El grado C se caracteriza por la presencia de una o varias lesiones &lt; 5mms.</t>
  </si>
  <si>
    <t xml:space="preserve">El grado D se caracteriza por una afectación circunferencial de la mucosa.</t>
  </si>
  <si>
    <t xml:space="preserve">Los pólipos inflamatorios no tienen potencial de malignización pero recidivan con frecuencia tras resección endoscópica.</t>
  </si>
  <si>
    <t xml:space="preserve">Los pólipos de glándulas fúndicas se producen con frecuencia tras la toma crónica de IBPs.</t>
  </si>
  <si>
    <t xml:space="preserve">La erradicación de Helicobacter Pylori produce regresión de los pólipos hiperplásicos.</t>
  </si>
  <si>
    <t xml:space="preserve">Los pólipos adenomatosos suelen ser únicos y erosionados.</t>
  </si>
  <si>
    <t xml:space="preserve">La existencia de ascitis masiva orienta a un síndrome de Budd-Chiari agudo.</t>
  </si>
  <si>
    <t xml:space="preserve">Anemia hemolítica Coombs negativa y una relación bilirrubina/fosfatasa alcalina elevada sugieren enfermedad de Wilson.</t>
  </si>
  <si>
    <t xml:space="preserve">En una paciente embarazada en tercer trimestre con hígado graso agudo del embarazo la actitud correcta es administrar corticosteroides hasta el parto.</t>
  </si>
  <si>
    <t xml:space="preserve">En una paciente con hepatitis autoinmune que no responde tras siete días de tratamiento correcto debe plantearse trasplante hepático.</t>
  </si>
  <si>
    <t xml:space="preserve">No se requiere confirmación diagnóstica en tumoración pancreática sospechosa resecable</t>
  </si>
  <si>
    <t xml:space="preserve">Se debe realizar en paciente con masa pancreática resecable con sospecha de otra enfermedad, tumor borderline previo a neoadyuvancia y en tumor irresecable en el que se plante tratamiento activo</t>
  </si>
  <si>
    <t xml:space="preserve">La ultrasonografía endoscópica con punción de la lesión es la técnica de elección para obtención de tejido pancreático siendo la biopsia percutánea de preferencia en paciente con metástasis hepáticas</t>
  </si>
  <si>
    <t xml:space="preserve">La sensibilidad de la punción por ecoendoscopia es muy alta por lo que una citología negativa descarta malignidad</t>
  </si>
  <si>
    <t xml:space="preserve">E coli enterotóxico</t>
  </si>
  <si>
    <t xml:space="preserve">Estafilococo aureus</t>
  </si>
  <si>
    <t xml:space="preserve">Shigella</t>
  </si>
  <si>
    <t xml:space="preserve">Salmonella</t>
  </si>
  <si>
    <t xml:space="preserve">Espasmo esofágico distal</t>
  </si>
  <si>
    <t xml:space="preserve">Acalasia tipo III o espástica</t>
  </si>
  <si>
    <t xml:space="preserve">Esófago hipercontráctil</t>
  </si>
  <si>
    <t xml:space="preserve">Obstrucción al flujo de la unión esófago-gástrica</t>
  </si>
  <si>
    <t xml:space="preserve">Colitis extensa con actividad grave.</t>
  </si>
  <si>
    <t xml:space="preserve">Presencia de estenosis o displasia en los últimos 5 años.</t>
  </si>
  <si>
    <t xml:space="preserve">Colangitis esclerosante primaria concomitante.</t>
  </si>
  <si>
    <t xml:space="preserve">Historia familiar de CCR &gt; 50 años.</t>
  </si>
  <si>
    <t xml:space="preserve">Ingreso hospitalario reciente</t>
  </si>
  <si>
    <t xml:space="preserve">Presencia en el exudado rectal de bacterias multirresistentes</t>
  </si>
  <si>
    <t xml:space="preserve">Uso de betalactámicos dentro de los tres meses previos</t>
  </si>
  <si>
    <t xml:space="preserve">Infección adquirida en la comunidad</t>
  </si>
  <si>
    <t xml:space="preserve">En conjunto tiene una alta mortalidad, superior al 50%.</t>
  </si>
  <si>
    <t xml:space="preserve">Solo está indicada la angiografía si existen dudas diagnósticas de estar ante una isquemia mesentérica aguda.</t>
  </si>
  <si>
    <t xml:space="preserve">El uso de cocaína se ha asociado a colitis isquémica secundaria en pacientes jóvenes.</t>
  </si>
  <si>
    <t xml:space="preserve">Está indicado el uso de antibioterapia empírica en colitis isquémica moderada o severa para disminuir la translocación bacteriana.</t>
  </si>
  <si>
    <t xml:space="preserve">Inestabilidad cromosómica asociada a mutación del gen APC.</t>
  </si>
  <si>
    <t xml:space="preserve">Fenotipo mutador.</t>
  </si>
  <si>
    <t xml:space="preserve">Inestabilidad de microsatélites asociada a cambios epigenéticos.</t>
  </si>
  <si>
    <t xml:space="preserve">Inestabilidad genética asociada al K-RAS.</t>
  </si>
  <si>
    <t xml:space="preserve">Es importante mantener una adecuada hidratación de la piel</t>
  </si>
  <si>
    <t xml:space="preserve">La colestiramina y el colestipol actúan aumentando la excreción fecal de sustancias pruritógenas</t>
  </si>
  <si>
    <t xml:space="preserve">El uso de sertralina puede resultar beneficioso en pacientes con prurito refractario</t>
  </si>
  <si>
    <t xml:space="preserve">Los antihistamínicos tienen un claro mecanismo de acción en el prurito de la colestasis y son el tratamiento de primera línea</t>
  </si>
  <si>
    <t xml:space="preserve">Miotomía endoscópica (POEM) o miotomía de Heller laparoscópica en la acalasia tipo III.</t>
  </si>
  <si>
    <t xml:space="preserve">POEM, miotomía de Heller laparoscópica o dilatación neumática en la acalasia tipo I y II.</t>
  </si>
  <si>
    <t xml:space="preserve">Asociar una funduplicatura completa (Nissen) durante la miotomía de Heller laparoscópica.</t>
  </si>
  <si>
    <t xml:space="preserve">Toxina botulínica en pacientes añosos con riesgo quirúrgico.</t>
  </si>
  <si>
    <t xml:space="preserve">La densidad de la infección por H Pylori disminuye al avanzar hacia la gastritis atrófica multifocal y atrofia gástrica.</t>
  </si>
  <si>
    <t xml:space="preserve">Los hallazgos histológicos nunca mejoran después de erradicar H. pylori.</t>
  </si>
  <si>
    <t xml:space="preserve">Es de predominio antral.</t>
  </si>
  <si>
    <t xml:space="preserve">El desarrollo de Metaplasia intestinal aumenta el riesgo de adenocarcinoma gástrico.</t>
  </si>
  <si>
    <t xml:space="preserve">DEO tipo III se define por dolor biliar, elevación de transaminasas y dilatación de la vía biliar.</t>
  </si>
  <si>
    <t xml:space="preserve">DEO tipo II se diagnostica cuando está presente el dolor tipo biliar y dilatación del conducto biliar mayor de 5 mm.</t>
  </si>
  <si>
    <t xml:space="preserve">DEO tipo I se define sólo como dolor tipo biliar y aumento de transaminasas.</t>
  </si>
  <si>
    <t xml:space="preserve">Sólo se considera criterio diagnóstico la dilatación del conducto biliar si es mayor o igual a 9 mm</t>
  </si>
  <si>
    <t xml:space="preserve">6 meses.</t>
  </si>
  <si>
    <t xml:space="preserve">Descenso del factor V</t>
  </si>
  <si>
    <t xml:space="preserve">Hiperglucemia</t>
  </si>
  <si>
    <t xml:space="preserve">Hipoalbuminemia</t>
  </si>
  <si>
    <t xml:space="preserve">Aumento de la presion intracraneal</t>
  </si>
  <si>
    <t xml:space="preserve">El uso concomitante de IBP y AINE aumenta el riesgo de presentar colitis microscópica.</t>
  </si>
  <si>
    <t xml:space="preserve">La colitis microscópica se ha asociado a enfermedades autoinmunes como la tiroiditis autoinmune, diabetes mellitus tipo 1 y artritis oligoarticular no erosiva.</t>
  </si>
  <si>
    <t xml:space="preserve">Se recomienda tomar al menos 3 biopsias de ascendente y 3 de descendente para el diagnóstico anatomopatológico de CM y la diferenciación entre colitis colágena y colitis linfocítica.</t>
  </si>
  <si>
    <t xml:space="preserve">Los cambios histológicos detectados en la colitis colágena son más marcados en colon izquierdo (descendente y rectosigma).</t>
  </si>
  <si>
    <t xml:space="preserve">D penicilamina.</t>
  </si>
  <si>
    <t xml:space="preserve">Eritromicina.</t>
  </si>
  <si>
    <t xml:space="preserve">Sulfasalazina.</t>
  </si>
  <si>
    <t xml:space="preserve">Zinc.</t>
  </si>
  <si>
    <t xml:space="preserve">Ductopenia.</t>
  </si>
  <si>
    <t xml:space="preserve">Granulomas.</t>
  </si>
  <si>
    <t xml:space="preserve">Lesión vascular.</t>
  </si>
  <si>
    <t xml:space="preserve">Esteatohepatitis.</t>
  </si>
  <si>
    <t xml:space="preserve">Ascitis en ecografía.</t>
  </si>
  <si>
    <t xml:space="preserve">Varices esofágicas en endoscopia alta.</t>
  </si>
  <si>
    <t xml:space="preserve">Una medición de 45 kPa en elastometría transitoria.</t>
  </si>
  <si>
    <t xml:space="preserve">Un flujo portal hepatópeto inferior a 20 cm/seg en ecografía doppler.</t>
  </si>
  <si>
    <t xml:space="preserve">[Full clinical context: andalucia-2021-22-libre-case-003]
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</si>
  <si>
    <t xml:space="preserve">La ausencia de gas en la colección necrótica descarta prácticamente la infección, por lo que no debemos administrar antibióticos.</t>
  </si>
  <si>
    <t xml:space="preserve">La infección es altamente probable, por lo que es preceptivo iniciar el tratamiento antibiótico.</t>
  </si>
  <si>
    <t xml:space="preserve">Con una necrosis tan extensa es importante plantear un desbridamiento de la celda pancreática, siendo en este momento la cirugía el mejor método por la precocidad del problema.</t>
  </si>
  <si>
    <t xml:space="preserve">Ante esta situación se debe mantener el tratamiento conservador, sin drenar la colección ni tratar con antibióticos, pues no hay evidencia suficiente que apoye el tratamiento profiláctico con estos.</t>
  </si>
  <si>
    <t xml:space="preserve">andalucia-2021-22-libre-case-003</t>
  </si>
  <si>
    <t xml:space="preserve">Mesalazina a dosis de 8 mg/día</t>
  </si>
  <si>
    <t xml:space="preserve">Corticoides IV a dosis de 1 mg/kg/día</t>
  </si>
  <si>
    <t xml:space="preserve">Infliximab a dosis de 5 mg/kg</t>
  </si>
  <si>
    <t xml:space="preserve">Ciclosporina para conseguir niveles de entre 150 y 350 ng/Ml</t>
  </si>
  <si>
    <t xml:space="preserve">[Full clinical context: andalucia-2022-extraordinaria-libre-caso-16]
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</si>
  <si>
    <t xml:space="preserve">Se trata de una forma de megacolon toxico, probablemente asociado a una enfermedad inflamatoria intestinal.</t>
  </si>
  <si>
    <t xml:space="preserve">La colonoscopia completa era prescindible, y comporta riesgo de dilatación de colon y perforación.</t>
  </si>
  <si>
    <t xml:space="preserve">El episodio de desmielinización previa por el síndrome de Guillain-Barré es una contraindicación para el tratamiento biológico.</t>
  </si>
  <si>
    <t xml:space="preserve">El paciente debe tratarse con fluidoterapia, dieta absoluta, corticoides y mesalazina oral.</t>
  </si>
  <si>
    <t xml:space="preserve">andalucia-2022-extraordinaria-libre-caso-16</t>
  </si>
  <si>
    <t xml:space="preserve">Un INR &gt; 3,5</t>
  </si>
  <si>
    <t xml:space="preserve">pH arterial &lt; 7,3.</t>
  </si>
  <si>
    <t xml:space="preserve">Bilirrubina elevada en casos de fallo no causado por paracetamol</t>
  </si>
  <si>
    <t xml:space="preserve">Hipofosfatemia</t>
  </si>
  <si>
    <t xml:space="preserve">Los pacientes y personas usuarias tienen derecho a conocer su situación en lista de espera y el funcionamiento de la misma.</t>
  </si>
  <si>
    <t xml:space="preserve">En la declaración de voluntades anticipadas, la persona interesada deberá hacer constar la decisión respecto a la donación de sus órganos con finalidad terapéutica, docente o de investigación.</t>
  </si>
  <si>
    <t xml:space="preserve">Las personas menores de edad emancipadas y los mayores de 14 años son titulares del derecho a la información.</t>
  </si>
  <si>
    <t xml:space="preserve">Los pacientes y personas usuarias del Sistema Valenciano de Salud, tanto en la atención primaria como en la especializada, tienen derecho a elegir médico, pero no centro.</t>
  </si>
  <si>
    <t xml:space="preserve">Se recomienda hacer profilaxis de la úlcera de estrés.</t>
  </si>
  <si>
    <t xml:space="preserve">Existe riesgo de sepsis severa.</t>
  </si>
  <si>
    <t xml:space="preserve">Es frecuente la aparición de hipoglucemia e hiponatremia.</t>
  </si>
  <si>
    <t xml:space="preserve">La aparición de daño renal agudo (AKI) es excepcional.</t>
  </si>
  <si>
    <t xml:space="preserve">Granulomas en la pieza de resección.</t>
  </si>
  <si>
    <t xml:space="preserve">Gravedad de la plexitis mientérica en la pieza de resección.</t>
  </si>
  <si>
    <t xml:space="preserve">La técnica quirúrgica empleada.</t>
  </si>
  <si>
    <t xml:space="preserve">Colitis.</t>
  </si>
  <si>
    <t xml:space="preserve">Hemorroides.</t>
  </si>
  <si>
    <t xml:space="preserve">Cáncer y pólipos de colon.</t>
  </si>
  <si>
    <t xml:space="preserve">Diverticulosis de colon.</t>
  </si>
  <si>
    <t xml:space="preserve">[Full clinical context: andalucia-2021-22-libre-case-006]
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</si>
  <si>
    <t xml:space="preserve">Abandono del tabaquismo y revisión en la consulta de digestivo con control analítico 6 meses después de la cirugía.</t>
  </si>
  <si>
    <t xml:space="preserve">Abandono del tabaquismo, iniciar tratamiento con mesalazina oral y revisión en la consulta de digestivo con control analítico 6 meses después de la cirugía.</t>
  </si>
  <si>
    <t xml:space="preserve">Abandono del tabaquismo, iniciar tratamiento con metronidazol oral a dosis de 15-20 mg/Kg/día durante 3 meses y revisión en la consulta de digestivo con control analítico 6 meses después de la cirugía.</t>
  </si>
  <si>
    <t xml:space="preserve">Abandono del tabaquismo, iniciar tratamiento con metronidazol oral a dosis de 15-20 mg/Kg/día durante 3 meses + azatioprina a dosis de 2-2.5 mg/Kg/día y revisión en la consulta de digestivo con control analítico 6 meses después de la cirugía.</t>
  </si>
  <si>
    <t xml:space="preserve">andalucia-2021-22-libre-case-006</t>
  </si>
  <si>
    <t xml:space="preserve">Cursa con síntomas, signos y alteraciones radiológicas compatibles con una obstrucción aguda del colon, pero sin evidencia de causa mecánica que la justifique.</t>
  </si>
  <si>
    <t xml:space="preserve">La dilatación afecta característicamente al colon transverso y descendente.</t>
  </si>
  <si>
    <t xml:space="preserve">Los traumatismos, la administración de opiáceos y la presencia de alteraciones hidroelectrolíticas pueden desencadenar el cuadro.</t>
  </si>
  <si>
    <t xml:space="preserve">Las complicaciones más graves son la isquemia y la perforación del colon.</t>
  </si>
  <si>
    <t xml:space="preserve">Equimosis periumbilical.</t>
  </si>
  <si>
    <t xml:space="preserve">Equimosis en flancos.</t>
  </si>
  <si>
    <t xml:space="preserve">Eritema facial.</t>
  </si>
  <si>
    <t xml:space="preserve">Paniculitis.</t>
  </si>
  <si>
    <t xml:space="preserve">Niveles muy elevados del DNA de la hepatitis B.</t>
  </si>
  <si>
    <t xml:space="preserve">Valores normales de ALT.</t>
  </si>
  <si>
    <t xml:space="preserve">La tasa de seroconversión espontánea en esta fase es muy baja.</t>
  </si>
  <si>
    <t xml:space="preserve">Actividad necroinflamatoria severa en la biopsia hepática.</t>
  </si>
  <si>
    <t xml:space="preserve">El test de aliento es el método no invasivo más investigado y recomendado en el contexto de una estrategia de test-and-treat.</t>
  </si>
  <si>
    <t xml:space="preserve">El test de antígeno fecal para Hp no está recomendado para el contexto de una estrategia de test-and-treat.</t>
  </si>
  <si>
    <t xml:space="preserve">Los IBP deben suspenderse al menos dos semanas antes de las pruebas para la infección por Hp.</t>
  </si>
  <si>
    <t xml:space="preserve">El test de ureasa rápido no se recomienda como prueba para la evaluación de la erradicación de Hp después del tratamiento. El test de aliento es la mejor opción para confirmar la erradicación de Hp y el test de antígeno fecal es una alternativa.</t>
  </si>
  <si>
    <t xml:space="preserve">Anticoagulación con acenocumarol e INR de 2.</t>
  </si>
  <si>
    <t xml:space="preserve">Perforación de colon.</t>
  </si>
  <si>
    <t xml:space="preserve">Situación del tumor en el colon proximal.</t>
  </si>
  <si>
    <t xml:space="preserve">El Consejo de Ordenación de Área.</t>
  </si>
  <si>
    <t xml:space="preserve">El Consejo de Coordinación de Área.</t>
  </si>
  <si>
    <t xml:space="preserve">El Consejo de Salud de Área, el Consejo de Dirección de Área y el Gerente de Área.</t>
  </si>
  <si>
    <t xml:space="preserve">El Consejo Interterritorial de Área.</t>
  </si>
  <si>
    <t xml:space="preserve">Se establece el diagnóstico de certeza si el paciente presenta histología compatible documentada en muestras obtenidas por colonoscopia, laparotomía o necropsia.</t>
  </si>
  <si>
    <t xml:space="preserve">Las características histológicas patognomónicas incluyen infarto y células fantasma.</t>
  </si>
  <si>
    <t xml:space="preserve">Se define un caso probable cuando los hallazgos endoscópicos son sugestivos, pero sin confirmación patológica.</t>
  </si>
  <si>
    <t xml:space="preserve">Todas las afirmaciones anteriores son correctas.</t>
  </si>
  <si>
    <t xml:space="preserve">Deberá conservarse como mínimo 10 años, contados desde la fecha del fallecimiento del paciente</t>
  </si>
  <si>
    <t xml:space="preserve">Transcurridos 3 años podrán destruirse las hojas de órdenes médicas y de interconsulta cuando no sean trascendentales por motivos asistenciales, de salud pública, epidemiológicos, de investigación, judiciales o por razones de organización y funcionamiento del Sistema Nacional de Salud</t>
  </si>
  <si>
    <t xml:space="preserve">El consentimiento informado se conservará de forma indefinida</t>
  </si>
  <si>
    <t xml:space="preserve">Todas las respuestas anteriores son incorrectas</t>
  </si>
  <si>
    <t xml:space="preserve">La caja está determinada por los percentiles 25 y 75, por lo que su amplitud es el rango intercuartílico</t>
  </si>
  <si>
    <t xml:space="preserve">La mediana es un valor que caerá siempre dentro de la caja</t>
  </si>
  <si>
    <t xml:space="preserve">Los "bigotes" o líneas que salen desde la caja en direcciones opuestas, se extienden hasta los valores máximo y mínimo de la serie (valores ordenados de la variable)</t>
  </si>
  <si>
    <t xml:space="preserve">En la caja se encuentran la mitad de las observaciones o valores</t>
  </si>
  <si>
    <t xml:space="preserve">Trombopenia</t>
  </si>
  <si>
    <t xml:space="preserve">Disminución de la síntesis de Factor V</t>
  </si>
  <si>
    <t xml:space="preserve">Disminución de los niveles del Factor von Willebrand</t>
  </si>
  <si>
    <t xml:space="preserve">Disminución de los niveles de la proteína C y proteína S</t>
  </si>
  <si>
    <t xml:space="preserve">La obesidad.</t>
  </si>
  <si>
    <t xml:space="preserve">El sexo masculino.</t>
  </si>
  <si>
    <t xml:space="preserve">La ingesta de alcohol.</t>
  </si>
  <si>
    <t xml:space="preserve">La ingesta de café.</t>
  </si>
  <si>
    <t xml:space="preserve">Es un trastorno manométrico que puede aparecer en pacientes con enfermedad por reflujo gastroesofágico.</t>
  </si>
  <si>
    <t xml:space="preserve">Se diagnostica con el registro manométrico de una presión de reposo del esfínter esofágico inferior inferior a 10 mmHg.</t>
  </si>
  <si>
    <t xml:space="preserve">Se caracteriza por una relajación incompleta del esfínter esofágico inferior durante las degluciones líquidas (IRP4 &gt;15 mmHg)</t>
  </si>
  <si>
    <t xml:space="preserve">Se asocia a latencia distal de la onda peristáltica mayor de 4,5 sg.</t>
  </si>
  <si>
    <t xml:space="preserve">Su incidencia ha disminuido en los ultimos años</t>
  </si>
  <si>
    <t xml:space="preserve">Su curso es potencialmente mas grave</t>
  </si>
  <si>
    <t xml:space="preserve">No se transmite de madre a feto</t>
  </si>
  <si>
    <t xml:space="preserve">Se debe tratar con interferon</t>
  </si>
  <si>
    <t xml:space="preserve">INR &gt; 6,5.</t>
  </si>
  <si>
    <t xml:space="preserve">pH arterial &gt;7,25 pasadas 24 tras la ingesta del fármaco.</t>
  </si>
  <si>
    <t xml:space="preserve">Creatinina &gt; 3,4 mg.</t>
  </si>
  <si>
    <t xml:space="preserve">Encefalopatia grado 3-4</t>
  </si>
  <si>
    <t xml:space="preserve">Cleboprida/simeticona</t>
  </si>
  <si>
    <t xml:space="preserve">Aceite de menta.</t>
  </si>
  <si>
    <t xml:space="preserve">Espasmolíticos.</t>
  </si>
  <si>
    <t xml:space="preserve">Loperamida.</t>
  </si>
  <si>
    <t xml:space="preserve">Inicio de perfusión de esomeprazol a razón de 8 mg por hora tras bolo previo de 80 mg.</t>
  </si>
  <si>
    <t xml:space="preserve">Solicitar gastroscopia urgente en menos de 6 horas.</t>
  </si>
  <si>
    <t xml:space="preserve">AngioTAC urgente.</t>
  </si>
  <si>
    <t xml:space="preserve">Transfusión de 2 concentrados de hematíes.</t>
  </si>
  <si>
    <t xml:space="preserve">Cistoadenoma seroso.</t>
  </si>
  <si>
    <t xml:space="preserve">Neoplasia quística mucinosa</t>
  </si>
  <si>
    <t xml:space="preserve">Tumor pseudopapilar sólido.</t>
  </si>
  <si>
    <t xml:space="preserve">Se trata de un adenocarcinoma no invasivo y el riesgo de diseminación es bajo.</t>
  </si>
  <si>
    <t xml:space="preserve">Se trata de un nivel 3 de Haggitt y lo recomendado es vigilancia endoscópica.</t>
  </si>
  <si>
    <t xml:space="preserve">El paciente no tiene ningún riesgo de metástasis en ganglios linfáticos regionales.</t>
  </si>
  <si>
    <t xml:space="preserve">Se trata de un nivel 2 de Haggitt con un riesgo de metástasis bajo.</t>
  </si>
  <si>
    <t xml:space="preserve">Nódulo único menor de 5 cm.</t>
  </si>
  <si>
    <t xml:space="preserve">Menos de 3 nódulos menores de 3 cm.</t>
  </si>
  <si>
    <t xml:space="preserve">CHC sin cirrosis asociada.</t>
  </si>
  <si>
    <t xml:space="preserve">No microinvasión vascular.</t>
  </si>
  <si>
    <t xml:space="preserve">La determinación de AFP no es útil para el diagnóstico del carcinoma hepatocelular.</t>
  </si>
  <si>
    <t xml:space="preserve">Respecto a la radioembolización transarterial (TARE) no existe evidencia científica para recomendar esta opción terapéutica en pacientes con carcinoma hepatocelular avanzado.</t>
  </si>
  <si>
    <t xml:space="preserve">En los estudios publicados se ha mostrado que la RM con contraste órgano-específica no ofreció mayor sensibilidad ni precisión diagnóstica respecto a la RM con contraste extracelular.</t>
  </si>
  <si>
    <t xml:space="preserve">En el tratamiento de segunda línea del carcinoma hepatocelular, ramucirumab mejora la supervivencia en pacientes que presentan un valor de AFP mayor o igual 200ng/mL.</t>
  </si>
  <si>
    <t xml:space="preserve">La fístula más frecuente es la colovaginal.</t>
  </si>
  <si>
    <t xml:space="preserve">La diverticulitis recurrente puede ocasionar una estenosis crónica del colon.</t>
  </si>
  <si>
    <t xml:space="preserve">Un 15% de los pacientes desarrollarán absceso pericolónico o intramesentérico.</t>
  </si>
  <si>
    <t xml:space="preserve">Abscesos de menos de 3 - 4 cm se pueden resolver sólo con tratamiento antibiótico.</t>
  </si>
  <si>
    <t xml:space="preserve">Esófago, siendo el punto de elección para la toma de biopsias por ser el procedimiento menos invasivo.</t>
  </si>
  <si>
    <t xml:space="preserve">Duodeno.</t>
  </si>
  <si>
    <t xml:space="preserve">En el colon se llega a un diagnostico histológico en un porcentaje ligeramente superior a otras localizaciones.</t>
  </si>
  <si>
    <t xml:space="preserve">Unión gastroesofágica, con una sensibilidad muy superior a las otras localizaciones.</t>
  </si>
  <si>
    <t xml:space="preserve">Pruebas de motilidad esofágica.</t>
  </si>
  <si>
    <t xml:space="preserve">Estudio de deglución con video.</t>
  </si>
  <si>
    <t xml:space="preserve">Endoscopia Digestiva Alta.</t>
  </si>
  <si>
    <t xml:space="preserve">Radiografía de cuello y tórax.</t>
  </si>
  <si>
    <t xml:space="preserve">Tras la realización del procedimiento se observa aparición de úlceras esofágicas en la zona de colocación de bandas en un 5-15% de los pacientes y es una de sus principales complicaciones.</t>
  </si>
  <si>
    <t xml:space="preserve">La incidencia de aparición de úlceras esofágicas post-ligadura de varices esofágicas es más frecuente tras el tratamiento del episodio agudo de hemorragia por varices, que en las ligaduras programadas como profilaxis secundaria.</t>
  </si>
  <si>
    <t xml:space="preserve">Tras la obliteración de las varices esofágicas después de las sesiones de bandas necesarias, se recomienda vigilancia endoscópica cada 3-6 meses dada la posibilidad de recurrencia.</t>
  </si>
  <si>
    <t xml:space="preserve">La estenosis esofágica post-ligadura es una complicación muy frecuente tras el desarrollo de úlceras esofágicas post-ligadura relacionada con su cicatrización. El tratamiento profiláctico con omeprazol disminuye su frecuencia de aparición.</t>
  </si>
  <si>
    <t xml:space="preserve">El grado de fibrosis hepática regresa con el tiempo en pacientes con F0-F1-F2.</t>
  </si>
  <si>
    <t xml:space="preserve">El riesgo de desarrollar carcinoma hepatocelular en pacientes con F3 y F4 disminuye, pero no se elimina totalmente por lo que se aconseja realizar ecografía abdominal cada 6 meses.</t>
  </si>
  <si>
    <t xml:space="preserve">El riesgo de desarrollar varices de novo en pacientes con cirrosis hepática es similar al de los pacientes que no han alcanzado RVS.</t>
  </si>
  <si>
    <t xml:space="preserve">La reinfección puede ocurrir en determinados grupos de pacientes, por ejemplo hombres que tienen sexo con hombres.</t>
  </si>
  <si>
    <t xml:space="preserve">La definición de la cartera de servicios.</t>
  </si>
  <si>
    <t xml:space="preserve">El análisis del campo de fuerzas o gráfico DAFO.</t>
  </si>
  <si>
    <t xml:space="preserve">La selección de indicadores.</t>
  </si>
  <si>
    <t xml:space="preserve">La descripción de las líneas de actuación.</t>
  </si>
  <si>
    <t xml:space="preserve">Se recomienda que la duración del tratamiento cuádruple concomitante sin bismuto (IBP, claritromicina, amoxicilina y metronidazol) sea de 14 días.</t>
  </si>
  <si>
    <t xml:space="preserve">Se recomienda que un tratamiento erradicador sea considerado efectivo cuando sea capaz de curar la infección por H. pylori en un porcentaje próximo o preferiblemente superior al 70% de los pacientes</t>
  </si>
  <si>
    <t xml:space="preserve">Se recomienda que la duración de la terapia cuádruple con bismuto (IBP, bismuto, tetraciclina y metronidazol) sea de 10 días como mínimo</t>
  </si>
  <si>
    <t xml:space="preserve">Tras el fracaso de un primer tratamiento con una terapia cuádruple con bismuto (IBP, bismuto, tetraciclinay metronidazol), se recomienda una pauta cuádruple con levofloxacino (IBP, amoxicilina, levofloxacino y bismuto).</t>
  </si>
  <si>
    <t xml:space="preserve">Hipopotasemia.</t>
  </si>
  <si>
    <t xml:space="preserve">Hemorragia retroperitoneal.</t>
  </si>
  <si>
    <t xml:space="preserve">La respuesta inicial al tratamiento con antibióticos suele ser rápida, aunque la diarrea suele ser el síntoma que más tarda en resolverse.</t>
  </si>
  <si>
    <t xml:space="preserve">Sólo los humanos y los cerdos parecen verse afectados por esta enfermedad.</t>
  </si>
  <si>
    <t xml:space="preserve">Una característica común es la hiperpigmentación cutánea, que se ha encontrado entre el 17% y el 66% de los pacientes.</t>
  </si>
  <si>
    <t xml:space="preserve">Doxicilina 100 mg dos veces al día es una buena alternativa de tratamiento debido a su buena penetración a nivel del sistema nervioso central.</t>
  </si>
  <si>
    <t xml:space="preserve">Endometrio.</t>
  </si>
  <si>
    <t xml:space="preserve">Próstata.</t>
  </si>
  <si>
    <t xml:space="preserve">Páncreas.</t>
  </si>
  <si>
    <t xml:space="preserve">Estómago.</t>
  </si>
  <si>
    <t xml:space="preserve">Adenocarcinoma yeyunal.</t>
  </si>
  <si>
    <t xml:space="preserve">GIST yeyunal.</t>
  </si>
  <si>
    <t xml:space="preserve">Linfoma intestinal.</t>
  </si>
  <si>
    <t xml:space="preserve">NET intestinal.</t>
  </si>
  <si>
    <t xml:space="preserve">Los IBP solo tienen beneficio en dosis altas</t>
  </si>
  <si>
    <t xml:space="preserve">Es importante no retirar de forma precoz (&lt;6 meses) el tratamiento antidepresivo, si ha sido eficaz y no ha producido efectos secundarios importantes, ya que puede producir recidivas tempranas</t>
  </si>
  <si>
    <t xml:space="preserve">El tratamiento siempre se debe prescribir en función del síndrome predominante (síndrome de distress postprandial, síndrome de dolor epigástrico)</t>
  </si>
  <si>
    <t xml:space="preserve">El efecto beneficioso de Amitriptilina siempre se hace presente al día siguiente de haberse iniciado</t>
  </si>
  <si>
    <t xml:space="preserve">Presentan estroma de tipo ovárico en su interior.</t>
  </si>
  <si>
    <t xml:space="preserve">Presentan niveles elevados de amilasa en su interior.</t>
  </si>
  <si>
    <t xml:space="preserve">Se localizan en cuerpo y cola del páncreas en el 95% de los casos.</t>
  </si>
  <si>
    <t xml:space="preserve">Son más frecuentes en mujeres.</t>
  </si>
  <si>
    <t xml:space="preserve">Diferencia de los adultos, la mayoría de los niños menores de 6 años presentan síntomas.</t>
  </si>
  <si>
    <t xml:space="preserve">Puede haber manifestaciones extrahepáticas como rash evanescente y artralgias en un 10% - 15% de pacientes.</t>
  </si>
  <si>
    <t xml:space="preserve">Los anticuerpos IgM son de aparición tardía, habitualmente tras la remisión de los síntomas.</t>
  </si>
  <si>
    <t xml:space="preserve">El mejor predictor de fibrosis en la Hemocromatosis hereditaria es el nivel de ferritina en sangre.</t>
  </si>
  <si>
    <t xml:space="preserve">Los pacientes únicamente heterocigotos en la mutación C282Y tienen riesgo de sobrecarga férrica.</t>
  </si>
  <si>
    <t xml:space="preserve">La prueba de cribado de elección es la saturación de transferrina en sangre.</t>
  </si>
  <si>
    <t xml:space="preserve">El fibroscán ® no está validado en el diagnóstico de fibrosis hepática en esta enfermedad.</t>
  </si>
  <si>
    <t xml:space="preserve">Es un péptido de 14 aminoácidos de absorción mínima.</t>
  </si>
  <si>
    <t xml:space="preserve">Está contraindicada en niños menores de 6 años.</t>
  </si>
  <si>
    <t xml:space="preserve">Inhibe el receptor de guanilato ciclasa C en la superficie luminal del epitelio intestinal, lo que disminuye los niveles de monofosfato de guanosina cíclico aumentando la secreción de cloruro y bicarbonato en la luz intestinal.</t>
  </si>
  <si>
    <t xml:space="preserve">La diarrea es el evento adverso más común de este fármaco.</t>
  </si>
  <si>
    <t xml:space="preserve">Amonio.</t>
  </si>
  <si>
    <t xml:space="preserve">Metano.</t>
  </si>
  <si>
    <t xml:space="preserve">Sulfuro de hidrógeno.</t>
  </si>
  <si>
    <t xml:space="preserve">Dimetilsulfuro.</t>
  </si>
  <si>
    <t xml:space="preserve">Mala preparación.</t>
  </si>
  <si>
    <t xml:space="preserve">Inflamación moderada o severa.</t>
  </si>
  <si>
    <t xml:space="preserve">Abundantes pólipos inflamatorios o pseudopólipos.</t>
  </si>
  <si>
    <t xml:space="preserve">En los casos de proctitis.</t>
  </si>
  <si>
    <t xml:space="preserve">Sofosvubir / velpatasvir / voxilaprevir.</t>
  </si>
  <si>
    <t xml:space="preserve">Glecaprevir / pibrentasvir.</t>
  </si>
  <si>
    <t xml:space="preserve">Sofosvubir / velpatasvir.</t>
  </si>
  <si>
    <t xml:space="preserve">Grazoprevir/elbasvir.</t>
  </si>
  <si>
    <t xml:space="preserve">Realizar una CPRF.</t>
  </si>
  <si>
    <t xml:space="preserve">Derivar para colecistectomía.</t>
  </si>
  <si>
    <t xml:space="preserve">Realizar ecoendoscopia o colangioRMN.</t>
  </si>
  <si>
    <t xml:space="preserve">Colecistostomia percutánea.</t>
  </si>
  <si>
    <t xml:space="preserve">Cada año</t>
  </si>
  <si>
    <t xml:space="preserve">Cada 3 años</t>
  </si>
  <si>
    <t xml:space="preserve">Cada 5 años</t>
  </si>
  <si>
    <t xml:space="preserve">Solo si hay síntomas</t>
  </si>
  <si>
    <t xml:space="preserve">El déficit de vitamina B1 (tiamina) se asocia clásicamente con el desarrollo del síndrome de Beri-Beri, que puede presentarse en forma seca (neurológica) o húmeda (cardiovascular).</t>
  </si>
  <si>
    <t xml:space="preserve">El déficit de vitamina B2 (riboflavina) es la principal causa de pelagra, caracterizada por dermatitis, diarrea y demencia.</t>
  </si>
  <si>
    <t xml:space="preserve">La deficiencia grave de vitamina D durante el embarazo puede ocasionar cretinismo y enanismo en el recién nacido.</t>
  </si>
  <si>
    <t xml:space="preserve">La deficiencia de vitamina K se asocia a fragilidad eritrocitaria, pudiendo ser causa de anemia hemolítica.</t>
  </si>
  <si>
    <t xml:space="preserve">En general, todos aquellos centros, servicios o establecimientos sanitarios que se adscriban al mismo en virtud de un concierto o convenio singular de vinculación.</t>
  </si>
  <si>
    <t xml:space="preserve">Los centros, servicios y establecimientos sanitarios de otras administraciones públicas en los términos que prevean los respectivos Estatutos de Autonomía.</t>
  </si>
  <si>
    <t xml:space="preserve">Todos los centros públicos y privados radicados en la Comunidad Autónoma aunque no hayan firmado un convenio singular.</t>
  </si>
  <si>
    <t xml:space="preserve">Todos los centros y establecimientos públicos y privados situados en su territorio, siempre que suscriban un concierto específico.</t>
  </si>
  <si>
    <t xml:space="preserve">Se trata de una neoplasia no invasiva de alto grado (Tis), sin riesgo de diseminación ganglionar.</t>
  </si>
  <si>
    <t xml:space="preserve">Se trata de un adenocarcinoma invasor sobre pólipo (pT1) con criterios insuficientes de buen pronóstico y riesgo alto de diseminación ganglionar.</t>
  </si>
  <si>
    <t xml:space="preserve">Se trata de un adenocarcinoma invasor sobre pólipo (pT1), con criterios histológicos de buen pronóstico y bajo riesgo de diseminación ganglionar.</t>
  </si>
  <si>
    <t xml:space="preserve">Se trata de un adenocarcinoma T2N0M0.</t>
  </si>
  <si>
    <t xml:space="preserve">Debería realizarse colecistectomía durante este mismo ingreso.</t>
  </si>
  <si>
    <t xml:space="preserve">Sería mejor esperar unos meses a que disminuya todo el proceso inflamatorio antes de realizar la colecistectomía.</t>
  </si>
  <si>
    <t xml:space="preserve">Sería mejor esperar unos años para realizar la colecistectomía.</t>
  </si>
  <si>
    <t xml:space="preserve">Sería mejor no realizar colecistectomía y una esfinterotomía biliar por CPRE sería suficiente tratamiento.</t>
  </si>
  <si>
    <t xml:space="preserve">Esta fase equivale al término de portador asintomático.</t>
  </si>
  <si>
    <t xml:space="preserve">Los niveles de transaminasas están muy elevados con valores que habitualmente exceden 5 veces los valores de la normalidad.</t>
  </si>
  <si>
    <t xml:space="preserve">Se caracteriza por la presencia de anti- Hbe.</t>
  </si>
  <si>
    <t xml:space="preserve">Habitualmente la carga viral está por debajo de 2000 UI/ml.</t>
  </si>
  <si>
    <t xml:space="preserve">En pacientes con CCR que condiciona una estenosis franqueable de la luz colónica y que no presentan clínica de obstrucción clínica ni radiológica, se puede plantear colocar una prótesis metálica autoexpandible de colon como medida profiláctica</t>
  </si>
  <si>
    <t xml:space="preserve">Se recomienda un intervalo aproximado de 2 semanas hasta la cirugía cuando se coloca una prótesis metálica autoexpandible como puente a una cirugía electiva en paciente con CCR izquierdo con intención curativa</t>
  </si>
  <si>
    <t xml:space="preserve">No se aconseja de rutina la administración de antibioterapia profiláctica para la colocación de prótesis metálica autoexpandible de colon</t>
  </si>
  <si>
    <t xml:space="preserve">No se recomienda la colocación de prótesis metálica autoexpandible de colon en pacientes que se encuentren en tratamiento con terapias antiangiogénicas como el bevacizumab</t>
  </si>
  <si>
    <t xml:space="preserve">La BUDESONIDA oral produce inmunosupresión sistémica en las dosis de 6 y 9 mg, pero no en la de 3 mg.</t>
  </si>
  <si>
    <t xml:space="preserve">VEDOLIZUMAB produce inmunosupresión sistémica.</t>
  </si>
  <si>
    <t xml:space="preserve">Las dosis bajas de AZATIOPRINA (por ejemplo 1 mg/kg/día) pueden considerarse baja inmunosupresión.</t>
  </si>
  <si>
    <t xml:space="preserve">Los AMINOSALICILATOS no producen inmunosupresión sistémica.</t>
  </si>
  <si>
    <t xml:space="preserve">Los síntomas mejoran tras la retirada del glutén de la dieta durante 6 meses y no suelen recurrir tras la reintroducción</t>
  </si>
  <si>
    <t xml:space="preserve">Hay que excluir la alergia a la avena.</t>
  </si>
  <si>
    <t xml:space="preserve">Los síntomas siempre aparecen inmediatamente tras la ingesta.</t>
  </si>
  <si>
    <t xml:space="preserve">Puede presentarse con síntomas similares al síndrome de intestino irritable o síntomas extraintestinales.</t>
  </si>
  <si>
    <t xml:space="preserve">reserva-general</t>
  </si>
  <si>
    <t xml:space="preserve">Adoptar medidas que protejan la salud individual de los trabajadores.</t>
  </si>
  <si>
    <t xml:space="preserve">Combatir los riesgos en su origen</t>
  </si>
  <si>
    <t xml:space="preserve">El empresario desarrollará acciones puntuales en materia de prevención</t>
  </si>
  <si>
    <t xml:space="preserve">No se podrán concertar operaciones de seguro</t>
  </si>
  <si>
    <t xml:space="preserve">Las relajaciones transitorias del esfínter esofágico inferior son prolongadas (más de 10 segundos).</t>
  </si>
  <si>
    <t xml:space="preserve">Las relajaciones transitorias del esfínter esofágico e asocian con la relajación del músculo longitudinal esofágico distal, que causa acortamiento esofágico.</t>
  </si>
  <si>
    <t xml:space="preserve">Las relajaciones transitorias del esfínter esofágico no tienen un peristaltismo esofágico sincronizado.</t>
  </si>
  <si>
    <t xml:space="preserve">Las relajaciones transitorias del esfínter esofágico se asocian con la inhibición del diafragma crural.</t>
  </si>
  <si>
    <t xml:space="preserve">2-6 meses.</t>
  </si>
  <si>
    <t xml:space="preserve">Puede cursar con ictericia</t>
  </si>
  <si>
    <t xml:space="preserve">Puede cursar con diarrea</t>
  </si>
  <si>
    <t xml:space="preserve">Las biopsias intestinales pueden confirmar el diagnóstico</t>
  </si>
  <si>
    <t xml:space="preserve">La clínica digestiva de este proceso es muy específica</t>
  </si>
  <si>
    <t xml:space="preserve">Déficit de factor IX.</t>
  </si>
  <si>
    <t xml:space="preserve">Déficit de antitrombina III.</t>
  </si>
  <si>
    <t xml:space="preserve">Anemia de células falciformes.</t>
  </si>
  <si>
    <t xml:space="preserve">Déficit de proteína C.</t>
  </si>
  <si>
    <t xml:space="preserve">Ictericia.</t>
  </si>
  <si>
    <t xml:space="preserve">Dilatación progresiva de los conductos biliares intra o extrahepáticos.</t>
  </si>
  <si>
    <t xml:space="preserve">Empeoramiento del prurito.</t>
  </si>
  <si>
    <t xml:space="preserve">Elevación del marcador Ca 19.9.</t>
  </si>
  <si>
    <t xml:space="preserve">Llamada de confirmación a pacientes en lista de espera para pruebas especiales</t>
  </si>
  <si>
    <t xml:space="preserve">Acompañamiento de payasos, payasas y risoterapia</t>
  </si>
  <si>
    <t xml:space="preserve">"Sueño en mi hospital", actividad destinada a fomentar el sueño y descanso nocturno de pacientes ingresados.</t>
  </si>
  <si>
    <t xml:space="preserve">Acompañamiento a pacientes de oncología en primeras consultas, realizado por personal de Información y Atención a Pacientes.</t>
  </si>
  <si>
    <t xml:space="preserve">Iniciar tratamiento antiviral con tenofovir</t>
  </si>
  <si>
    <t xml:space="preserve">La lactancia materna estaría contraindicada</t>
  </si>
  <si>
    <t xml:space="preserve">Inmunoprofilaxis combinada con vacuna y gammaglobulina específica en el recién nacido</t>
  </si>
  <si>
    <t xml:space="preserve">El interferón pegilado estaría contraindicado</t>
  </si>
  <si>
    <t xml:space="preserve">10</t>
  </si>
  <si>
    <t xml:space="preserve">8</t>
  </si>
  <si>
    <t xml:space="preserve">15</t>
  </si>
  <si>
    <t xml:space="preserve">22</t>
  </si>
  <si>
    <t xml:space="preserve">Neoplasia quística mucinosa.</t>
  </si>
  <si>
    <t xml:space="preserve">Pseudoquiste pancreático.</t>
  </si>
  <si>
    <t xml:space="preserve">Distensión abdominal.</t>
  </si>
  <si>
    <t xml:space="preserve">Síntomas nocturnos.</t>
  </si>
  <si>
    <t xml:space="preserve">Alteraciones del ritmo deposicional.</t>
  </si>
  <si>
    <t xml:space="preserve">El servicio de Personal</t>
  </si>
  <si>
    <t xml:space="preserve">La Dirección de Gestión y Asuntos Generales</t>
  </si>
  <si>
    <t xml:space="preserve">La Dirección Médica</t>
  </si>
  <si>
    <t xml:space="preserve">La unidad de admisión y documentación clínica.</t>
  </si>
  <si>
    <t xml:space="preserve">Número de biopsias y ubicación en cm desde el EEI de las biopsias tomadas del segmento de Barrett.</t>
  </si>
  <si>
    <t xml:space="preserve">La extensión del Barrett utilizando los criterios de Praga.</t>
  </si>
  <si>
    <t xml:space="preserve">La presencia o ausencia de esofagitis erosiva utilizando la clasificación de Los Ángeles.</t>
  </si>
  <si>
    <t xml:space="preserve">Una descripción de la localización, tamaño y el aspecto macroscópico usando la clasificación de París, de cualquier anormalidad visible dentro del epitelio de Barrett.</t>
  </si>
  <si>
    <t xml:space="preserve">Recomendado ante la corticodependencia</t>
  </si>
  <si>
    <t xml:space="preserve">Recomendado solo en combinación con biológicos</t>
  </si>
  <si>
    <t xml:space="preserve">No recomendado como monoterapia</t>
  </si>
  <si>
    <t xml:space="preserve">Recomendado solo en pacientes jovenes</t>
  </si>
  <si>
    <t xml:space="preserve">El que presenta inestabilidad cromosómica con mutaciones de genes como el TP53, entre otros.</t>
  </si>
  <si>
    <t xml:space="preserve">El que es genómicamente estable pero puede presentar mutaciones en genes como CDH1 CTNNA1 o ligados a la adhesión celular.</t>
  </si>
  <si>
    <t xml:space="preserve">El asociado a la infección por virus de EpsteinBarr.</t>
  </si>
  <si>
    <t xml:space="preserve">Gardner.</t>
  </si>
  <si>
    <t xml:space="preserve">Peutz-Jeghers.</t>
  </si>
  <si>
    <t xml:space="preserve">Cowden.</t>
  </si>
  <si>
    <t xml:space="preserve">Una relación de carácter contractual.</t>
  </si>
  <si>
    <t xml:space="preserve">Una relación de carácter laboral.</t>
  </si>
  <si>
    <t xml:space="preserve">Una relación de carácter especial.</t>
  </si>
  <si>
    <t xml:space="preserve">Una relación de carácter estatutario.</t>
  </si>
  <si>
    <t xml:space="preserve">Un organismo autónomo adscrito a la Consejería de Sanidad.</t>
  </si>
  <si>
    <t xml:space="preserve">Un organismo autónomo adscrito a la Consejería de Presidencia.</t>
  </si>
  <si>
    <t xml:space="preserve">Un organismo autónomo del Ministerio de Sanidad.</t>
  </si>
  <si>
    <t xml:space="preserve">Deficit de antitrombina</t>
  </si>
  <si>
    <t xml:space="preserve">Neoplasias mieloproliferativas</t>
  </si>
  <si>
    <t xml:space="preserve">Déficit de proteina C</t>
  </si>
  <si>
    <t xml:space="preserve">Carcinoma renal</t>
  </si>
  <si>
    <t xml:space="preserve">La uveítis posterior y la epiescleritis son las manifestaciones más frecuentes a nivel ocular.</t>
  </si>
  <si>
    <t xml:space="preserve">El eritema nodoso resistente puede precisar tratamiento con anti TNF.</t>
  </si>
  <si>
    <t xml:space="preserve">La patología broncopulmonar es una MEI rara en la EII, aunque se ha descrito neumonía intersticial asociada a la EII.</t>
  </si>
  <si>
    <t xml:space="preserve">El riesgo de tromboembolismo venoso se relaciona con la actividad de la EII.</t>
  </si>
  <si>
    <t xml:space="preserve">Establece el riesgo de mortalidad a los 6 meses de su inclusión en lista activa.</t>
  </si>
  <si>
    <t xml:space="preserve">El punto de corte para acceder a la lista de espera activa es de 18.</t>
  </si>
  <si>
    <t xml:space="preserve">La puntuación MELD-Na mejora la precisión en la elección del momento de inclusión en lista de espera en pacientes con encefalopatía hepática.</t>
  </si>
  <si>
    <t xml:space="preserve">La cifra de creatinina sérica puede infraestimar la puntuación MELD en pacientes cirróticos con sarcopenia.</t>
  </si>
  <si>
    <t xml:space="preserve">Sus miembros deberán ostentar la condición de personal fijo o interino de cualquier administración pública, no pudiendo participar el personal eventual.</t>
  </si>
  <si>
    <t xml:space="preserve">Sus miembros deberán ser empleados públicos en plaza o categoría para cuyo ingreso se requiera titulación igual o superior a la exigida a los candidatos.</t>
  </si>
  <si>
    <t xml:space="preserve">Sus miembros deberán pertenecer a la Administración Pública que convoca el proceso selectivo.</t>
  </si>
  <si>
    <t xml:space="preserve">Toda forma de tratamiento automatizado de datos personales consistente en utilizar datos personales para evaluar determinados aspectos personales de una persona física, en particular para analizar o predecir aspectos relativos al rendimiento profesional, situación económica, salud, preferencias personales, intereses, fiabilidad comportamiento, ubicación o movimientos de dicha persona física.</t>
  </si>
  <si>
    <t xml:space="preserve">El derecho del interesado a obtener sin dilación indebida del responsable del tratamiento la supresión de los datos personales que le conciernan que hayan sido tratados ilícitamente.</t>
  </si>
  <si>
    <t xml:space="preserve">El derecho del interesado a obtener del responsable del tratamiento la supresión de los datos personales que no sean ya necesarios en relación con los fines para los que fueron recogidos.</t>
  </si>
  <si>
    <t xml:space="preserve">El tratamiento de datos personales de manera tal que ya no puedan atribuirse a un interesado sin utilizar información adicional, siempre que dicha información adicional figure por separado y esté sujeta a medidas técnicas y organizativas destinadas a garantizar que los datos personales no se atribuyan a una persona física identificada o identificable.</t>
  </si>
  <si>
    <t xml:space="preserve">Aspiración.</t>
  </si>
  <si>
    <t xml:space="preserve">Cambios de la voz.</t>
  </si>
  <si>
    <t xml:space="preserve">Tos.</t>
  </si>
  <si>
    <t xml:space="preserve">Halitosis.</t>
  </si>
  <si>
    <t xml:space="preserve">Hasta un 37% de los pacientes con biopsias diagnósticas de esofagitis eosinofílica presentan mucosa esofágica normal en el informe endoscópico.</t>
  </si>
  <si>
    <t xml:space="preserve">Para un Correcto diagnóstico de esofagitis eosinofílica, el paciente debe suspender la toma menos de dos semanas antes de la realización de endoscopia con biopsias.</t>
  </si>
  <si>
    <t xml:space="preserve">Para el diagnóstico histológico de esofagitis eosinofílica es necesaria la toma de al menos 6 biopsias de al menos dos segmentos diferentes del esófago.</t>
  </si>
  <si>
    <t xml:space="preserve">El tratamiento prolongado del AAS se ha asociado con una reducción tanto de la incidencia como de la mortalidad por cáncer de colon</t>
  </si>
  <si>
    <t xml:space="preserve">El tratamiento prolongado del AAS se ha asociado con una reducción de la incidencia pero no de la mortalidad por cáncer de colon</t>
  </si>
  <si>
    <t xml:space="preserve">El tratamiento prolongado del AAS se ha asociado con una reducción de la mortalidad pero no de la incidencia por cáncer de colon</t>
  </si>
  <si>
    <t xml:space="preserve">El mecanismo implicado en esta asociación no es bien conocido pero se ha descartado que esté relacionado con su acción anti-plaquetaria.</t>
  </si>
  <si>
    <t xml:space="preserve">Ciprofloxacino.</t>
  </si>
  <si>
    <t xml:space="preserve">Azatioprina.</t>
  </si>
  <si>
    <t xml:space="preserve">Metotrexate.</t>
  </si>
  <si>
    <t xml:space="preserve">Adalimumab.</t>
  </si>
  <si>
    <t xml:space="preserve">Se origina con mayor frecuencia en divertículos de colon izquierdo.</t>
  </si>
  <si>
    <t xml:space="preserve">Ocurre como consecuencia de la rotura de la vasa recta en la cúpula o cuello del divertículo.</t>
  </si>
  <si>
    <t xml:space="preserve">El sangrado cede espontáneamente en la mayoría de los casos.</t>
  </si>
  <si>
    <t xml:space="preserve">Es la causa de hasta el 40% de los episodios de hemorragia digestiva baja.</t>
  </si>
  <si>
    <t xml:space="preserve">Tratamiento de la encefalopatía hepática aguda</t>
  </si>
  <si>
    <t xml:space="preserve">Prevención de la recurrencia de la encefalopatía</t>
  </si>
  <si>
    <t xml:space="preserve">Prevención de la encefalopatía post-TIPS</t>
  </si>
  <si>
    <t xml:space="preserve">Tratamiento de la encefalopatía hepática mínima</t>
  </si>
  <si>
    <t xml:space="preserve">El escenario más frecuente es el de la diverticulosis asintomática</t>
  </si>
  <si>
    <t xml:space="preserve">La probabilidad de complicación aumenta progresivamente con los sucesivos episodios de diverticulitis aguda</t>
  </si>
  <si>
    <t xml:space="preserve">La clasificación de Hinchey permite estadificar la gravedad de la diverticulitis aguda</t>
  </si>
  <si>
    <t xml:space="preserve">En pacientes con hemorragia diverticular, realizar la colonoscopia en las primeras 24h tras el inicio del sangrado no incrementa la detección de estigmas de sangrado</t>
  </si>
  <si>
    <t xml:space="preserve">Ecoendoscopia.</t>
  </si>
  <si>
    <t xml:space="preserve">Colangioresonancia.</t>
  </si>
  <si>
    <t xml:space="preserve">Eco-Doppler.</t>
  </si>
  <si>
    <t xml:space="preserve">Solo en los pacientes con HBsAg POSITIVO</t>
  </si>
  <si>
    <t xml:space="preserve">Solo en los pacientes con HBcAc POSITIVO</t>
  </si>
  <si>
    <t xml:space="preserve">Tanto en los pacientes HBsAg POSITIVO como en los HBcAc POSITIVO</t>
  </si>
  <si>
    <t xml:space="preserve">En ninguno de ellos</t>
  </si>
  <si>
    <t xml:space="preserve">≥ 10 puntos.</t>
  </si>
  <si>
    <t xml:space="preserve">≤ 8 puntos.</t>
  </si>
  <si>
    <t xml:space="preserve">≤ 9 puntos.</t>
  </si>
  <si>
    <t xml:space="preserve">≤ 10 puntos.</t>
  </si>
  <si>
    <t xml:space="preserve">La colangiopancreatografía retrógrada endoscópica (CPRE) es la técnica morfológica de elección por su alta sensibilidad.</t>
  </si>
  <si>
    <t xml:space="preserve">La disminución de la elastasa fecal es un marcador muy precoz de pancreatitis crónica.</t>
  </si>
  <si>
    <t xml:space="preserve">La ecoendoscopia es la técnica más sensible para el diagnóstico precoz.</t>
  </si>
  <si>
    <t xml:space="preserve">La cuantificación de grasa fecal en heces de 72 horas es muy útil por su fácil realización y por no existir alternativas a la misma.</t>
  </si>
  <si>
    <t xml:space="preserve">En la hemorragia diverticular, tanto el tratamiento con clips hemostáticos como el que se realiza con bandas elásticas son alternativas válidas.</t>
  </si>
  <si>
    <t xml:space="preserve">La presencia de un absceso diverticular mayor de 2 cm exige el drenaje de este como primera línea terapéutica.</t>
  </si>
  <si>
    <t xml:space="preserve">Los pacientes que cumplen criterios para tratamiento ambulatorio, requieren necesariamente un tratamiento con antibióticos orales.</t>
  </si>
  <si>
    <t xml:space="preserve">En el tratamiento hospitalario de la diverticulitis complicada, la dieta absoluta, antibióticos y fluidoterapia son las bases imprescindibles del mismo.</t>
  </si>
  <si>
    <t xml:space="preserve">La identidad de la persona solicitante.</t>
  </si>
  <si>
    <t xml:space="preserve">La modalidad o vía elegida por la persona solicitante para la puesta a disposición de la información y también su formato.</t>
  </si>
  <si>
    <t xml:space="preserve">El órgano administrativo o entidad al que se dirige.</t>
  </si>
  <si>
    <t xml:space="preserve">Quiste de duplicación</t>
  </si>
  <si>
    <t xml:space="preserve">Lipoma</t>
  </si>
  <si>
    <t xml:space="preserve">Tumor carcinoide</t>
  </si>
  <si>
    <t xml:space="preserve">Tumor del estroma gastrointestinal</t>
  </si>
  <si>
    <t xml:space="preserve">Idiopática.</t>
  </si>
  <si>
    <t xml:space="preserve">Autoinmune.</t>
  </si>
  <si>
    <t xml:space="preserve">Hipocalcemia.</t>
  </si>
  <si>
    <t xml:space="preserve">Insuficiencia renal crónica.</t>
  </si>
  <si>
    <t xml:space="preserve">5 o más pólipos serrados proximales al colon sigmoide y dos de ellos mayores de 10 mm. de diámetro.</t>
  </si>
  <si>
    <t xml:space="preserve">Cualquier número de pólipos serrados proximales al sigma en individuo con antecedentes familiares de primer grado de poliposis serrada.</t>
  </si>
  <si>
    <t xml:space="preserve">Más de 20 pólipos serrados de cualquier tamaño, distribuidos a lo largo del colon.</t>
  </si>
  <si>
    <t xml:space="preserve">Cualquier número de pólipos serrados siempre que se den en colon ascendente y ciego, uno de ellos mayor o igual a 10 mm.</t>
  </si>
  <si>
    <t xml:space="preserve">Iniciar azatioprina.</t>
  </si>
  <si>
    <t xml:space="preserve">Iniciar antiTNF.</t>
  </si>
  <si>
    <t xml:space="preserve">Iniciar ustekinumab.</t>
  </si>
  <si>
    <t xml:space="preserve">Como está asintomático, se cita en 3 meses con calprotectina.</t>
  </si>
  <si>
    <t xml:space="preserve">Combinación de lamivudina y tenofovir.</t>
  </si>
  <si>
    <t xml:space="preserve">Combinación de lamivudina y entecavir.</t>
  </si>
  <si>
    <t xml:space="preserve">Monoterapia con tenofovir.</t>
  </si>
  <si>
    <t xml:space="preserve">Monoterapia con entecavir.</t>
  </si>
  <si>
    <t xml:space="preserve">El estudio histológico o los niveles séricos de pepsinógeno ayudan a descartar la ingesta de AINE como factor etiológico de la UP</t>
  </si>
  <si>
    <t xml:space="preserve">Estas úlceras son muy raras en nuestro medio (menos del 5%)</t>
  </si>
  <si>
    <t xml:space="preserve">Debe excluirse cuidadosamente el diagnóstico erróneamente negativo para H.pylori</t>
  </si>
  <si>
    <t xml:space="preserve">Se debe valorar etiologías poco frecuentes como el consumo de bifosfonatos, cocaína o la presencia de gastrinoma</t>
  </si>
  <si>
    <t xml:space="preserve">reserva-teorico-practica</t>
  </si>
  <si>
    <t xml:space="preserve">Adalimumab</t>
  </si>
  <si>
    <t xml:space="preserve">Ustekinumab</t>
  </si>
  <si>
    <t xml:space="preserve">Upadacitinib</t>
  </si>
  <si>
    <t xml:space="preserve">Vedolizumab</t>
  </si>
  <si>
    <t xml:space="preserve">Pólipo hiperplásico.</t>
  </si>
  <si>
    <t xml:space="preserve">Pólipo de glándulas fúndicas.</t>
  </si>
  <si>
    <t xml:space="preserve">Pólipo adenomatoso.</t>
  </si>
  <si>
    <t xml:space="preserve">Pólipo hamartomatoso.</t>
  </si>
  <si>
    <t xml:space="preserve">Serotipo O157/H7 de E coli enterohemorrágico productor de toxina Shiga.</t>
  </si>
  <si>
    <t xml:space="preserve">Listeria monocitogenes.</t>
  </si>
  <si>
    <t xml:space="preserve">Criptosporidium.</t>
  </si>
  <si>
    <t xml:space="preserve">Bacillus cereus.</t>
  </si>
  <si>
    <t xml:space="preserve">Su designación atenderá a principios de mérito y capacidad y a criterios de idoneidad, y se llevará a cabo mediante procedimientos que garanticen la publicidad y concurrencia.</t>
  </si>
  <si>
    <t xml:space="preserve">Es personal directivo el que desarrolla funciones directivas profesionales en las Administraciones Públicas, definidas como tales en las normas específicas de cada Administración.</t>
  </si>
  <si>
    <t xml:space="preserve">El personal directivo estará sujeto a evaluación con arreglo a los criterios de eficacia y eficiencia, responsabilidad por su gestión y control de resultados en relación con los objetivos que les hayan sido fijados.</t>
  </si>
  <si>
    <t xml:space="preserve">Sexo femenino</t>
  </si>
  <si>
    <t xml:space="preserve">Enfermedad de ducto pequeño</t>
  </si>
  <si>
    <t xml:space="preserve">Ictericia</t>
  </si>
  <si>
    <t xml:space="preserve">Edad más joven al diagnóstico</t>
  </si>
  <si>
    <t xml:space="preserve">Debe completarse el estudio con TAC colonografía/colonoscopia virtual o enema opaco, según disponibilidad.</t>
  </si>
  <si>
    <t xml:space="preserve">Debe realizarse un nuevo test de sangre oculta en heces tres meses tras la polipectomía y, si es positivo, repetir la colonoscopia.</t>
  </si>
  <si>
    <t xml:space="preserve">Se debe solicitar una nueva colonoscopia, optimizando la limpieza colónica.</t>
  </si>
  <si>
    <t xml:space="preserve">Se debe individualizar la pauta de seguimiento endoscópico, con intervalos más estrechos que los recomendados por las guías de práctica clínica.</t>
  </si>
  <si>
    <t xml:space="preserve">Las contraindicaciones</t>
  </si>
  <si>
    <t xml:space="preserve">Los riesgos relacionados con las circunstancias personales o profesionales del paciente</t>
  </si>
  <si>
    <t xml:space="preserve">La posibilidad de dictar instrucciones previas.</t>
  </si>
  <si>
    <t xml:space="preserve">los riesgos probables en condiciones normales directamente relacionados con el tipo de intervención</t>
  </si>
  <si>
    <t xml:space="preserve">Mirikizumab</t>
  </si>
  <si>
    <t xml:space="preserve">La principal manifestación clínica es el prurito palmo – plantar, de predominio nocturno</t>
  </si>
  <si>
    <t xml:space="preserve">En el 90% de los casos las pacientes terminan presentando ictericia</t>
  </si>
  <si>
    <t xml:space="preserve">El objetivo del tratamiento es disminuir los ácidos biliares en sangre hasta conseguir la madurez pulmonar fetal</t>
  </si>
  <si>
    <t xml:space="preserve">El tratamiento con acido ursodeoxicolico (10-16 mg/kg/día) es seguro en mujeres con colestasis intrahepatica del embarazo</t>
  </si>
  <si>
    <t xml:space="preserve">OLGIM</t>
  </si>
  <si>
    <t xml:space="preserve">OLGA</t>
  </si>
  <si>
    <t xml:space="preserve">Sidney</t>
  </si>
  <si>
    <t xml:space="preserve">Kikuchi</t>
  </si>
  <si>
    <t xml:space="preserve">Menor edad al diagnóstico de colitis ulcerosa.</t>
  </si>
  <si>
    <t xml:space="preserve">La presencia de estenosis colónicas.</t>
  </si>
  <si>
    <t xml:space="preserve">Todas son ciertas.</t>
  </si>
  <si>
    <t xml:space="preserve">Presentan una alta sensibilidad en el diagnóstico del cáncer gástrico precoz.</t>
  </si>
  <si>
    <t xml:space="preserve">Están habitualmente elevados en la recurrencia del cáncer gástrico.</t>
  </si>
  <si>
    <t xml:space="preserve">Valores elevados de ambos marcadores previo a la cirugía predice riesgo de recurrencia.</t>
  </si>
  <si>
    <t xml:space="preserve">Actualmente la alternativa a estos marcadores se sitúa el foco en la medida de células tumorales y DNA circulantes mediante “biopsias líquidas”.</t>
  </si>
  <si>
    <t xml:space="preserve">El criterio de Rottherdam evalúa la bilirrubina y la FA al sexto mes de tratamiento.</t>
  </si>
  <si>
    <t xml:space="preserve">El criterio de Paris-II evalúa a los doce meses de tratamiento la FA, la AST y la bilirrubina.</t>
  </si>
  <si>
    <t xml:space="preserve">El criterio de Ehime evalúa el valor y el descenso de la GGT a los seis meses de tratamiento.</t>
  </si>
  <si>
    <t xml:space="preserve">El criterio de Barcelona evalúa a los doce meses el valor y el descenso de FA.</t>
  </si>
  <si>
    <t xml:space="preserve">Síntomas y/o signos de malabsorción persistentes o recurrentes</t>
  </si>
  <si>
    <t xml:space="preserve">Persistencia de anticuerpos de enfermedad celíaca (antitransglutaminasa y/o antiendomisio)</t>
  </si>
  <si>
    <t xml:space="preserve">Atrofia de vellosidades del intestino delgado</t>
  </si>
  <si>
    <t xml:space="preserve">Evidencia de un cumplimiento estricto de una dieta sin gluten durante al menos 12 meses</t>
  </si>
  <si>
    <t xml:space="preserve">Se recomienda la colocación temporal de un stent de metal autoexpandible biliar completamente cubierto para hemorragias post-esfinterotomía refractaria a las modalidades hemostáticas estándar.</t>
  </si>
  <si>
    <t xml:space="preserve">En pacientes con pancreatitis biliar leve se recomienda realizar en el mismo ingreso colecistectomía.</t>
  </si>
  <si>
    <t xml:space="preserve">Para pacientes con síndrome de Mirizzi, el tratamiento con colangioscopia puede ser una alternativa al tratamiento quirúrgico, y evitar la colecistectomía en más de la mitad de los casos.</t>
  </si>
  <si>
    <t xml:space="preserve">Para hepatolitiasis se aconseja un enfoque multidisciplinario que incluye endoscopia, radiología intervencionista y cirugía.</t>
  </si>
  <si>
    <t xml:space="preserve">Benralizumab.</t>
  </si>
  <si>
    <t xml:space="preserve">Dupilumab.</t>
  </si>
  <si>
    <t xml:space="preserve">Omalizumab.</t>
  </si>
  <si>
    <t xml:space="preserve">Mepolizumab.</t>
  </si>
  <si>
    <t xml:space="preserve">Solicitar panel de marcadores para establecer la etiología del proceso, incluyendo niveles de Paracetamol en suero.</t>
  </si>
  <si>
    <t xml:space="preserve">Realizar una biopsia transyugular para evaluar el grado de necrosis y establecer un pronóstico.</t>
  </si>
  <si>
    <t xml:space="preserve">Iniciar tratamiento empírico con N-Acetil-Cisteína en perfusión i.v.</t>
  </si>
  <si>
    <t xml:space="preserve">Contactar con un centro con programa activo de trasplante hepático.</t>
  </si>
  <si>
    <t xml:space="preserve">El coeficiente de absorción grasa (CFA) está aceptado como el gold standard para la evaluación de la función exocrina pero no se aplica en la práctica clínica diaria.</t>
  </si>
  <si>
    <t xml:space="preserve">La determinación de C13-triglicéridos en aire espirado es una alternativa al CFA pero su uso en la práctica clínica diaria está limitado.</t>
  </si>
  <si>
    <t xml:space="preserve">Cualquier paciente con diagnóstico reciente de pancreatitis crónica debería ser evaluado con test de función pancreática aunque los hallazgos morfológicos no sean relevantes.</t>
  </si>
  <si>
    <t xml:space="preserve">La determinación de Elastasa fecal-1 es ampliamente utilizada. Valores muy bajos descartan una insuficiencia exocrina.</t>
  </si>
  <si>
    <t xml:space="preserve">H. Los Arcos.</t>
  </si>
  <si>
    <t xml:space="preserve">H. Reina Sofía.</t>
  </si>
  <si>
    <t xml:space="preserve">H. Santa Lucía.</t>
  </si>
  <si>
    <t xml:space="preserve">H. Morales Meseguer.</t>
  </si>
  <si>
    <t xml:space="preserve">Edad, frecuencia cardiaca, hemoglobina, comorbilidad, diagnóstico, estigmas endoscópicos de hemorragia reciente</t>
  </si>
  <si>
    <t xml:space="preserve">Edad, frecuencia cardiaca, presión arterial sistólica, comorbilidad, diagnóstico, estigmas endoscópicos de hemorragia reciente</t>
  </si>
  <si>
    <t xml:space="preserve">Edad, hemoglobina, urea, presión arterial sistólica, comorbilidad, diagnóstico, estigmas endoscópicos de hemorragia reciente</t>
  </si>
  <si>
    <t xml:space="preserve">Edad, presión arterial media, comorbilidad, forma de presentación, estigmas endoscópicos de hemorragia reciente</t>
  </si>
  <si>
    <t xml:space="preserve">Endoscopia digestiva alta.</t>
  </si>
  <si>
    <t xml:space="preserve">Radiografía simple de tórax y abdomen.</t>
  </si>
  <si>
    <t xml:space="preserve">Estudio analítico que incluya hemograma y bioquímica general.</t>
  </si>
  <si>
    <t xml:space="preserve">Control de la vía respiratoria y estado hemodinámico.</t>
  </si>
  <si>
    <t xml:space="preserve">Neoplasia mucinosa papilar intraductal.</t>
  </si>
  <si>
    <t xml:space="preserve">Tumor seudopapilar sólido.</t>
  </si>
  <si>
    <t xml:space="preserve">La radioterapia adyuvante tras cirugía R0 es standard y mejora la supervivencia.</t>
  </si>
  <si>
    <t xml:space="preserve">En el cáncer de páncreas localmente avanzado, la quimiorradioterapia después de la quimioterapia no mejora la supervivencia global, pero retrasa la progresión local.</t>
  </si>
  <si>
    <t xml:space="preserve">La radioterapia estereotáctica tiene un papel establecido como tratamiento inicial en el cáncer de páncreas bordeline resecable.</t>
  </si>
  <si>
    <t xml:space="preserve">La radioterapia debe aplicarse de forma rutinaria en pacientes con tumores resecables.</t>
  </si>
  <si>
    <t xml:space="preserve">Cirrosis criptogenética</t>
  </si>
  <si>
    <t xml:space="preserve">Síndrome de Budd-Chiari</t>
  </si>
  <si>
    <t xml:space="preserve">Enfermedad vascular portosinusoidal</t>
  </si>
  <si>
    <t xml:space="preserve">Esquistosomiasis</t>
  </si>
  <si>
    <t xml:space="preserve">Principios de licitud, lealtad y transparencia.</t>
  </si>
  <si>
    <t xml:space="preserve">Principio de limitación del plazo de conservación.</t>
  </si>
  <si>
    <t xml:space="preserve">Principio de seguridad digital.</t>
  </si>
  <si>
    <t xml:space="preserve">Principio de minimización de datos.</t>
  </si>
  <si>
    <t xml:space="preserve">No se recomienda la profilaxis venosa antitrombótica.</t>
  </si>
  <si>
    <t xml:space="preserve">Solo se recomienda transfusiones venosas si la hemoglobina es menor de 5 g/dl.</t>
  </si>
  <si>
    <t xml:space="preserve">No se recomienda el uso de plasma fresca de rutina.</t>
  </si>
  <si>
    <t xml:space="preserve">Ninguna de las respuestas es correcta.</t>
  </si>
  <si>
    <t xml:space="preserve">Paciente hemodinámicamente estable-colonoscopia en las primeras 24 horas.</t>
  </si>
  <si>
    <t xml:space="preserve">Paciente hemodinámicamente inestable-angioTC.</t>
  </si>
  <si>
    <t xml:space="preserve">Sospecha de divertículo de Meckel-gammagrafía con Tecnecio-99m.</t>
  </si>
  <si>
    <t xml:space="preserve">Paciente hemodinámicamente inestable-gastroscopia.</t>
  </si>
  <si>
    <t xml:space="preserve">Intestino delgado</t>
  </si>
  <si>
    <t xml:space="preserve">Recto</t>
  </si>
  <si>
    <t xml:space="preserve">Apéndice</t>
  </si>
  <si>
    <t xml:space="preserve">Estómago</t>
  </si>
  <si>
    <t xml:space="preserve">Virus A</t>
  </si>
  <si>
    <t xml:space="preserve">Virus B</t>
  </si>
  <si>
    <t xml:space="preserve">Virus C</t>
  </si>
  <si>
    <t xml:space="preserve">Virus D</t>
  </si>
  <si>
    <t xml:space="preserve">Fiebre.</t>
  </si>
  <si>
    <t xml:space="preserve">Leucocitosis</t>
  </si>
  <si>
    <t xml:space="preserve">Náuseas/vómitos.</t>
  </si>
  <si>
    <t xml:space="preserve">Dolor migratorio a fosa ilíaca derecha.</t>
  </si>
  <si>
    <t xml:space="preserve">Edad superior a 60 años.</t>
  </si>
  <si>
    <t xml:space="preserve">Etnia india.</t>
  </si>
  <si>
    <t xml:space="preserve">Dado que es una estenosis corta sin actividad, se recomienda dilatación endoscópica con balón.</t>
  </si>
  <si>
    <t xml:space="preserve">Se recomienda solicitar niveles de Infliximab para optimizar dosis, dado el comportamiento estenosante y agresivo de su enfermedad.</t>
  </si>
  <si>
    <t xml:space="preserve">Se recomienda suspender el tratamiento biológico al menos 6 semanas antes de realizar una cirugía programada, para evitar mayor riesgo de complicaciones postoperatorias.</t>
  </si>
  <si>
    <t xml:space="preserve">Todas las anteriores son falsas.</t>
  </si>
  <si>
    <t xml:space="preserve">En pacientes sin enfermedad inflamatoria conocida debe realizarse ileocolonoscopia tras el diagnóstico de CEP.</t>
  </si>
  <si>
    <t xml:space="preserve">Se recomienda colangiografía por RM anual para despistaje de neoplasia biliar.</t>
  </si>
  <si>
    <t xml:space="preserve">La CPRE con toma de biopsias y cepillado está indicada ante estenosis dominantes progresivas o de nueva aparición.</t>
  </si>
  <si>
    <t xml:space="preserve">No existe evidencia del beneficio de la elastografía transitoria en la evaluación de la CEP.</t>
  </si>
  <si>
    <t xml:space="preserve">Anti-TNF.</t>
  </si>
  <si>
    <t xml:space="preserve">Anti-interleukinas.</t>
  </si>
  <si>
    <t xml:space="preserve">Inhibidores de JAK.</t>
  </si>
  <si>
    <t xml:space="preserve">Anti-integrinas.</t>
  </si>
  <si>
    <t xml:space="preserve">La neutralización del cáustico tras la ingesta.</t>
  </si>
  <si>
    <t xml:space="preserve">La presencia de neutrofilia.</t>
  </si>
  <si>
    <t xml:space="preserve">La existencia de acidosis metabólica.</t>
  </si>
  <si>
    <t xml:space="preserve">La contraindicación a la endoscopia.</t>
  </si>
  <si>
    <t xml:space="preserve">Administrar glucagón por vía intravenosa y endoscopia para extracción de cuerpo extraño si no hay mejoría en 48 horas.</t>
  </si>
  <si>
    <t xml:space="preserve">Administrar glucagón por vía intravenosa y endoscopia para extracción de cuerpo extraño si no hay mejoría en 24 horas.</t>
  </si>
  <si>
    <t xml:space="preserve">Administrar glucagón por vía intravenosa y endoscopia para extracción de cuerpo extraño si no hay mejoría en 12 horas.</t>
  </si>
  <si>
    <t xml:space="preserve">Endoscopia precoz dentro de las primeras 6 horas.</t>
  </si>
  <si>
    <t xml:space="preserve">En población general sin ningún dato ni antecedentes de hepatopatía.</t>
  </si>
  <si>
    <t xml:space="preserve">Pacientes con hepatopatía crónica sin diagnóstico.</t>
  </si>
  <si>
    <t xml:space="preserve">Pacientes con porfiria cutánea tarda.</t>
  </si>
  <si>
    <t xml:space="preserve">Pacientes con hepatocarcinoma recién diagnosticado.</t>
  </si>
  <si>
    <t xml:space="preserve">La presencia de antecedentes de úlcera péptica gastroduodenal, complicada o no complicada, es factor de riesgo para el desarrollo de complicaciones GI en pacientes que toman AINE.</t>
  </si>
  <si>
    <t xml:space="preserve">No se recomienda el uso de antagonistas H2 para la prevención de las complicaciones GI de los AINE.</t>
  </si>
  <si>
    <t xml:space="preserve">El uso de IBP asociado a un AINE no selectivo es una estrategia válida para la prevención de las complicaciones GI altas de los AINE, en pacientes de riesgo.</t>
  </si>
  <si>
    <t xml:space="preserve">El uso de un COXIB no reduce las complicaciones en el tracto GI alto.</t>
  </si>
  <si>
    <t xml:space="preserve">Sindrome de Dubin Johnson.</t>
  </si>
  <si>
    <t xml:space="preserve">Sindrome de Crigler-Najjar I y II.</t>
  </si>
  <si>
    <t xml:space="preserve">Trasfusión masiva de sangre.</t>
  </si>
  <si>
    <t xml:space="preserve">Déficit de glucosa 6 fosfato deshidrogenasa.</t>
  </si>
  <si>
    <t xml:space="preserve">Fístula con orificio externo único.</t>
  </si>
  <si>
    <t xml:space="preserve">Fístula extraesfinteriana.</t>
  </si>
  <si>
    <t xml:space="preserve">Con fluctuación que sugiere absceso perianal.</t>
  </si>
  <si>
    <t xml:space="preserve">Fístula rectovaginal.</t>
  </si>
  <si>
    <t xml:space="preserve">Presión arterial diastólica.</t>
  </si>
  <si>
    <t xml:space="preserve">Sexo.</t>
  </si>
  <si>
    <t xml:space="preserve">Frecuencia cardíaca.</t>
  </si>
  <si>
    <t xml:space="preserve">Hematocrito.</t>
  </si>
  <si>
    <t xml:space="preserve">Algunos de los mecanismos propuestos son la falta de secreción ácida gástrica o de lipasa gástrica, el sobrecrecimiento bacteriano y la insuficiencia pancreática.</t>
  </si>
  <si>
    <t xml:space="preserve">Los estudios han demostrado que los suplementos con enzimas pancreáticas mejoran la absorción de la grasa.</t>
  </si>
  <si>
    <t xml:space="preserve">El tratamiento antibiótico mejora los síntomas tras la resección gástrica.</t>
  </si>
  <si>
    <t xml:space="preserve">Los valores de grasa fecal suelen ser superiores a 60 gramos al día.</t>
  </si>
  <si>
    <t xml:space="preserve">En caso de resección en fragmentos (piecemeal) de una adenoma mayor de 10 mm, el seguimiento endoscópico debe hacerse a los 6 meses antes de hacer ninguna otra recomendación</t>
  </si>
  <si>
    <t xml:space="preserve">La ESGE no recomienda el uso de test de sangre oculta en heces tras polipectomía como método de seguimiento, pero en caso de realizarse de manera no planificada y si es positivo, la decisión debe basarse en el buen juicio clínico</t>
  </si>
  <si>
    <t xml:space="preserve">Los pacientes con extirpación de pólipos serrados de menos de 10 mm sin displasia deben clasificarse como de bajo riesgo, mientras que aquellos que tengan pólipos serrados de más de 10 mm con displasia serán clasificados como de alto riesgo</t>
  </si>
  <si>
    <t xml:space="preserve">Los criterios para considerar a un paciente como de alto riesgo tras polipectomía exigen la presencia de displasia de alto grado en algunos de los pólipos extirpados o bien la presencia de 3 o más adenomas siempre que tengan componente velloso</t>
  </si>
  <si>
    <t xml:space="preserve">Resistencia vascular sistémica aumentada con gasto cardíaco disminuido y filtrado glomerular alto.</t>
  </si>
  <si>
    <t xml:space="preserve">Resistencia vascular disminuida, gasto cardíaco bajo y filtrado glomerular disminuido.</t>
  </si>
  <si>
    <t xml:space="preserve">Resistencia sistémica aumentada, gasto cardíaco alto y filtrado glomerular disminuido.</t>
  </si>
  <si>
    <t xml:space="preserve">Resistencia vascular baja, gasto cardíaco alto y filtrado glomerular disminuido.</t>
  </si>
  <si>
    <t xml:space="preserve">Paciente trasplantado renal con HBsAg (+) y carga del VHB indetectable.</t>
  </si>
  <si>
    <t xml:space="preserve">Paciente con cirrosis hepática con HBsAg (+) y carga del VHB indetectable.</t>
  </si>
  <si>
    <t xml:space="preserve">Mujer embarazada en el tercer trimestre de gestación, HBsAg (+) y ADN-VHB &gt; 200.000 UI/mL.</t>
  </si>
  <si>
    <t xml:space="preserve">Paciente trasplantado hepático con anti-HBs (-) y donante anti-HBc.</t>
  </si>
  <si>
    <t xml:space="preserve">Cromogranina A.</t>
  </si>
  <si>
    <t xml:space="preserve">Calcitonina.</t>
  </si>
  <si>
    <t xml:space="preserve">Gastrina.</t>
  </si>
  <si>
    <t xml:space="preserve">Insulina.</t>
  </si>
  <si>
    <t xml:space="preserve">Ante el empeoramiento de la hiponatremia es recomendable iniciar una perfusión con altas dosis de furosemida para forzar un balance negativo de líquidos.</t>
  </si>
  <si>
    <t xml:space="preserve">En ausencia de fiebre debería retrasarse el tratamiento antibiótico hasta disponer de resultados de cultivo del líquido ascítico.</t>
  </si>
  <si>
    <t xml:space="preserve">Debe realizarse una paracentesis de un volumen no superior a 5 litros con reposición de albúmina.</t>
  </si>
  <si>
    <t xml:space="preserve">El deterioro de la función renal justificaría la consideración de una biopsia renal para descartar una nefropatía IgA asociada.</t>
  </si>
  <si>
    <t xml:space="preserve">Infección por H.pylori.</t>
  </si>
  <si>
    <t xml:space="preserve">Apendicectomía.</t>
  </si>
  <si>
    <t xml:space="preserve">Todos los anteriores.</t>
  </si>
  <si>
    <t xml:space="preserve">Se ha relacionado con tumores de piel no melanocíticos, de tracto urinario y linfomas.</t>
  </si>
  <si>
    <t xml:space="preserve">La determinación previa de la actividad de la tiopurina metiltransferasa (TPMT) no es imprescindible, pero permite mayor seguridad inicial.</t>
  </si>
  <si>
    <t xml:space="preserve">En caso de pacientes HBsAg positivos con carga viral VHB indetectable se recomienda seguimiento estrecho sin necesidad de tratamiento antiviral.</t>
  </si>
  <si>
    <t xml:space="preserve">Se recomienda evitar su uso en pacientes con serología negativa para virus Epstein Barr (VEB</t>
  </si>
  <si>
    <t xml:space="preserve">El cribado de la enfermedad celíaca mediante serología se recomienda de forma rutinaria en estos pacientes.</t>
  </si>
  <si>
    <t xml:space="preserve">La calprotectina fecal no parece de utilidad en pacientes con estreñimiento.</t>
  </si>
  <si>
    <t xml:space="preserve">No se dispone de biomarcadores específicos para el SII-E.</t>
  </si>
  <si>
    <t xml:space="preserve">La colonoscopia debe realizarse en pacientes con criterios de SII que tengan síntomas de alarma.</t>
  </si>
  <si>
    <t xml:space="preserve">Se recomienda el drenaje biliar preoperatorio de rutina en pacientes con obstrucción biliar extrahepática maligna.</t>
  </si>
  <si>
    <t xml:space="preserve">Se recomienda la colocación endoscópica de un stent de metal autoexpandible de 10 mm de diámetro para el drenaje biliar preoperatorio de la obstrucción biliar extrahepática maligna.</t>
  </si>
  <si>
    <t xml:space="preserve">Se recomienda la inserción de un stent de metal autoexpandible para el drenaje paliativo de la obstrucción biliar maligna extrahepática.</t>
  </si>
  <si>
    <t xml:space="preserve">En determinados casos es útil la colocación endoscópica de uno o varios stents de plástico para tratar las fugas del conducto biliar.</t>
  </si>
  <si>
    <t xml:space="preserve">Se requiere una evaluación manométrica y no manométrica adicional para llegar a un diagnóstico concluyente y procesable de obstrucción al flujo de salida de la unión esófago-gástrica (EGJOO).</t>
  </si>
  <si>
    <t xml:space="preserve">El espasmo esofágico distal y esófago hipercontráctil son tres patrones manométricos que deben ir acompañados de síntomas esofágicos obstructivos de disfagia y / o dolor torácico no cardíaco para que se consideren clínicamente relevantes.</t>
  </si>
  <si>
    <t xml:space="preserve">El protocolo manométrico estandarizado idealmente incluye posición supina no considerando necesarios estudios en posición erguida, y sí se considera necesario realizar maniobras manométricas adicionales como las degluciones múltiples rápidas habitual y de sobrecarga.</t>
  </si>
  <si>
    <t xml:space="preserve">La definición de motilidad esofágica ineficaz es más estricta y ahora abarca la perístasis fragmentada.</t>
  </si>
  <si>
    <t xml:space="preserve">Los pacientes suelen haber presentado un consumo excesivo de alcohol un mínimo de 6 meses, con un período de abstinencia inferior a 2 meses antes del diagnóstico de hepatitis alcohólica aguda.</t>
  </si>
  <si>
    <t xml:space="preserve">Los hallazgos analíticos habituales ofrecen una Bilirrubina total &gt; 3 mg/dl, AST/ALT &gt; 1.5 y cifras de AST y ALT inferiores a 400 UI/ml.</t>
  </si>
  <si>
    <t xml:space="preserve">No es preciso descartar el cuadro de "acute on chronic liver failure" dada su escasa incidencia en este tipo de pacientes.</t>
  </si>
  <si>
    <t xml:space="preserve">Siempre en preciso descartar patología biliar, hepatitis virales, autoinmunes y E. Wilson mediante los test habituales diagnósticos.</t>
  </si>
  <si>
    <t xml:space="preserve">Resección quirúrgica</t>
  </si>
  <si>
    <t xml:space="preserve">Ablación</t>
  </si>
  <si>
    <t xml:space="preserve">Quimioembolización transarterial</t>
  </si>
  <si>
    <t xml:space="preserve">Tratamiento sistémico</t>
  </si>
  <si>
    <t xml:space="preserve">Cirrosis con varices esofágicas grandes.</t>
  </si>
  <si>
    <t xml:space="preserve">Cirrosis grado C 12 de Child-Pugh con presencia de varices esofágicas pequeñas.</t>
  </si>
  <si>
    <t xml:space="preserve">Cirrosis sin varices esofágicas con varices gástricas.</t>
  </si>
  <si>
    <t xml:space="preserve">Paciente EPOC con cirrosis grado A de Child-Pugh y varices pequeñas.</t>
  </si>
  <si>
    <t xml:space="preserve">Pólipo serrado con displasia.</t>
  </si>
  <si>
    <t xml:space="preserve">Adenoma tubulovelloso de 8mm.</t>
  </si>
  <si>
    <t xml:space="preserve">Adenoma de 7mm con displasia de bajo grado.</t>
  </si>
  <si>
    <t xml:space="preserve">Cuatro adenomas tubulares &lt;10mm.</t>
  </si>
  <si>
    <t xml:space="preserve">Proporción</t>
  </si>
  <si>
    <t xml:space="preserve">Razón</t>
  </si>
  <si>
    <t xml:space="preserve">Tasa</t>
  </si>
  <si>
    <t xml:space="preserve">Hazard ratio</t>
  </si>
  <si>
    <t xml:space="preserve">[Full clinical context: andalucia-2022-extraordinaria-libre-caso-18]
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</si>
  <si>
    <t xml:space="preserve">Se trata de forma inequívoca de un Linfoma de Células T asociado a enteropatía.</t>
  </si>
  <si>
    <t xml:space="preserve">Podría tratarse de un Linfoma B difuso de intestino.</t>
  </si>
  <si>
    <t xml:space="preserve">No se puede descartar una enteropatía tipo Yeyunoileítis Ulcerativa.</t>
  </si>
  <si>
    <t xml:space="preserve">Podría tratarse de una Celiaquía Refractaria tipo I.</t>
  </si>
  <si>
    <t xml:space="preserve">andalucia-2022-extraordinaria-libre-caso-18</t>
  </si>
  <si>
    <t xml:space="preserve">En la acalasia tipo III o espástica, a la falta de relajación adecuada de la UGE (mediana de IRP &gt;15 mmHg) se asocia peristalsis anormal con contracciones prematuras (espásticas) con DCI &gt; 400 mmHg/s/cm en ≥ 30% de las degluciones.</t>
  </si>
  <si>
    <t xml:space="preserve">La acalasia tipo I se caracteriza por una mediana de IRP elevada (&gt; 15 mmHg), 100% peristalsis fallida y presurización panesofágica ≥ 20% de las degluciones.</t>
  </si>
  <si>
    <t xml:space="preserve">La acalasia tipo I se caracteriza por una mediana de IRP elevada (&gt; 15 mmHg) y un 100% de contracciones con una integral contráctil distal (DCI) &lt; 100 mmHg/s/cm.</t>
  </si>
  <si>
    <t xml:space="preserve">La acalasia tipo II es aquella que asocia una IRP&gt;15 mm de Hg con peristalsis anormal y contracciones prematuras (espásticas) con DCI &gt; 450 mmHg/s/cm en ≥ 30% de las degluciones.</t>
  </si>
  <si>
    <t xml:space="preserve">La deficiencia de Zinc y vitaminas del complejo B.</t>
  </si>
  <si>
    <t xml:space="preserve">Co-infección por VHC.</t>
  </si>
  <si>
    <t xml:space="preserve">La desnutrición asociada al alcoholismo.</t>
  </si>
  <si>
    <t xml:space="preserve">A y B son ciertas.</t>
  </si>
  <si>
    <t xml:space="preserve">Menos del 10% de los pacientes presentan afectación del tubo digestivo</t>
  </si>
  <si>
    <t xml:space="preserve">La biopsia esofágica endoscópica establece el diagnóstico</t>
  </si>
  <si>
    <t xml:space="preserve">Cuando hay alteración esofágica se afecta principalmente el músculo liso en los tercios medio e inferior esofágicos.</t>
  </si>
  <si>
    <t xml:space="preserve">No hay afectación de intestino delgado y colon</t>
  </si>
  <si>
    <t xml:space="preserve">Colocación de prótesis biliar o pancreática.</t>
  </si>
  <si>
    <t xml:space="preserve">Polipectomía endoscópica convencional.</t>
  </si>
  <si>
    <t xml:space="preserve">Ablación con radiofrecuencia a nivel esofágico o gástrico.</t>
  </si>
  <si>
    <t xml:space="preserve">Colocación de gastrostomía endoscópica percutánea.</t>
  </si>
  <si>
    <t xml:space="preserve">La vía convencional más frecuente en el cáncer esporádico es la de la inestabilidad de microsatélites, mientras que la menos frecuente es la de inestabilidad cromosómica.</t>
  </si>
  <si>
    <t xml:space="preserve">En la vía de la inestabilidad de microsatélites la mutación más conocida es la del gen APC.</t>
  </si>
  <si>
    <t xml:space="preserve">Existe una tercera vía denominada vía serrada que frecuentemente se inicia por mutación del gen BRAF o KRAS.</t>
  </si>
  <si>
    <t xml:space="preserve">Las mutaciones genéticas en síndromes hereditarios son esencialmente de tipo somático y secuenciales en cadena.</t>
  </si>
  <si>
    <t xml:space="preserve">Enzimas hepáticos alterados y conducto biliar normal.</t>
  </si>
  <si>
    <t xml:space="preserve">Enzimas hepáticos normales y conducto biliar dilatado.</t>
  </si>
  <si>
    <t xml:space="preserve">Enzimas hepáticos normales y conducto biliar normal.</t>
  </si>
  <si>
    <t xml:space="preserve">Enzimas hepáticos alterados y conducto biliar dilatado.</t>
  </si>
  <si>
    <t xml:space="preserve">Faecalibacterium prausnitzii</t>
  </si>
  <si>
    <t xml:space="preserve">Streptococcus dentisani</t>
  </si>
  <si>
    <t xml:space="preserve">Fusobacterium nucleatum</t>
  </si>
  <si>
    <t xml:space="preserve">Bacteroidetes</t>
  </si>
  <si>
    <t xml:space="preserve">Tiene alta sensibilidad y baja especificidad para indicar alteración hepática.</t>
  </si>
  <si>
    <t xml:space="preserve">Aumenta en el embarazo.</t>
  </si>
  <si>
    <t xml:space="preserve">Tiene alta especificidad y baja sensibilidad para enfermedad hepática.</t>
  </si>
  <si>
    <t xml:space="preserve">Disminuye si se toma fenitoína.</t>
  </si>
  <si>
    <t xml:space="preserve">1 gramo.</t>
  </si>
  <si>
    <t xml:space="preserve">2 gramos.</t>
  </si>
  <si>
    <t xml:space="preserve">4 gramos.</t>
  </si>
  <si>
    <t xml:space="preserve">12 gramos.</t>
  </si>
  <si>
    <t xml:space="preserve">[Full clinical context: andalucia-2021-22-libre-case-013]
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</si>
  <si>
    <t xml:space="preserve">Gastrectomía total abierta</t>
  </si>
  <si>
    <t xml:space="preserve">Mucosectomía en fragmentos</t>
  </si>
  <si>
    <t xml:space="preserve">Disección endoscópica submucosa</t>
  </si>
  <si>
    <t xml:space="preserve">Gastrectomía total laparoscópica</t>
  </si>
  <si>
    <t xml:space="preserve">andalucia-2021-22-libre-case-013</t>
  </si>
  <si>
    <t xml:space="preserve">Índice de Naini y Cortina.</t>
  </si>
  <si>
    <t xml:space="preserve">Índice de Geboes.</t>
  </si>
  <si>
    <t xml:space="preserve">Índice de Robarts.</t>
  </si>
  <si>
    <t xml:space="preserve">Índice de Riley modificado.</t>
  </si>
  <si>
    <t xml:space="preserve">0,80 g/kg peso corporal ideal al día</t>
  </si>
  <si>
    <t xml:space="preserve">1-1,6 g/kg peso corporal ideal al día</t>
  </si>
  <si>
    <t xml:space="preserve">1,2-1,4 g/kg peso corporal ideal al día</t>
  </si>
  <si>
    <t xml:space="preserve">1,3-1,5 g/kg peso corporal ideal al día</t>
  </si>
  <si>
    <t xml:space="preserve">El paciente probablemente una colitis fulminante y requiere colectomía inmediata.</t>
  </si>
  <si>
    <t xml:space="preserve">Normalmente, si a las 72 horas no ha respondido al tratamiento biológico, se debe iniciar tratamiento con Ciclosporina.</t>
  </si>
  <si>
    <t xml:space="preserve">Se deben dar esteroides a dosis altas durante 3 días.</t>
  </si>
  <si>
    <t xml:space="preserve">Si a las 72 horas el paciente no ha respondido a Infliximab, debe plantearse colectomía.</t>
  </si>
  <si>
    <t xml:space="preserve">Ningún tratamiento adyuvante ha demostrado eficacia en la prevención de la recurrencia tras la cirugía del CHC.</t>
  </si>
  <si>
    <t xml:space="preserve">La resección quirúrgica está contraindicada en tumores mayores de 5 cm.</t>
  </si>
  <si>
    <t xml:space="preserve">La alfa fetoproteína elevada es un predictor de invasión microvascular y pobre diferenciación tumoral.</t>
  </si>
  <si>
    <t xml:space="preserve">Criterios como up to seven se consideran como referencia para expandir los criterios de trasplante hepático.</t>
  </si>
  <si>
    <t xml:space="preserve">Se suele realizar con valganciclovir oral.</t>
  </si>
  <si>
    <t xml:space="preserve">La duración de la misma es de un año tras el trasplante hepático.</t>
  </si>
  <si>
    <t xml:space="preserve">Es una estrategia recomendable en los pacientes de alto riesgo (receptores no inmunizados que reciben el injerto de un donante seropositivo).</t>
  </si>
  <si>
    <t xml:space="preserve">La profilaxis es eficaz en prevenir tanto los efectos directos como los efectos indirectos del citomegalovirus.</t>
  </si>
  <si>
    <t xml:space="preserve">Daño directo sobre la mucosa esofágica.</t>
  </si>
  <si>
    <t xml:space="preserve">Causticación ácida.</t>
  </si>
  <si>
    <t xml:space="preserve">Causticación alcalina.</t>
  </si>
  <si>
    <t xml:space="preserve">Answer Key</t>
  </si>
  <si>
    <t xml:space="preserve">Print area: item, controlling letter, and full answer text. Additional source fields remain available electronically to the right.</t>
  </si>
  <si>
    <t xml:space="preserve">Correct letter</t>
  </si>
  <si>
    <t xml:space="preserve">Correct option text</t>
  </si>
  <si>
    <t xml:space="preserve">Flags</t>
  </si>
  <si>
    <t xml:space="preserve">Source answer-key PDF</t>
  </si>
  <si>
    <t xml:space="preserve">Source key</t>
  </si>
  <si>
    <t xml:space="preserve">D</t>
  </si>
  <si>
    <t xml:space="preserve">AD_ILLES_BALEARS_2022__ANSWER_KEY__answer-key__plantilla-correctora-del-examen.pdf</t>
  </si>
  <si>
    <t xml:space="preserve">illes-balears|2022|caso-1|1</t>
  </si>
  <si>
    <t xml:space="preserve">C</t>
  </si>
  <si>
    <t xml:space="preserve">negated</t>
  </si>
  <si>
    <t xml:space="preserve">illes-balears|2022|caso-1|2</t>
  </si>
  <si>
    <t xml:space="preserve">A</t>
  </si>
  <si>
    <t xml:space="preserve">illes-balears|2022|caso-1|3</t>
  </si>
  <si>
    <t xml:space="preserve">B</t>
  </si>
  <si>
    <t xml:space="preserve">illes-balears|2022|caso-1|4</t>
  </si>
  <si>
    <t xml:space="preserve">illes-balears|2022|caso-1|5</t>
  </si>
  <si>
    <t xml:space="preserve">illes-balears|2022|caso-1|6</t>
  </si>
  <si>
    <t xml:space="preserve">illes-balears|2022|caso-1|7</t>
  </si>
  <si>
    <t xml:space="preserve">illes-balears|2022|caso-1|8</t>
  </si>
  <si>
    <t xml:space="preserve">illes-balears|2022|caso-1|9</t>
  </si>
  <si>
    <t xml:space="preserve">illes-balears|2022|caso-1|10</t>
  </si>
  <si>
    <t xml:space="preserve">illes-balears|2022|caso-1|11</t>
  </si>
  <si>
    <t xml:space="preserve">illes-balears|2022|caso-1|12</t>
  </si>
  <si>
    <t xml:space="preserve">illes-balears|2022|caso-1|14</t>
  </si>
  <si>
    <t xml:space="preserve">illes-balears|2022|caso-1|15</t>
  </si>
  <si>
    <t xml:space="preserve">illes-balears|2022|caso-1|16</t>
  </si>
  <si>
    <t xml:space="preserve">illes-balears|2022|caso-1|17</t>
  </si>
  <si>
    <t xml:space="preserve">illes-balears|2022|caso-1|18</t>
  </si>
  <si>
    <t xml:space="preserve">illes-balears|2022|caso-1|19</t>
  </si>
  <si>
    <t xml:space="preserve">illes-balears|2022|caso-1|20</t>
  </si>
  <si>
    <t xml:space="preserve">illes-balears|2022|caso-1|21</t>
  </si>
  <si>
    <t xml:space="preserve">illes-balears|2022|caso-1|22</t>
  </si>
  <si>
    <t xml:space="preserve">illes-balears|2022|caso-1|23</t>
  </si>
  <si>
    <t xml:space="preserve">illes-balears|2022|caso-1|24</t>
  </si>
  <si>
    <t xml:space="preserve">AD_ILLES_BALEARS_2022__ANSWER_KEY__answer-key__plantilla-correctora-supuesto-2.pdf</t>
  </si>
  <si>
    <t xml:space="preserve">illes-balears|2022|caso-2|25</t>
  </si>
  <si>
    <t xml:space="preserve">illes-balears|2022|caso-2|26</t>
  </si>
  <si>
    <t xml:space="preserve">illes-balears|2022|caso-2|27</t>
  </si>
  <si>
    <t xml:space="preserve">illes-balears|2022|caso-2|28</t>
  </si>
  <si>
    <t xml:space="preserve">illes-balears|2022|caso-2|29</t>
  </si>
  <si>
    <t xml:space="preserve">illes-balears|2022|caso-2|30</t>
  </si>
  <si>
    <t xml:space="preserve">illes-balears|2022|caso-2|31</t>
  </si>
  <si>
    <t xml:space="preserve">illes-balears|2022|caso-2|32</t>
  </si>
  <si>
    <t xml:space="preserve">illes-balears|2022|caso-2|33</t>
  </si>
  <si>
    <t xml:space="preserve">illes-balears|2022|caso-2|34</t>
  </si>
  <si>
    <t xml:space="preserve">illes-balears|2022|caso-2|35</t>
  </si>
  <si>
    <t xml:space="preserve">illes-balears|2022|caso-2|36</t>
  </si>
  <si>
    <t xml:space="preserve">illes-balears|2022|caso-2|37</t>
  </si>
  <si>
    <t xml:space="preserve">illes-balears|2022|caso-2|38</t>
  </si>
  <si>
    <t xml:space="preserve">illes-balears|2022|caso-2|39</t>
  </si>
  <si>
    <t xml:space="preserve">illes-balears|2022|caso-2|40</t>
  </si>
  <si>
    <t xml:space="preserve">illes-balears|2022|caso-2|41</t>
  </si>
  <si>
    <t xml:space="preserve">illes-balears|2022|caso-2|42</t>
  </si>
  <si>
    <t xml:space="preserve">illes-balears|2022|caso-2|43</t>
  </si>
  <si>
    <t xml:space="preserve">illes-balears|2022|caso-2|44</t>
  </si>
  <si>
    <t xml:space="preserve">illes-balears|2022|caso-2|45</t>
  </si>
  <si>
    <t xml:space="preserve">illes-balears|2022|caso-2|47</t>
  </si>
  <si>
    <t xml:space="preserve">illes-balears|2022|caso-2|48</t>
  </si>
  <si>
    <t xml:space="preserve">illes-balears|2022|caso-3|49</t>
  </si>
  <si>
    <t xml:space="preserve">illes-balears|2022|caso-3|50</t>
  </si>
  <si>
    <t xml:space="preserve">illes-balears|2022|caso-3|51</t>
  </si>
  <si>
    <t xml:space="preserve">illes-balears|2022|caso-3|52</t>
  </si>
  <si>
    <t xml:space="preserve">illes-balears|2022|caso-3|53</t>
  </si>
  <si>
    <t xml:space="preserve">illes-balears|2022|caso-3|54</t>
  </si>
  <si>
    <t xml:space="preserve">illes-balears|2022|caso-3|55</t>
  </si>
  <si>
    <t xml:space="preserve">illes-balears|2022|caso-3|56</t>
  </si>
  <si>
    <t xml:space="preserve">illes-balears|2022|caso-3|57</t>
  </si>
  <si>
    <t xml:space="preserve">illes-balears|2022|caso-3|58</t>
  </si>
  <si>
    <t xml:space="preserve">illes-balears|2022|caso-3|59</t>
  </si>
  <si>
    <t xml:space="preserve">illes-balears|2022|caso-3|60</t>
  </si>
  <si>
    <t xml:space="preserve">illes-balears|2022|caso-3|61</t>
  </si>
  <si>
    <t xml:space="preserve">illes-balears|2022|caso-3|62</t>
  </si>
  <si>
    <t xml:space="preserve">illes-balears|2022|caso-3|63</t>
  </si>
  <si>
    <t xml:space="preserve">illes-balears|2022|caso-3|64</t>
  </si>
  <si>
    <t xml:space="preserve">illes-balears|2022|caso-3|65</t>
  </si>
  <si>
    <t xml:space="preserve">illes-balears|2022|caso-3|66</t>
  </si>
  <si>
    <t xml:space="preserve">illes-balears|2022|caso-3|67</t>
  </si>
  <si>
    <t xml:space="preserve">illes-balears|2022|caso-3|68</t>
  </si>
  <si>
    <t xml:space="preserve">illes-balears|2022|caso-3|69</t>
  </si>
  <si>
    <t xml:space="preserve">illes-balears|2022|caso-3|70</t>
  </si>
  <si>
    <t xml:space="preserve">illes-balears|2022|caso-3|71</t>
  </si>
  <si>
    <t xml:space="preserve">illes-balears|2022|caso-3|72</t>
  </si>
  <si>
    <t xml:space="preserve">illes-balears|2022|caso-4|73</t>
  </si>
  <si>
    <t xml:space="preserve">illes-balears|2022|caso-4|74</t>
  </si>
  <si>
    <t xml:space="preserve">illes-balears|2022|caso-4|75</t>
  </si>
  <si>
    <t xml:space="preserve">illes-balears|2022|caso-4|76</t>
  </si>
  <si>
    <t xml:space="preserve">illes-balears|2022|caso-4|77</t>
  </si>
  <si>
    <t xml:space="preserve">illes-balears|2022|caso-4|78</t>
  </si>
  <si>
    <t xml:space="preserve">illes-balears|2022|caso-4|79</t>
  </si>
  <si>
    <t xml:space="preserve">illes-balears|2022|caso-4|80</t>
  </si>
  <si>
    <t xml:space="preserve">illes-balears|2022|caso-4|81</t>
  </si>
  <si>
    <t xml:space="preserve">illes-balears|2022|caso-4|82</t>
  </si>
  <si>
    <t xml:space="preserve">illes-balears|2022|caso-4|83</t>
  </si>
  <si>
    <t xml:space="preserve">illes-balears|2022|caso-4|84</t>
  </si>
  <si>
    <t xml:space="preserve">illes-balears|2022|caso-4|85</t>
  </si>
  <si>
    <t xml:space="preserve">illes-balears|2022|caso-4|86</t>
  </si>
  <si>
    <t xml:space="preserve">illes-balears|2022|caso-4|87</t>
  </si>
  <si>
    <t xml:space="preserve">illes-balears|2022|caso-4|88</t>
  </si>
  <si>
    <t xml:space="preserve">illes-balears|2022|caso-4|90</t>
  </si>
  <si>
    <t xml:space="preserve">illes-balears|2022|caso-4|91</t>
  </si>
  <si>
    <t xml:space="preserve">illes-balears|2022|caso-4|92</t>
  </si>
  <si>
    <t xml:space="preserve">illes-balears|2022|caso-4|93</t>
  </si>
  <si>
    <t xml:space="preserve">illes-balears|2022|caso-4|94</t>
  </si>
  <si>
    <t xml:space="preserve">illes-balears|2022|caso-4|95</t>
  </si>
  <si>
    <t xml:space="preserve">illes-balears|2022|caso-4|96</t>
  </si>
  <si>
    <t xml:space="preserve">illes-balears|2022|caso-5|97</t>
  </si>
  <si>
    <t xml:space="preserve">illes-balears|2022|caso-5|98</t>
  </si>
  <si>
    <t xml:space="preserve">illes-balears|2022|caso-5|99</t>
  </si>
  <si>
    <t xml:space="preserve">illes-balears|2022|caso-5|100</t>
  </si>
  <si>
    <t xml:space="preserve">illes-balears|2022|caso-5|101</t>
  </si>
  <si>
    <t xml:space="preserve">illes-balears|2022|caso-5|102</t>
  </si>
  <si>
    <t xml:space="preserve">illes-balears|2022|caso-5|103</t>
  </si>
  <si>
    <t xml:space="preserve">illes-balears|2022|caso-5|104</t>
  </si>
  <si>
    <t xml:space="preserve">illes-balears|2022|caso-5|105</t>
  </si>
  <si>
    <t xml:space="preserve">illes-balears|2022|caso-5|106</t>
  </si>
  <si>
    <t xml:space="preserve">illes-balears|2022|caso-5|107</t>
  </si>
  <si>
    <t xml:space="preserve">illes-balears|2022|caso-5|108</t>
  </si>
  <si>
    <t xml:space="preserve">illes-balears|2022|caso-5|109</t>
  </si>
  <si>
    <t xml:space="preserve">illes-balears|2022|caso-5|110</t>
  </si>
  <si>
    <t xml:space="preserve">illes-balears|2022|caso-5|111</t>
  </si>
  <si>
    <t xml:space="preserve">illes-balears|2022|caso-5|112</t>
  </si>
  <si>
    <t xml:space="preserve">illes-balears|2022|caso-5|113</t>
  </si>
  <si>
    <t xml:space="preserve">illes-balears|2022|caso-5|114</t>
  </si>
  <si>
    <t xml:space="preserve">illes-balears|2022|caso-5|115</t>
  </si>
  <si>
    <t xml:space="preserve">illes-balears|2022|caso-5|116</t>
  </si>
  <si>
    <t xml:space="preserve">illes-balears|2022|caso-5|117</t>
  </si>
  <si>
    <t xml:space="preserve">illes-balears|2022|caso-5|118</t>
  </si>
  <si>
    <t xml:space="preserve">illes-balears|2022|caso-5|119</t>
  </si>
  <si>
    <t xml:space="preserve">illes-balears|2022|caso-5|120</t>
  </si>
  <si>
    <t xml:space="preserve">illes-balears|2022|caso-6|121</t>
  </si>
  <si>
    <t xml:space="preserve">illes-balears|2022|caso-6|122</t>
  </si>
  <si>
    <t xml:space="preserve">illes-balears|2022|caso-6|123</t>
  </si>
  <si>
    <t xml:space="preserve">illes-balears|2022|caso-6|124</t>
  </si>
  <si>
    <t xml:space="preserve">illes-balears|2022|caso-6|125</t>
  </si>
  <si>
    <t xml:space="preserve">illes-balears|2022|caso-6|126</t>
  </si>
  <si>
    <t xml:space="preserve">illes-balears|2022|caso-6|127</t>
  </si>
  <si>
    <t xml:space="preserve">illes-balears|2022|caso-6|128</t>
  </si>
  <si>
    <t xml:space="preserve">illes-balears|2022|caso-6|129</t>
  </si>
  <si>
    <t xml:space="preserve">illes-balears|2022|caso-6|130</t>
  </si>
  <si>
    <t xml:space="preserve">illes-balears|2022|caso-6|131</t>
  </si>
  <si>
    <t xml:space="preserve">illes-balears|2022|caso-6|132</t>
  </si>
  <si>
    <t xml:space="preserve">illes-balears|2022|caso-6|133</t>
  </si>
  <si>
    <t xml:space="preserve">illes-balears|2022|caso-6|134</t>
  </si>
  <si>
    <t xml:space="preserve">illes-balears|2022|caso-6|135</t>
  </si>
  <si>
    <t xml:space="preserve">illes-balears|2022|caso-6|136</t>
  </si>
  <si>
    <t xml:space="preserve">illes-balears|2022|caso-6|137</t>
  </si>
  <si>
    <t xml:space="preserve">illes-balears|2022|caso-6|138</t>
  </si>
  <si>
    <t xml:space="preserve">illes-balears|2022|caso-6|139</t>
  </si>
  <si>
    <t xml:space="preserve">illes-balears|2022|caso-6|140</t>
  </si>
  <si>
    <t xml:space="preserve">illes-balears|2022|caso-6|141</t>
  </si>
  <si>
    <t xml:space="preserve">illes-balears|2022|caso-6|142</t>
  </si>
  <si>
    <t xml:space="preserve">illes-balears|2022|caso-6|143</t>
  </si>
  <si>
    <t xml:space="preserve">illes-balears|2022|caso-6|144</t>
  </si>
  <si>
    <t xml:space="preserve">illes-balears|2022|caso-7|145</t>
  </si>
  <si>
    <t xml:space="preserve">illes-balears|2022|caso-7|146</t>
  </si>
  <si>
    <t xml:space="preserve">illes-balears|2022|caso-7|147</t>
  </si>
  <si>
    <t xml:space="preserve">illes-balears|2022|caso-7|148</t>
  </si>
  <si>
    <t xml:space="preserve">illes-balears|2022|caso-7|149</t>
  </si>
  <si>
    <t xml:space="preserve">illes-balears|2022|caso-7|150</t>
  </si>
  <si>
    <t xml:space="preserve">illes-balears|2022|caso-7|151</t>
  </si>
  <si>
    <t xml:space="preserve">illes-balears|2022|caso-7|152</t>
  </si>
  <si>
    <t xml:space="preserve">illes-balears|2022|caso-7|153</t>
  </si>
  <si>
    <t xml:space="preserve">illes-balears|2022|caso-7|154</t>
  </si>
  <si>
    <t xml:space="preserve">illes-balears|2022|caso-7|155</t>
  </si>
  <si>
    <t xml:space="preserve">illes-balears|2022|caso-7|156</t>
  </si>
  <si>
    <t xml:space="preserve">illes-balears|2022|caso-7|157</t>
  </si>
  <si>
    <t xml:space="preserve">illes-balears|2022|caso-7|158</t>
  </si>
  <si>
    <t xml:space="preserve">illes-balears|2022|caso-7|159</t>
  </si>
  <si>
    <t xml:space="preserve">illes-balears|2022|caso-7|160</t>
  </si>
  <si>
    <t xml:space="preserve">illes-balears|2022|caso-7|161</t>
  </si>
  <si>
    <t xml:space="preserve">illes-balears|2022|caso-7|162</t>
  </si>
  <si>
    <t xml:space="preserve">illes-balears|2022|caso-7|163</t>
  </si>
  <si>
    <t xml:space="preserve">illes-balears|2022|caso-7|164</t>
  </si>
  <si>
    <t xml:space="preserve">illes-balears|2022|caso-7|165</t>
  </si>
  <si>
    <t xml:space="preserve">illes-balears|2022|caso-7|166</t>
  </si>
  <si>
    <t xml:space="preserve">illes-balears|2022|caso-7|167</t>
  </si>
  <si>
    <t xml:space="preserve">illes-balears|2022|caso-7|168</t>
  </si>
  <si>
    <t xml:space="preserve">AD_NAVARRA_2022__ANSWER_KEY__041_answer-key_respuestas-digestivo-ope-2022-estabilizacion.pdf</t>
  </si>
  <si>
    <t xml:space="preserve">navarra|2022|caso-clinico-1|91</t>
  </si>
  <si>
    <t xml:space="preserve">navarra|2022|caso-clinico-1|92</t>
  </si>
  <si>
    <t xml:space="preserve">navarra|2022|caso-clinico-1|93</t>
  </si>
  <si>
    <t xml:space="preserve">navarra|2022|caso-clinico-1|94</t>
  </si>
  <si>
    <t xml:space="preserve">navarra|2022|caso-clinico-1|95</t>
  </si>
  <si>
    <t xml:space="preserve">navarra|2022|caso-clinico-1|96</t>
  </si>
  <si>
    <t xml:space="preserve">navarra|2022|caso-clinico-2|97</t>
  </si>
  <si>
    <t xml:space="preserve">navarra|2022|caso-clinico-2|98</t>
  </si>
  <si>
    <t xml:space="preserve">navarra|2022|caso-clinico-2|99</t>
  </si>
  <si>
    <t xml:space="preserve">navarra|2022|caso-clinico-2|100</t>
  </si>
  <si>
    <t xml:space="preserve">navarra|2022|caso-clinico-2|101</t>
  </si>
  <si>
    <t xml:space="preserve">navarra|2022|caso-clinico-2|102</t>
  </si>
  <si>
    <t xml:space="preserve">navarra|2022|caso-clinico-3|103</t>
  </si>
  <si>
    <t xml:space="preserve">navarra|2022|caso-clinico-3|104</t>
  </si>
  <si>
    <t xml:space="preserve">navarra|2022|caso-clinico-3|105</t>
  </si>
  <si>
    <t xml:space="preserve">navarra|2022|caso-clinico-3|106</t>
  </si>
  <si>
    <t xml:space="preserve">navarra|2022|caso-clinico-3|107</t>
  </si>
  <si>
    <t xml:space="preserve">navarra|2022|caso-clinico-3|108</t>
  </si>
  <si>
    <t xml:space="preserve">navarra|2022|reserva-casos-clinicos|109</t>
  </si>
  <si>
    <t xml:space="preserve">navarra|2022|reserva-casos-clinicos|110</t>
  </si>
  <si>
    <t xml:space="preserve">navarra|2022|reserva-casos-clinicos|111</t>
  </si>
  <si>
    <t xml:space="preserve">AD_COMUNIDAD_DE_MADRID_2021__ANSWER_KEY__018_answer-key_plantilla-correctora-f-e-aparato-digestivo-2021.pdf</t>
  </si>
  <si>
    <t xml:space="preserve">comunidad-de-madrid|2021|main|48</t>
  </si>
  <si>
    <t xml:space="preserve">AD_CASTILLA_Y_LEON_2019__ANSWER_KEY__045_answer-key_plantilla-respuestas-correctas-l-e-aparato-digestivo-orden-s.pdf</t>
  </si>
  <si>
    <t xml:space="preserve">castilla-y-leon|2019|reserva-especifica|160</t>
  </si>
  <si>
    <t xml:space="preserve">AD_REGION_DE_MURCIA_2019__ANSWER_KEY__022_answer-key_apa-dig-plantilla-respuestas-corregida-turno-libre-modelo-a.pdf</t>
  </si>
  <si>
    <t xml:space="preserve">region-de-murcia|2019|main|140</t>
  </si>
  <si>
    <t xml:space="preserve">comunidad-de-madrid|2021|main|112</t>
  </si>
  <si>
    <t xml:space="preserve">AD_GALICIA_OPE_2016__CORRECTION__gal-03__aparello-dixestivo-20180201084525-cas-pdf.pdf</t>
  </si>
  <si>
    <t xml:space="preserve">galicia|2016|reserva-especifica|110</t>
  </si>
  <si>
    <t xml:space="preserve">clinical_case</t>
  </si>
  <si>
    <t xml:space="preserve">navarra|2022|teorico-practica|75</t>
  </si>
  <si>
    <t xml:space="preserve">AD_ANDALUCIA_2021_22_LIBRE__CORRECTION__09__9122-plantilla-respuestas-def-digestivo-pdf.pdf</t>
  </si>
  <si>
    <t xml:space="preserve">andalucia|2021|cuestionario-practico|126</t>
  </si>
  <si>
    <t xml:space="preserve">AD_COMUNITAT_VALENCIANA_2022__CORRECTION__27__27-comunidad-valenciana-2022-answer-key-definitive-pdf.pdf</t>
  </si>
  <si>
    <t xml:space="preserve">comunitat-valenciana|2022|main-47-80|56</t>
  </si>
  <si>
    <t xml:space="preserve">AD_ARAGON_2020__ANSWER_KEY__answer-key__plantilla-provisional-de-respuestas-2021-f.e.a-aparato-digestivo.pdf</t>
  </si>
  <si>
    <t xml:space="preserve">aragon|2020|main|93</t>
  </si>
  <si>
    <t xml:space="preserve">comunidad-de-madrid|2021|main|135</t>
  </si>
  <si>
    <t xml:space="preserve">galicia|2016|reserva-especifica|103</t>
  </si>
  <si>
    <t xml:space="preserve">AD_CASTILLA_LA_MANCHA_2017_2018__CORRECTION__correction__plantilla-correctora-definitiva-fea-aparato-digestivo.pdf</t>
  </si>
  <si>
    <t xml:space="preserve">castilla-la-mancha|2017|reserva-especifica|102</t>
  </si>
  <si>
    <t xml:space="preserve">andalucia|2021|cuestionario-practico|134</t>
  </si>
  <si>
    <t xml:space="preserve">AD_LA_RIOJA_2020_2021__CORRECTION__correction__plantilla-respuestas-modificada-fea-aparato-digestivo-2021.pdf</t>
  </si>
  <si>
    <t xml:space="preserve">la-rioja|2021|reserva|109</t>
  </si>
  <si>
    <t xml:space="preserve">region-de-murcia|2019|main|16</t>
  </si>
  <si>
    <t xml:space="preserve">comunitat-valenciana|2022|main-47-80|54</t>
  </si>
  <si>
    <t xml:space="preserve">AD_ARAGON_2017__ANSWER_KEY__answer-key__plantilla-de-respuestas-del-examen-de-la-categoria-de-aparato-digestivo-que-fue-.pdf</t>
  </si>
  <si>
    <t xml:space="preserve">aragon|2017|reserva-especifica|109</t>
  </si>
  <si>
    <t xml:space="preserve">comunitat-valenciana|2022|main|23</t>
  </si>
  <si>
    <t xml:space="preserve">comunitat-valenciana|2022|main|6</t>
  </si>
  <si>
    <t xml:space="preserve">castilla-la-mancha|2017|main|53</t>
  </si>
  <si>
    <t xml:space="preserve">region-de-murcia|2019|main|99</t>
  </si>
  <si>
    <t xml:space="preserve">la-rioja|2021|reserva|103</t>
  </si>
  <si>
    <t xml:space="preserve">clinical_case,negated</t>
  </si>
  <si>
    <t xml:space="preserve">AD_CASTILLA_LA_MANCHA_2022__CORRECTION__correction__plantilla-correctora-definitiva-fea-aparato-digestivo.pdf</t>
  </si>
  <si>
    <t xml:space="preserve">castilla-la-mancha|2022|main|17</t>
  </si>
  <si>
    <t xml:space="preserve">comunitat-valenciana|2022|main-47-80|77</t>
  </si>
  <si>
    <t xml:space="preserve">galicia|2016|reserva-especifica|108</t>
  </si>
  <si>
    <t xml:space="preserve">comunitat-valenciana|2022|main-47-80|73</t>
  </si>
  <si>
    <t xml:space="preserve">comunitat-valenciana|2022|main|4</t>
  </si>
  <si>
    <t xml:space="preserve">AD_LA_RIOJA_2023_2024__CORRECTION__correction__plantilla-respuestas-modificada-fea-aparato-digestivo-2025.pdf</t>
  </si>
  <si>
    <t xml:space="preserve">la-rioja|2024|main|58</t>
  </si>
  <si>
    <t xml:space="preserve">comunidad-de-madrid|2021|reserva-especifica|159</t>
  </si>
  <si>
    <t xml:space="preserve">AD_CASTILLA_Y_LEON_2022__CORRECTION__correction__plantilla-definitiva-de-respuestas-correctas-l-e-aparato-digestivo.pdf</t>
  </si>
  <si>
    <t xml:space="preserve">castilla-y-leon|2022|reserva|93</t>
  </si>
  <si>
    <t xml:space="preserve">AD_ANDALUCIA_2022_EXTRAORDINARIA_LIBRE__CORRECTION__14__def-feaapdigestivo-sas-2023-pdf.pdf</t>
  </si>
  <si>
    <t xml:space="preserve">andalucia|2022|cuestionario-practico|115</t>
  </si>
  <si>
    <t xml:space="preserve">la-rioja|2021|main|62</t>
  </si>
  <si>
    <t xml:space="preserve">region-de-murcia|2019|main|57</t>
  </si>
  <si>
    <t xml:space="preserve">region-de-murcia|2019|main|119</t>
  </si>
  <si>
    <t xml:space="preserve">castilla-la-mancha|2017|main|87</t>
  </si>
  <si>
    <t xml:space="preserve">castilla-la-mancha|2022|main|23</t>
  </si>
  <si>
    <t xml:space="preserve">aragon|2020|reserva-especifica|102</t>
  </si>
  <si>
    <t xml:space="preserve">comunitat-valenciana|2022|main|24</t>
  </si>
  <si>
    <t xml:space="preserve">comunidad-de-madrid|2021|main|125</t>
  </si>
  <si>
    <t xml:space="preserve">castilla-la-mancha|2017|main|14</t>
  </si>
  <si>
    <t xml:space="preserve">region-de-murcia|2019|main|71</t>
  </si>
  <si>
    <t xml:space="preserve">andalucia|2022|cuestionario-practico|143</t>
  </si>
  <si>
    <t xml:space="preserve">comunitat-valenciana|2022|main-47-80|58</t>
  </si>
  <si>
    <t xml:space="preserve">region-de-murcia|2019|main|69</t>
  </si>
  <si>
    <t xml:space="preserve">la-rioja|2021|main|44</t>
  </si>
  <si>
    <t xml:space="preserve">aragon|2017|main|83</t>
  </si>
  <si>
    <t xml:space="preserve">comunidad-de-madrid|2021|reserva-especifica|151</t>
  </si>
  <si>
    <t xml:space="preserve">region-de-murcia|2019|main|43</t>
  </si>
  <si>
    <t xml:space="preserve">castilla-la-mancha|2022|reserva-especifica|102</t>
  </si>
  <si>
    <t xml:space="preserve">AD_GALICIA_OPE_2019__CORRECTION__gal-07__fea-aparello-dixestivo-20211214124928-cas-pdf.pdf</t>
  </si>
  <si>
    <t xml:space="preserve">galicia|2019|reserva-especifica|105</t>
  </si>
  <si>
    <t xml:space="preserve">castilla-y-leon|2019|reserva-especifica|159</t>
  </si>
  <si>
    <t xml:space="preserve">castilla-la-mancha|2022|reserva-especifica|105</t>
  </si>
  <si>
    <t xml:space="preserve">castilla-y-leon|2022|main|27</t>
  </si>
  <si>
    <t xml:space="preserve">andalucia|2022|cuestionario-practico|133</t>
  </si>
  <si>
    <t xml:space="preserve">castilla-y-leon|2022|main|87</t>
  </si>
  <si>
    <t xml:space="preserve">castilla-y-leon|2022|main|42</t>
  </si>
  <si>
    <t xml:space="preserve">comunidad-de-madrid|2021|main|147</t>
  </si>
  <si>
    <t xml:space="preserve">aragon|2020|reserva-especifica|108</t>
  </si>
  <si>
    <t xml:space="preserve">comunitat-valenciana|2022|main|31</t>
  </si>
  <si>
    <t xml:space="preserve">galicia|2019|reserva-especifica|109</t>
  </si>
  <si>
    <t xml:space="preserve">comunidad-de-madrid|2021|reserva-especifica|156</t>
  </si>
  <si>
    <t xml:space="preserve">comunidad-de-madrid|2021|reserva-especifica|157</t>
  </si>
  <si>
    <t xml:space="preserve">aragon|2020|reserva-especifica|101</t>
  </si>
  <si>
    <t xml:space="preserve">aragon|2020|reserva-especifica|106</t>
  </si>
  <si>
    <t xml:space="preserve">region-de-murcia|2019|main|142</t>
  </si>
  <si>
    <t xml:space="preserve">aragon|2017|main|53</t>
  </si>
  <si>
    <t xml:space="preserve">galicia|2019|reserva-especifica|102</t>
  </si>
  <si>
    <t xml:space="preserve">galicia|2019|reserva-especifica|104</t>
  </si>
  <si>
    <t xml:space="preserve">region-de-murcia|2019|main|11</t>
  </si>
  <si>
    <t xml:space="preserve">andalucia|2021|cuestionario-teorico|40</t>
  </si>
  <si>
    <t xml:space="preserve">comunidad-de-madrid|2021|reserva-especifica|155</t>
  </si>
  <si>
    <t xml:space="preserve">andalucia|2022|cuestionario-practico|101</t>
  </si>
  <si>
    <t xml:space="preserve">castilla-y-leon|2022|reserva|94</t>
  </si>
  <si>
    <t xml:space="preserve">AD_GALICIA_OPE_2022__CORRECTION__gal-11__fea-aparello-dixestivo-20240514082015-cas-pdf.pdf</t>
  </si>
  <si>
    <t xml:space="preserve">galicia|2022|reserva-especifica|106</t>
  </si>
  <si>
    <t xml:space="preserve">andalucia|2021|cuestionario-teorico|50</t>
  </si>
  <si>
    <t xml:space="preserve">galicia|2022|reserva-especifica|108</t>
  </si>
  <si>
    <t xml:space="preserve">la-rioja|2024|main|62</t>
  </si>
  <si>
    <t xml:space="preserve">galicia|2022|reserva-especifica|101</t>
  </si>
  <si>
    <t xml:space="preserve">galicia|2022|reserva-especifica|105</t>
  </si>
  <si>
    <t xml:space="preserve">aragon|2017|reserva-especifica|106</t>
  </si>
  <si>
    <t xml:space="preserve">la-rioja|2021|main|77</t>
  </si>
  <si>
    <t xml:space="preserve">castilla-la-mancha|2017|main|51</t>
  </si>
  <si>
    <t xml:space="preserve">aragon|2020|main|83</t>
  </si>
  <si>
    <t xml:space="preserve">comunitat-valenciana|2022|main-47-80|78</t>
  </si>
  <si>
    <t xml:space="preserve">andalucia|2022|cuestionario-practico|132</t>
  </si>
  <si>
    <t xml:space="preserve">galicia|2022|reserva-especifica|103</t>
  </si>
  <si>
    <t xml:space="preserve">andalucia|2022|cuestionario-teorico|10</t>
  </si>
  <si>
    <t xml:space="preserve">galicia|2022|reserva-especifica|110</t>
  </si>
  <si>
    <t xml:space="preserve">andalucia|2021|cuestionario-teorico|73</t>
  </si>
  <si>
    <t xml:space="preserve">la-rioja|2021|reserva|106</t>
  </si>
  <si>
    <t xml:space="preserve">castilla-la-mancha|2022|main|24</t>
  </si>
  <si>
    <t xml:space="preserve">comunitat-valenciana|2022|main|29</t>
  </si>
  <si>
    <t xml:space="preserve">la-rioja|2021|main|74</t>
  </si>
  <si>
    <t xml:space="preserve">castilla-la-mancha|2017|reserva-especifica|104</t>
  </si>
  <si>
    <t xml:space="preserve">region-de-murcia|2019|main|87</t>
  </si>
  <si>
    <t xml:space="preserve">la-rioja|2021|reserva|107</t>
  </si>
  <si>
    <t xml:space="preserve">navarra|2022|teorico-practica|79</t>
  </si>
  <si>
    <t xml:space="preserve">castilla-y-leon|2019|reserva-especifica|158</t>
  </si>
  <si>
    <t xml:space="preserve">la-rioja|2024|main|81</t>
  </si>
  <si>
    <t xml:space="preserve">aragon|2017|reserva-especifica|107</t>
  </si>
  <si>
    <t xml:space="preserve">castilla-la-mancha|2022|main|31</t>
  </si>
  <si>
    <t xml:space="preserve">castilla-y-leon|2022|reserva|92</t>
  </si>
  <si>
    <t xml:space="preserve">castilla-y-leon|2022|main|88</t>
  </si>
  <si>
    <t xml:space="preserve">aragon|2017|reserva-especifica|105</t>
  </si>
  <si>
    <t xml:space="preserve">castilla-y-leon|2022|main|25</t>
  </si>
  <si>
    <t xml:space="preserve">comunitat-valenciana|2022|main|28</t>
  </si>
  <si>
    <t xml:space="preserve">comunitat-valenciana|2022|main|10</t>
  </si>
  <si>
    <t xml:space="preserve">region-de-murcia|2019|main|131</t>
  </si>
  <si>
    <t xml:space="preserve">comunidad-de-madrid|2021|main|149</t>
  </si>
  <si>
    <t xml:space="preserve">galicia|2016|reserva-especifica|107</t>
  </si>
  <si>
    <t xml:space="preserve">galicia|2019|main|100</t>
  </si>
  <si>
    <t xml:space="preserve">galicia|2019|main|85</t>
  </si>
  <si>
    <t xml:space="preserve">galicia|2022|main|9</t>
  </si>
  <si>
    <t xml:space="preserve">region-de-murcia|2019|main|111</t>
  </si>
  <si>
    <t xml:space="preserve">aragon|2017|reserva-especifica|104</t>
  </si>
  <si>
    <t xml:space="preserve">castilla-y-leon|2019|reserva-especifica|155</t>
  </si>
  <si>
    <t xml:space="preserve">comunidad-de-madrid|2021|reserva-especifica|154</t>
  </si>
  <si>
    <t xml:space="preserve">navarra|2022|teorico-practica|72</t>
  </si>
  <si>
    <t xml:space="preserve">region-de-murcia|2019|main|30</t>
  </si>
  <si>
    <t xml:space="preserve">castilla-la-mancha|2022|reserva-especifica|103</t>
  </si>
  <si>
    <t xml:space="preserve">castilla-la-mancha|2022|main|1</t>
  </si>
  <si>
    <t xml:space="preserve">castilla-y-leon|2019|reserva-especifica|156</t>
  </si>
  <si>
    <t xml:space="preserve">aragon|2020|reserva-especifica|107</t>
  </si>
  <si>
    <t xml:space="preserve">castilla-la-mancha|2017|main|62</t>
  </si>
  <si>
    <t xml:space="preserve">comunidad-de-madrid|2021|main|77</t>
  </si>
  <si>
    <t xml:space="preserve">comunidad-de-madrid|2021|main|76</t>
  </si>
  <si>
    <t xml:space="preserve">region-de-murcia|2019|main|51</t>
  </si>
  <si>
    <t xml:space="preserve">comunidad-de-madrid|2021|reserva-especifica|158</t>
  </si>
  <si>
    <t xml:space="preserve">region-de-murcia|2019|main|88</t>
  </si>
  <si>
    <t xml:space="preserve">aragon|2020|main|34</t>
  </si>
  <si>
    <t xml:space="preserve">comunidad-de-madrid|2021|main|44</t>
  </si>
  <si>
    <t xml:space="preserve">castilla-la-mancha|2022|reserva-especifica|101</t>
  </si>
  <si>
    <t xml:space="preserve">comunidad-de-madrid|2021|main|52</t>
  </si>
  <si>
    <t xml:space="preserve">comunitat-valenciana|2022|main-47-80|72</t>
  </si>
  <si>
    <t xml:space="preserve">galicia|2022|reserva-especifica|104</t>
  </si>
  <si>
    <t xml:space="preserve">comunidad-de-madrid|2021|main|42</t>
  </si>
  <si>
    <t xml:space="preserve">andalucia|2021|cuestionario-teorico|59</t>
  </si>
  <si>
    <t xml:space="preserve">galicia|2019|reserva-especifica|108</t>
  </si>
  <si>
    <t xml:space="preserve">comunitat-valenciana|2022|main-47-80|61</t>
  </si>
  <si>
    <t xml:space="preserve">andalucia|2021|cuestionario-teorico|31</t>
  </si>
  <si>
    <t xml:space="preserve">andalucia|2021|cuestionario-practico|112</t>
  </si>
  <si>
    <t xml:space="preserve">castilla-la-mancha|2022|main|44</t>
  </si>
  <si>
    <t xml:space="preserve">andalucia|2022|cuestionario-practico|135</t>
  </si>
  <si>
    <t xml:space="preserve">castilla-la-mancha|2022|reserva-especifica|104</t>
  </si>
  <si>
    <t xml:space="preserve">comunitat-valenciana|2022|main|5</t>
  </si>
  <si>
    <t xml:space="preserve">galicia|2019|reserva-especifica|110</t>
  </si>
  <si>
    <t xml:space="preserve">region-de-murcia|2019|main|55</t>
  </si>
  <si>
    <t xml:space="preserve">galicia|2016|reserva-especifica|105</t>
  </si>
  <si>
    <t xml:space="preserve">andalucia|2021|cuestionario-practico|119</t>
  </si>
  <si>
    <t xml:space="preserve">region-de-murcia|2019|main|62</t>
  </si>
  <si>
    <t xml:space="preserve">la-rioja|2024|main|24</t>
  </si>
  <si>
    <t xml:space="preserve">galicia|2019|reserva-especifica|107</t>
  </si>
  <si>
    <t xml:space="preserve">region-de-murcia|2019|main|28</t>
  </si>
  <si>
    <t xml:space="preserve">castilla-y-leon|2022|reserva|95</t>
  </si>
  <si>
    <t xml:space="preserve">castilla-la-mancha|2017|reserva-especifica|101</t>
  </si>
  <si>
    <t xml:space="preserve">andalucia|2021|cuestionario-practico|135</t>
  </si>
  <si>
    <t xml:space="preserve">castilla-y-leon|2019|main|27</t>
  </si>
  <si>
    <t xml:space="preserve">andalucia|2021|cuestionario-teorico|9</t>
  </si>
  <si>
    <t xml:space="preserve">navarra|2022|teorico-practica|61</t>
  </si>
  <si>
    <t xml:space="preserve">aragon|2020|main|12</t>
  </si>
  <si>
    <t xml:space="preserve">comunidad-de-madrid|2021|reserva-especifica|152</t>
  </si>
  <si>
    <t xml:space="preserve">comunidad-de-madrid|2021|main|146</t>
  </si>
  <si>
    <t xml:space="preserve">comunitat-valenciana|2022|main-47-80|66</t>
  </si>
  <si>
    <t xml:space="preserve">navarra|2022|teorico-practica|15</t>
  </si>
  <si>
    <t xml:space="preserve">galicia|2022|reserva-especifica|107</t>
  </si>
  <si>
    <t xml:space="preserve">castilla-y-leon|2022|reserva|96</t>
  </si>
  <si>
    <t xml:space="preserve">galicia|2016|reserva-especifica|102</t>
  </si>
  <si>
    <t xml:space="preserve">region-de-murcia|2019|main|110</t>
  </si>
  <si>
    <t xml:space="preserve">la-rioja|2021|main|37</t>
  </si>
  <si>
    <t xml:space="preserve">comunitat-valenciana|2022|main|45</t>
  </si>
  <si>
    <t xml:space="preserve">andalucia|2022|cuestionario-teorico|100</t>
  </si>
  <si>
    <t xml:space="preserve">castilla-y-leon|2019|reserva-especifica|153</t>
  </si>
  <si>
    <t xml:space="preserve">galicia|2016|reserva-especifica|109</t>
  </si>
  <si>
    <t xml:space="preserve">aragon|2017|main|92</t>
  </si>
  <si>
    <t xml:space="preserve">aragon|2017|main|7</t>
  </si>
  <si>
    <t xml:space="preserve">comunidad-de-madrid|2021|main|38</t>
  </si>
  <si>
    <t xml:space="preserve">region-de-murcia|2019|main|61</t>
  </si>
  <si>
    <t xml:space="preserve">comunitat-valenciana|2022|main|35</t>
  </si>
  <si>
    <t xml:space="preserve">andalucia|2022|cuestionario-teorico|58</t>
  </si>
  <si>
    <t xml:space="preserve">la-rioja|2024|main|9</t>
  </si>
  <si>
    <t xml:space="preserve">navarra|2022|teorico-practica|12</t>
  </si>
  <si>
    <t xml:space="preserve">castilla-y-leon|2019|reserva-especifica|162</t>
  </si>
  <si>
    <t xml:space="preserve">castilla-y-leon|2022|reserva|99</t>
  </si>
  <si>
    <t xml:space="preserve">castilla-la-mancha|2017|main|84</t>
  </si>
  <si>
    <t xml:space="preserve">comunitat-valenciana|2022|main|19</t>
  </si>
  <si>
    <t xml:space="preserve">aragon|2020|main|78</t>
  </si>
  <si>
    <t xml:space="preserve">andalucia|2021|cuestionario-teorico|47</t>
  </si>
  <si>
    <t xml:space="preserve">castilla-la-mancha|2017|main|71</t>
  </si>
  <si>
    <t xml:space="preserve">galicia|2019|reserva-especifica|101</t>
  </si>
  <si>
    <t xml:space="preserve">comunidad-de-madrid|2021|main|113</t>
  </si>
  <si>
    <t xml:space="preserve">la-rioja|2024|main|90</t>
  </si>
  <si>
    <t xml:space="preserve">castilla-la-mancha|2017|reserva-especifica|105</t>
  </si>
  <si>
    <t xml:space="preserve">andalucia|2021|cuestionario-practico|124</t>
  </si>
  <si>
    <t xml:space="preserve">castilla-la-mancha|2022|main|67</t>
  </si>
  <si>
    <t xml:space="preserve">region-de-murcia|2019|main|144</t>
  </si>
  <si>
    <t xml:space="preserve">navarra|2022|teorico-practica|23</t>
  </si>
  <si>
    <t xml:space="preserve">comunitat-valenciana|2022|main|39</t>
  </si>
  <si>
    <t xml:space="preserve">comunidad-de-madrid|2021|reserva-especifica|153</t>
  </si>
  <si>
    <t xml:space="preserve">castilla-y-leon|2019|reserva-general|165</t>
  </si>
  <si>
    <t xml:space="preserve">la-rioja|2024|main|78</t>
  </si>
  <si>
    <t xml:space="preserve">andalucia|2022|cuestionario-teorico|56</t>
  </si>
  <si>
    <t xml:space="preserve">castilla-y-leon|2019|reserva-especifica|157</t>
  </si>
  <si>
    <t xml:space="preserve">la-rioja|2024|main|92</t>
  </si>
  <si>
    <t xml:space="preserve">la-rioja|2021|reserva|110</t>
  </si>
  <si>
    <t xml:space="preserve">castilla-la-mancha|2017|reserva-especifica|103</t>
  </si>
  <si>
    <t xml:space="preserve">navarra|2022|teorico-practica|63</t>
  </si>
  <si>
    <t xml:space="preserve">comunitat-valenciana|2022|main-47-80|65</t>
  </si>
  <si>
    <t xml:space="preserve">castilla-y-leon|2022|main|32</t>
  </si>
  <si>
    <t xml:space="preserve">region-de-murcia|2019|main|65</t>
  </si>
  <si>
    <t xml:space="preserve">castilla-y-leon|2019|reserva-general|163</t>
  </si>
  <si>
    <t xml:space="preserve">region-de-murcia|2019|main|19</t>
  </si>
  <si>
    <t xml:space="preserve">comunidad-de-madrid|2021|main|65</t>
  </si>
  <si>
    <t xml:space="preserve">castilla-y-leon|2022|reserva|97</t>
  </si>
  <si>
    <t xml:space="preserve">la-rioja|2024|main|74</t>
  </si>
  <si>
    <t xml:space="preserve">region-de-murcia|2019|main|5</t>
  </si>
  <si>
    <t xml:space="preserve">castilla-y-leon|2022|reserva|91</t>
  </si>
  <si>
    <t xml:space="preserve">comunidad-de-madrid|2021|main|85</t>
  </si>
  <si>
    <t xml:space="preserve">region-de-murcia|2019|main|49</t>
  </si>
  <si>
    <t xml:space="preserve">andalucia|2022|cuestionario-teorico|99</t>
  </si>
  <si>
    <t xml:space="preserve">castilla-y-leon|2022|main|5</t>
  </si>
  <si>
    <t xml:space="preserve">la-rioja|2021|reserva|101</t>
  </si>
  <si>
    <t xml:space="preserve">la-rioja|2021|reserva|108</t>
  </si>
  <si>
    <t xml:space="preserve">castilla-y-leon|2022|reserva|98</t>
  </si>
  <si>
    <t xml:space="preserve">aragon|2017|main|32</t>
  </si>
  <si>
    <t xml:space="preserve">la-rioja|2021|main|11</t>
  </si>
  <si>
    <t xml:space="preserve">region-de-murcia|2019|main|74</t>
  </si>
  <si>
    <t xml:space="preserve">comunidad-de-madrid|2021|main|123</t>
  </si>
  <si>
    <t xml:space="preserve">navarra|2022|teorico-practica|36</t>
  </si>
  <si>
    <t xml:space="preserve">galicia|2016|main|18</t>
  </si>
  <si>
    <t xml:space="preserve">castilla-y-leon|2019|reserva-especifica|151</t>
  </si>
  <si>
    <t xml:space="preserve">comunitat-valenciana|2022|main|15</t>
  </si>
  <si>
    <t xml:space="preserve">andalucia|2021|cuestionario-teorico|80</t>
  </si>
  <si>
    <t xml:space="preserve">andalucia|2022|cuestionario-teorico|53</t>
  </si>
  <si>
    <t xml:space="preserve">comunitat-valenciana|2022|main|12</t>
  </si>
  <si>
    <t xml:space="preserve">castilla-la-mancha|2022|main|21</t>
  </si>
  <si>
    <t xml:space="preserve">la-rioja|2021|main|84</t>
  </si>
  <si>
    <t xml:space="preserve">aragon|2020|reserva-especifica|104</t>
  </si>
  <si>
    <t xml:space="preserve">region-de-murcia|2019|main|56</t>
  </si>
  <si>
    <t xml:space="preserve">aragon|2017|reserva-especifica|102</t>
  </si>
  <si>
    <t xml:space="preserve">comunidad-de-madrid|2021|reserva-especifica|160</t>
  </si>
  <si>
    <t xml:space="preserve">navarra|2022|reserva-teorico-practica|88</t>
  </si>
  <si>
    <t xml:space="preserve">comunidad-de-madrid|2021|main|39</t>
  </si>
  <si>
    <t xml:space="preserve">region-de-murcia|2019|main|70</t>
  </si>
  <si>
    <t xml:space="preserve">comunitat-valenciana|2022|main|11</t>
  </si>
  <si>
    <t xml:space="preserve">navarra|2022|teorico-practica|59</t>
  </si>
  <si>
    <t xml:space="preserve">andalucia|2021|cuestionario-practico|123</t>
  </si>
  <si>
    <t xml:space="preserve">castilla-y-leon|2019|reserva-general|164</t>
  </si>
  <si>
    <t xml:space="preserve">comunidad-de-madrid|2021|main|96</t>
  </si>
  <si>
    <t xml:space="preserve">castilla-la-mancha|2017|main|92</t>
  </si>
  <si>
    <t xml:space="preserve">castilla-la-mancha|2022|main|19</t>
  </si>
  <si>
    <t xml:space="preserve">la-rioja|2024|main|57</t>
  </si>
  <si>
    <t xml:space="preserve">comunitat-valenciana|2022|main|32</t>
  </si>
  <si>
    <t xml:space="preserve">la-rioja|2024|main|18</t>
  </si>
  <si>
    <t xml:space="preserve">castilla-la-mancha|2022|main|28</t>
  </si>
  <si>
    <t xml:space="preserve">aragon|2020|reserva-especifica|105</t>
  </si>
  <si>
    <t xml:space="preserve">la-rioja|2024|main|99</t>
  </si>
  <si>
    <t xml:space="preserve">andalucia|2022|cuestionario-teorico|81</t>
  </si>
  <si>
    <t xml:space="preserve">castilla-la-mancha|2017|main|57</t>
  </si>
  <si>
    <t xml:space="preserve">region-de-murcia|2019|main|106</t>
  </si>
  <si>
    <t xml:space="preserve">navarra|2022|teorico-practica|1</t>
  </si>
  <si>
    <t xml:space="preserve">castilla-y-leon|2019|reserva-especifica|154</t>
  </si>
  <si>
    <t xml:space="preserve">comunitat-valenciana|2022|main-47-80|80</t>
  </si>
  <si>
    <t xml:space="preserve">la-rioja|2024|main|22</t>
  </si>
  <si>
    <t xml:space="preserve">comunidad-de-madrid|2021|main|101</t>
  </si>
  <si>
    <t xml:space="preserve">andalucia|2022|cuestionario-teorico|4</t>
  </si>
  <si>
    <t xml:space="preserve">galicia|2016|reserva-especifica|106</t>
  </si>
  <si>
    <t xml:space="preserve">castilla-la-mancha|2022|main|35</t>
  </si>
  <si>
    <t xml:space="preserve">castilla-y-leon|2019|reserva-especifica|152</t>
  </si>
  <si>
    <t xml:space="preserve">aragon|2017|main|79</t>
  </si>
  <si>
    <t xml:space="preserve">comunitat-valenciana|2022|main|14</t>
  </si>
  <si>
    <t xml:space="preserve">comunidad-de-madrid|2021|main|22</t>
  </si>
  <si>
    <t xml:space="preserve">la-rioja|2024|main|59</t>
  </si>
  <si>
    <t xml:space="preserve">galicia|2022|reserva-especifica|102</t>
  </si>
  <si>
    <t xml:space="preserve">la-rioja|2021|reserva|104</t>
  </si>
  <si>
    <t xml:space="preserve">andalucia|2021|cuestionario-teorico|36</t>
  </si>
  <si>
    <t xml:space="preserve">galicia|2022|reserva-especifica|109</t>
  </si>
  <si>
    <t xml:space="preserve">region-de-murcia|2019|main|143</t>
  </si>
  <si>
    <t xml:space="preserve">region-de-murcia|2019|main|32</t>
  </si>
  <si>
    <t xml:space="preserve">comunitat-valenciana|2022|main|20</t>
  </si>
  <si>
    <t xml:space="preserve">la-rioja|2024|main|64</t>
  </si>
  <si>
    <t xml:space="preserve">aragon|2017|main|80</t>
  </si>
  <si>
    <t xml:space="preserve">aragon|2020|reserva-especifica|109</t>
  </si>
  <si>
    <t xml:space="preserve">aragon|2017|reserva-especifica|103</t>
  </si>
  <si>
    <t xml:space="preserve">aragon|2017|reserva-especifica|108</t>
  </si>
  <si>
    <t xml:space="preserve">comunidad-de-madrid|2021|main|37</t>
  </si>
  <si>
    <t xml:space="preserve">galicia|2019|reserva-especifica|103</t>
  </si>
  <si>
    <t xml:space="preserve">andalucia|2022|cuestionario-practico|102</t>
  </si>
  <si>
    <t xml:space="preserve">la-rioja|2021|reserva|105</t>
  </si>
  <si>
    <t xml:space="preserve">castilla-y-leon|2019|reserva-especifica|161</t>
  </si>
  <si>
    <t xml:space="preserve">region-de-murcia|2019|main|66</t>
  </si>
  <si>
    <t xml:space="preserve">aragon|2020|main|87</t>
  </si>
  <si>
    <t xml:space="preserve">la-rioja|2021|reserva|102</t>
  </si>
  <si>
    <t xml:space="preserve">castilla-la-mancha|2017|main|88</t>
  </si>
  <si>
    <t xml:space="preserve">castilla-y-leon|2019|main|66</t>
  </si>
  <si>
    <t xml:space="preserve">galicia|2016|reserva-especifica|101</t>
  </si>
  <si>
    <t xml:space="preserve">comunitat-valenciana|2022|main-47-80|51</t>
  </si>
  <si>
    <t xml:space="preserve">castilla-la-mancha|2017|main|96</t>
  </si>
  <si>
    <t xml:space="preserve">andalucia|2022|cuestionario-practico|150</t>
  </si>
  <si>
    <t xml:space="preserve">castilla-la-mancha|2017|main|5</t>
  </si>
  <si>
    <t xml:space="preserve">galicia|2016|reserva-especifica|104</t>
  </si>
  <si>
    <t xml:space="preserve">aragon|2017|reserva-especifica|110</t>
  </si>
  <si>
    <t xml:space="preserve">comunidad-de-madrid|2021|main|72</t>
  </si>
  <si>
    <t xml:space="preserve">aragon|2017|reserva-especifica|101</t>
  </si>
  <si>
    <t xml:space="preserve">aragon|2020|main|90</t>
  </si>
  <si>
    <t xml:space="preserve">navarra|2022|teorico-practica|45</t>
  </si>
  <si>
    <t xml:space="preserve">comunitat-valenciana|2022|main|21</t>
  </si>
  <si>
    <t xml:space="preserve">aragon|2020|reserva-especifica|110</t>
  </si>
  <si>
    <t xml:space="preserve">andalucia|2021|cuestionario-practico|144</t>
  </si>
  <si>
    <t xml:space="preserve">la-rioja|2024|main|60</t>
  </si>
  <si>
    <t xml:space="preserve">comunitat-valenciana|2022|main|22</t>
  </si>
  <si>
    <t xml:space="preserve">andalucia|2022|cuestionario-practico|137</t>
  </si>
  <si>
    <t xml:space="preserve">castilla-la-mancha|2022|main|82</t>
  </si>
  <si>
    <t xml:space="preserve">aragon|2020|reserva-especifica|103</t>
  </si>
  <si>
    <t xml:space="preserve">castilla-y-leon|2022|main|49</t>
  </si>
  <si>
    <t xml:space="preserve">Selected Shared Clinical Contexts</t>
  </si>
  <si>
    <t xml:space="preserve">Electronic trace table; complete print-readable contexts are inline in Questionnaire. Long source text is split here into visible continuation rows.</t>
  </si>
  <si>
    <t xml:space="preserve">Context ID</t>
  </si>
  <si>
    <t xml:space="preserve">Kind / part</t>
  </si>
  <si>
    <t xml:space="preserve">Questionnaire items</t>
  </si>
  <si>
    <t xml:space="preserve">Source pair</t>
  </si>
  <si>
    <t xml:space="preserve">Source question numbers</t>
  </si>
  <si>
    <t xml:space="preserve">PDF pages</t>
  </si>
  <si>
    <t xml:space="preserve">Source exam PDF</t>
  </si>
  <si>
    <t xml:space="preserve">Source PDF SHA256</t>
  </si>
  <si>
    <t xml:space="preserve">Base case narrative · 1/1</t>
  </si>
  <si>
    <t xml:space="preserve">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</si>
  <si>
    <t xml:space="preserve">1, 2, 3, 4, 5, 6, 7, 8, 9, 10, 11, 12, 13, 14, 15, 16, 17, 18, 19, 20, 21, 22, 23</t>
  </si>
  <si>
    <t xml:space="preserve">1-24</t>
  </si>
  <si>
    <t xml:space="preserve">exams-other-regions-spain-pdfs/illes-balears/2022/exam/exam__cuadernillo-de-examen-aparato-digestivo-fea.pdf</t>
  </si>
  <si>
    <t xml:space="preserve">c90fbb40ff4e10d7c01d175f5d2da8cb90bc002c4c856e378ad6a75908faf626</t>
  </si>
  <si>
    <t xml:space="preserve">Base case narrative · 1/3</t>
  </si>
  <si>
    <t xml:space="preserve">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</si>
  <si>
    <t xml:space="preserve">24, 25, 26, 27, 28, 29, 30, 31, 32, 33, 34, 35, 36, 37, 38, 39, 40, 41, 42, 43, 44, 45, 46</t>
  </si>
  <si>
    <t xml:space="preserve">25-48</t>
  </si>
  <si>
    <t xml:space="preserve">11</t>
  </si>
  <si>
    <t xml:space="preserve">Base case narrative · 2/3</t>
  </si>
  <si>
    <t xml:space="preserve">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</si>
  <si>
    <t xml:space="preserve">Base case narrative · 3/3</t>
  </si>
  <si>
    <t xml:space="preserve">de Barrett con metaplasia intestinal y presencia de focos de displasia de grado alto y las biopsias aleatorias confirmaban el esófago de Barrett sin displasia. Se planifica una estrategia de tratamiento y seguimiento.</t>
  </si>
  <si>
    <t xml:space="preserve">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</si>
  <si>
    <t xml:space="preserve">47, 48, 49, 50, 51, 52, 53, 54, 55, 56, 57, 58, 59, 60, 61, 62, 63, 64, 65, 66, 67, 68, 69, 70</t>
  </si>
  <si>
    <t xml:space="preserve">49-72</t>
  </si>
  <si>
    <t xml:space="preserve">19</t>
  </si>
  <si>
    <t xml:space="preserve">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t>
  </si>
  <si>
    <t xml:space="preserve">El resto del hemograma y de la bioquímica está dentro de valores normales.</t>
  </si>
  <si>
    <t xml:space="preserve">illes-balears-2022-caso-3-transition-01</t>
  </si>
  <si>
    <t xml:space="preserve">Shared clinical context · 1/1</t>
  </si>
  <si>
    <t xml:space="preserve">Las pruebas para determinar la insuficiencia pancreática exocrina demuestran una insuficiencia pancreática exocrina (IPE) grave.</t>
  </si>
  <si>
    <t xml:space="preserve">53, 54, 55, 56, 57, 58, 59, 60, 61, 62, 63, 64, 65, 66, 67, 68, 69, 70</t>
  </si>
  <si>
    <t xml:space="preserve">55,56,57,58,59,60,61</t>
  </si>
  <si>
    <t xml:space="preserve">21</t>
  </si>
  <si>
    <t xml:space="preserve">illes-balears-2022-caso-3-transition-02</t>
  </si>
  <si>
    <t xml:space="preserve">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</si>
  <si>
    <t xml:space="preserve">60, 61, 62, 63, 64, 65, 66, 67, 68, 69, 70</t>
  </si>
  <si>
    <t xml:space="preserve">62</t>
  </si>
  <si>
    <t xml:space="preserve">illes-balears-2022-caso-3-transition-03</t>
  </si>
  <si>
    <t xml:space="preserve">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</si>
  <si>
    <t xml:space="preserve">61, 62, 63, 64, 65, 66, 67, 68, 69, 70</t>
  </si>
  <si>
    <t xml:space="preserve">63,64,65,66,67,68,69,70,71,72</t>
  </si>
  <si>
    <t xml:space="preserve">23</t>
  </si>
  <si>
    <t xml:space="preserve">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</si>
  <si>
    <t xml:space="preserve">71, 72, 73, 74, 75, 76, 77, 78, 79, 80, 81, 82, 83, 84, 85, 86, 87, 88, 89, 90, 91, 92, 93</t>
  </si>
  <si>
    <t xml:space="preserve">73-96</t>
  </si>
  <si>
    <t xml:space="preserve">26</t>
  </si>
  <si>
    <t xml:space="preserve">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t>
  </si>
  <si>
    <t xml:space="preserve">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</si>
  <si>
    <t xml:space="preserve">Base case narrative · 1/2</t>
  </si>
  <si>
    <t xml:space="preserve">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</si>
  <si>
    <t xml:space="preserve">94, 95, 96, 97, 98, 99, 100, 101, 102, 103, 104, 105, 106, 107, 108, 109, 110, 111, 112, 113, 114, 115, 116, 117</t>
  </si>
  <si>
    <t xml:space="preserve">97-120</t>
  </si>
  <si>
    <t xml:space="preserve">33</t>
  </si>
  <si>
    <t xml:space="preserve">Base case narrative · 2/2</t>
  </si>
  <si>
    <t xml:space="preserve">alteraciones analíticas reseñables en el momento del diagnóstico fueron que era positivo de P-ANCA y tenía una calprotectina fecal de 450 μg/g. Se pautó un tratamiento con enemas de mesalazina.</t>
  </si>
  <si>
    <t xml:space="preserve">illes-balears-2022-caso-5-transition-01</t>
  </si>
  <si>
    <t xml:space="preserve">Shared clinical context · 1/2</t>
  </si>
  <si>
    <t xml:space="preserve">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</si>
  <si>
    <t xml:space="preserve">99, 100, 101, 102, 103, 104, 105, 106, 107, 108, 109, 110, 111, 112, 113, 114, 115, 116, 117</t>
  </si>
  <si>
    <t xml:space="preserve">102,103,104</t>
  </si>
  <si>
    <t xml:space="preserve">35</t>
  </si>
  <si>
    <t xml:space="preserve">Shared clinical context · 2/2</t>
  </si>
  <si>
    <t xml:space="preserve">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t>
  </si>
  <si>
    <t xml:space="preserve">illes-balears-2022-caso-5-transition-02</t>
  </si>
  <si>
    <t xml:space="preserve">En el caso presentado se hizo una colonoscopia completa que mostró una progresión a pancolitis ulcerosa, se asumió el diagnóstico de brote moderado severo y se controló de manera ambulatoria.</t>
  </si>
  <si>
    <t xml:space="preserve">102, 103, 104, 105, 106, 107, 108, 109, 110, 111, 112, 113, 114, 115, 116, 117</t>
  </si>
  <si>
    <t xml:space="preserve">105,106,107,108</t>
  </si>
  <si>
    <t xml:space="preserve">36</t>
  </si>
  <si>
    <t xml:space="preserve">illes-balears-2022-caso-5-transition-03</t>
  </si>
  <si>
    <t xml:space="preserve">El paciente recibió un tratamiento con adalimumab para conseguir la remisión y se pautó como tratamiento de mantenimiento. Se le asoció, inicialmente, azatioprina que fue retirada por un episodio de pancreatitis leve.</t>
  </si>
  <si>
    <t xml:space="preserve">106, 107, 108, 109, 110, 111, 112, 113, 114, 115, 116, 117</t>
  </si>
  <si>
    <t xml:space="preserve">109,110</t>
  </si>
  <si>
    <t xml:space="preserve">38</t>
  </si>
  <si>
    <t xml:space="preserve">illes-balears-2022-caso-5-transition-04</t>
  </si>
  <si>
    <t xml:space="preserve">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t>
  </si>
  <si>
    <t xml:space="preserve">108, 109, 110, 111, 112, 113, 114, 115, 116, 117</t>
  </si>
  <si>
    <t xml:space="preserve">111,112,113,114,115,116,117,118,119,120</t>
  </si>
  <si>
    <t xml:space="preserve">39</t>
  </si>
  <si>
    <t xml:space="preserve">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t>
  </si>
  <si>
    <t xml:space="preserve">Base case narrative · 1/5</t>
  </si>
  <si>
    <t xml:space="preserve">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t>
  </si>
  <si>
    <t xml:space="preserve">118, 119, 120, 121, 122, 123, 124, 125, 126, 127, 128, 129, 130, 131, 132, 133, 134, 135, 136, 137, 138, 139, 140, 141</t>
  </si>
  <si>
    <t xml:space="preserve">121-144</t>
  </si>
  <si>
    <t xml:space="preserve">43–44</t>
  </si>
  <si>
    <t xml:space="preserve">Base case narrative · 2/5</t>
  </si>
  <si>
    <t xml:space="preserve">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t>
  </si>
  <si>
    <t xml:space="preserve">Base case narrative · 3/5</t>
  </si>
  <si>
    <t xml:space="preserve">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t>
  </si>
  <si>
    <t xml:space="preserve">Base case narrative · 4/5</t>
  </si>
  <si>
    <t xml:space="preserve">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t>
  </si>
  <si>
    <t xml:space="preserve">Base case narrative · 5/5</t>
  </si>
  <si>
    <t xml:space="preserve">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</si>
  <si>
    <t xml:space="preserve">illes-balears-2022-caso-6-transition-01</t>
  </si>
  <si>
    <t xml:space="preserve">Se hace una paracentesis (diagnóstica y evacuadora), y se obtienen 6.000 ml de ascitis.
Análisis del líquido ascítico:
- Glucosa: 120 mg/dl.
- Proteínas: 1,0 g/dl.
- Albúmina: 0,8 g/dl.
- LDH: 40 ui/ml.
- Hematíes: 100 /mm³.
- Leucocitos: 220 /mm³.</t>
  </si>
  <si>
    <t xml:space="preserve">120, 121, 122, 123, 124, 125, 126, 127, 128, 129, 130, 131, 132, 133, 134, 135, 136, 137, 138, 139, 140, 141</t>
  </si>
  <si>
    <t xml:space="preserve">123,124,125,126,127,128,129,130,131,132,133,134,135,136,137</t>
  </si>
  <si>
    <t xml:space="preserve">44</t>
  </si>
  <si>
    <t xml:space="preserve">illes-balears-2022-caso-6-transition-02</t>
  </si>
  <si>
    <t xml:space="preserve">Se hace una gastroscopia. El paciente tiene varices esofágicas grandes con puntos rojos y gastropatía por HT portal leve-moderada.</t>
  </si>
  <si>
    <t xml:space="preserve">135, 136, 137, 138, 139, 140, 141</t>
  </si>
  <si>
    <t xml:space="preserve">138,139</t>
  </si>
  <si>
    <t xml:space="preserve">48</t>
  </si>
  <si>
    <t xml:space="preserve">illes-balears-2022-caso-6-transition-03</t>
  </si>
  <si>
    <t xml:space="preserve">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t>
  </si>
  <si>
    <t xml:space="preserve">137, 138, 139, 140, 141</t>
  </si>
  <si>
    <t xml:space="preserve">140,141,142</t>
  </si>
  <si>
    <t xml:space="preserve">49</t>
  </si>
  <si>
    <t xml:space="preserve">- Albúmina: 0,9 g/dl
- LDH: 60 ui/ml
- Hematíes: 200 /mm3
- Leucocitos: 500 /mm3 (LPN: 90 %)</t>
  </si>
  <si>
    <t xml:space="preserve">illes-balears-2022-caso-6-transition-04</t>
  </si>
  <si>
    <t xml:space="preserve">Shared clinical context · 1/3</t>
  </si>
  <si>
    <t xml:space="preserve">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t>
  </si>
  <si>
    <t xml:space="preserve">140, 141</t>
  </si>
  <si>
    <t xml:space="preserve">143,144</t>
  </si>
  <si>
    <t xml:space="preserve">50</t>
  </si>
  <si>
    <t xml:space="preserve">Shared clinical context · 2/3</t>
  </si>
  <si>
    <t xml:space="preserve">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t>
  </si>
  <si>
    <t xml:space="preserve">Shared clinical context · 3/3</t>
  </si>
  <si>
    <t xml:space="preserve">- Hematíes: 120 /mm3
- Leucocitos: 180 /mm3 (LPN: 50 %)</t>
  </si>
  <si>
    <t xml:space="preserve">Base case narrative · 1/12</t>
  </si>
  <si>
    <t xml:space="preserve">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t>
  </si>
  <si>
    <t xml:space="preserve">142, 143, 144, 145, 146, 147, 148, 149, 150, 151, 152, 153, 154, 155, 156, 157, 158, 159, 160, 161, 162, 163, 164, 165</t>
  </si>
  <si>
    <t xml:space="preserve">145-168</t>
  </si>
  <si>
    <t xml:space="preserve">52–54</t>
  </si>
  <si>
    <t xml:space="preserve">Base case narrative · 2/12</t>
  </si>
  <si>
    <t xml:space="preserve">-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t>
  </si>
  <si>
    <t xml:space="preserve">Base case narrative · 3/12</t>
  </si>
  <si>
    <t xml:space="preserve">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t>
  </si>
  <si>
    <t xml:space="preserve">Base case narrative · 4/12</t>
  </si>
  <si>
    <t xml:space="preserve">-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t>
  </si>
  <si>
    <t xml:space="preserve">Base case narrative · 5/12</t>
  </si>
  <si>
    <t xml:space="preserve">-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t>
  </si>
  <si>
    <t xml:space="preserve">Base case narrative · 6/12</t>
  </si>
  <si>
    <t xml:space="preserve">-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</si>
  <si>
    <t xml:space="preserve">Base case narrative · 7/12</t>
  </si>
  <si>
    <t xml:space="preserve">-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t>
  </si>
  <si>
    <t xml:space="preserve">Base case narrative · 8/12</t>
  </si>
  <si>
    <t xml:space="preserve">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t>
  </si>
  <si>
    <t xml:space="preserve">Base case narrative · 9/12</t>
  </si>
  <si>
    <t xml:space="preserve">-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t>
  </si>
  <si>
    <t xml:space="preserve">Base case narrative · 10/12</t>
  </si>
  <si>
    <t xml:space="preserve">-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</si>
  <si>
    <t xml:space="preserve">Base case narrative · 11/12</t>
  </si>
  <si>
    <t xml:space="preserve">-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</si>
  <si>
    <t xml:space="preserve">Base case narrative · 12/12</t>
  </si>
  <si>
    <t xml:space="preserve">Tras una semana de ingreso hospitalario en los que no produce una recidiva hemorrágica, tras instaurar los tratamientos recomendados y a la espera de la valoración del comité de tumores hepáticos, es dada de alta para control ambulatorio.</t>
  </si>
  <si>
    <t xml:space="preserve">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t>
  </si>
  <si>
    <t xml:space="preserve">166, 167, 168, 169, 170, 171, 184</t>
  </si>
  <si>
    <t xml:space="preserve">91,92,93,94,95,96,109</t>
  </si>
  <si>
    <t xml:space="preserve">20–21</t>
  </si>
  <si>
    <t xml:space="preserve">exams-other-regions-spain-pdfs/navarra/2022/040_exam_preguntas-test-examen-digestivo-definitivo-ope-2022-estabili.pdf</t>
  </si>
  <si>
    <t xml:space="preserve">4ff9643df3092f718a8cf33a002f85b7e8da5d0f3e7ae60446d8fdd4e991dfd5</t>
  </si>
  <si>
    <t xml:space="preserve">En la exploración física la TA es de 118/65 mmHg y la FC de 86 lpm. La paciente está eupneica y algo pálida. La auscultación cardio-pulmonar es normal y en la exploración abdominal refiere molestias a la palpación profunda en región epigástrica</t>
  </si>
  <si>
    <t xml:space="preserve">Una mañana en la sala de endoscopias en la agenda de cribado de cáncer colorrectal (CCR):</t>
  </si>
  <si>
    <t xml:space="preserve">172, 173, 174, 175, 176, 177, 185</t>
  </si>
  <si>
    <t xml:space="preserve">97,98,99,100,101,102,110</t>
  </si>
  <si>
    <t xml:space="preserve">22–23</t>
  </si>
  <si>
    <t xml:space="preserve">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</si>
  <si>
    <t xml:space="preserve">178, 179, 180, 181, 182, 183, 186</t>
  </si>
  <si>
    <t xml:space="preserve">103,104,105,106,107,108,111</t>
  </si>
  <si>
    <t xml:space="preserve">24–25</t>
  </si>
  <si>
    <t xml:space="preserve">Analítica: Hemoglobina 8,5 g/dL, plaquetas 78 x 109/L, actividad de protrombina 52%. Creatinina 0,98 mg/dL, Sodio 129 mmol/L, bilirrubina total 3,1 mg/dL, albúmina 32 g/L. AST 125 U/L, ALT 101 U/L.
Serologías: IgM e IgG VHA negativo, HBsAg negativo, anti-HBs positivo, HBcAc total positivo, VIH negativo.</t>
  </si>
  <si>
    <t xml:space="preserve">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</si>
  <si>
    <t xml:space="preserve">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</si>
  <si>
    <t xml:space="preserve">193, 379, 432</t>
  </si>
  <si>
    <t xml:space="preserve">123,124,125,126</t>
  </si>
  <si>
    <t xml:space="preserve">32</t>
  </si>
  <si>
    <t xml:space="preserve">exams-other-regions-spain-pdfs/andalucia/2021-22-libre/exam/07__9122-aparato-digestivo-pdf.pdf</t>
  </si>
  <si>
    <t xml:space="preserve">0c2550a488a3ff52c35c9585e819e37790ac375690067e1f2cd064b123f0cc2d</t>
  </si>
  <si>
    <t xml:space="preserve">otras lesiones. La puntuación de la escala de Boston fue 5 (2 en colon izquierdo, 1 en colon transverso y 1 en ciego-colon ascendente).</t>
  </si>
  <si>
    <t xml:space="preserve">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</si>
  <si>
    <t xml:space="preserve">199, 342</t>
  </si>
  <si>
    <t xml:space="preserve">133,134,135,136</t>
  </si>
  <si>
    <t xml:space="preserve">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</si>
  <si>
    <t xml:space="preserve">de irritación peritoneal. Analíticamente destacaba hemoglobina de 9.2 gr/dL, con elevación de reactantes de fase aguda (proteína C reactiva 84 mg/L, leucocitos 16.500/mcL) y de creatinquinasa 994 U/l, siendo el resto normal.</t>
  </si>
  <si>
    <t xml:space="preserve">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t>
  </si>
  <si>
    <t xml:space="preserve">217</t>
  </si>
  <si>
    <t xml:space="preserve">115</t>
  </si>
  <si>
    <t xml:space="preserve">31</t>
  </si>
  <si>
    <t xml:space="preserve">exams-other-regions-spain-pdfs/andalucia/2022-extraordinaria-libre/exam/12__revisado-56007-fea-aparato-digestivo-final-pdf.pdf</t>
  </si>
  <si>
    <t xml:space="preserve">e27d2d6edd530107dfd573381e411b78ccc3d150e9aa2b584ed5737cee6255b5</t>
  </si>
  <si>
    <t xml:space="preserve">abscesos.</t>
  </si>
  <si>
    <t xml:space="preserve">Paciente de 76 años con antecedentes de cáncer de endometrio 12 años antes, tratado con éxito mediante cirugía y raditerapia, e hipertensión arterial, en tratamiento con Omeprazol, Losartan, Lormetazepam, Levosulpiride, Metamizol y Optovite, que acude a urgencias por cuadro de dolor abdominal en epigastrio irradiado a hipocondrio derecho, constante, de gran intensidad, náuseas y vómitos de contenido alimentario-bilioso, así como sensación febril no termometrada sin clara tiritona. Exploración: TA: 161/68 mmHg; frecuencia cardíaca: 69 lpm; Temperatura: 37,6 ºC; Saturación: 97% (aire ambiente).</t>
  </si>
  <si>
    <t xml:space="preserve">228</t>
  </si>
  <si>
    <t xml:space="preserve">140,141,142,143,144,145,146</t>
  </si>
  <si>
    <t xml:space="preserve">39–40</t>
  </si>
  <si>
    <t xml:space="preserve">Buen estado general. Consciente, alerta y orientada. Eupneica en reposo. No cortejo vegetativo ni bacteriémico. ACR: Tonos rítmicos, sin soplos audibles. Abdomen: Blando y depresible. Dolor a la palpación en epigastrio e hipocondrio derecho. No signos de peritonismo; ruidos algo disminuidos, de timbre normal. No se palpan masas ni megalias. Miembros inferiores sin edemas. ANALÍTICA: Destaca leucocitosis de 18.420/mm³ (91% PMN), amilasa 5.518 U/L, AST: 93 U/L, ALT: 63 U/L, Fosfatasa alcalina: 350 U/L, GammaGT: 267 U/L, Bilirrubina total 3 mg/dL; PCR: 200,1 mg/L, procalcitonina 9,72 ng/mL.</t>
  </si>
  <si>
    <t xml:space="preserve">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</si>
  <si>
    <t xml:space="preserve">240</t>
  </si>
  <si>
    <t xml:space="preserve">133</t>
  </si>
  <si>
    <t xml:space="preserve">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</si>
  <si>
    <t xml:space="preserve">258, 473</t>
  </si>
  <si>
    <t xml:space="preserve">101,102,103,104</t>
  </si>
  <si>
    <t xml:space="preserve">27</t>
  </si>
  <si>
    <t xml:space="preserve">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</si>
  <si>
    <t xml:space="preserve">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t>
  </si>
  <si>
    <t xml:space="preserve">271</t>
  </si>
  <si>
    <t xml:space="preserve">132</t>
  </si>
  <si>
    <t xml:space="preserve">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</si>
  <si>
    <t xml:space="preserve">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</si>
  <si>
    <t xml:space="preserve">327</t>
  </si>
  <si>
    <t xml:space="preserve">110,111,112,113,114</t>
  </si>
  <si>
    <t xml:space="preserve">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</si>
  <si>
    <t xml:space="preserve">Shared clinical context · 1/4</t>
  </si>
  <si>
    <t xml:space="preserve">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</si>
  <si>
    <t xml:space="preserve">329, 497</t>
  </si>
  <si>
    <t xml:space="preserve">135,136,137,138,139</t>
  </si>
  <si>
    <t xml:space="preserve">37</t>
  </si>
  <si>
    <t xml:space="preserve">Shared clinical context · 2/4</t>
  </si>
  <si>
    <t xml:space="preserve">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</si>
  <si>
    <t xml:space="preserve">Shared clinical context · 3/4</t>
  </si>
  <si>
    <t xml:space="preserve">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</si>
  <si>
    <t xml:space="preserve">Shared clinical context · 4/4</t>
  </si>
  <si>
    <t xml:space="preserve">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</si>
  <si>
    <t xml:space="preserve">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t>
  </si>
  <si>
    <t xml:space="preserve">335</t>
  </si>
  <si>
    <t xml:space="preserve">119,120,121,122</t>
  </si>
  <si>
    <t xml:space="preserve">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</si>
  <si>
    <t xml:space="preserve">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</si>
  <si>
    <t xml:space="preserve">484</t>
  </si>
  <si>
    <t xml:space="preserve">147,148,149,150</t>
  </si>
  <si>
    <t xml:space="preserve">41</t>
  </si>
  <si>
    <t xml:space="preserve">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</si>
  <si>
    <t xml:space="preserve">494</t>
  </si>
  <si>
    <t xml:space="preserve">143,144,145,146</t>
  </si>
  <si>
    <t xml:space="preserve">Selected Source Visuals</t>
  </si>
  <si>
    <t xml:space="preserve">This image-free release contains no selected image-linked questions. The sheet is retained as an explicit audit surface.</t>
  </si>
  <si>
    <t xml:space="preserve">Description</t>
  </si>
  <si>
    <t xml:space="preserve">Asset SHA256</t>
  </si>
  <si>
    <t xml:space="preserve">No visual assets are required: all READY rows carrying a Visual ID were excluded before deterministic quota selection.</t>
  </si>
  <si>
    <t xml:space="preserve">Selection and Traceability Ledger</t>
  </si>
  <si>
    <t xml:space="preserve">Electronic-only audit table. Every item maps to one immutable source row with source, answer, flag, comment, and deterministic-selection evidence.</t>
  </si>
  <si>
    <t xml:space="preserve">Source row</t>
  </si>
  <si>
    <t xml:space="preserve">Selection reason</t>
  </si>
  <si>
    <t xml:space="preserve">Wording</t>
  </si>
  <si>
    <t xml:space="preserve">Needs attention</t>
  </si>
  <si>
    <t xml:space="preserve">Effective context IDs</t>
  </si>
  <si>
    <t xml:space="preserve">Content SHA256</t>
  </si>
  <si>
    <t xml:space="preserve">Selection score</t>
  </si>
  <si>
    <t xml:space="preserve">Source repair comments</t>
  </si>
  <si>
    <t xml:space="preserve">Source case ID</t>
  </si>
  <si>
    <t xml:space="preserve">Clinical format</t>
  </si>
  <si>
    <t xml:space="preserve">Scored</t>
  </si>
  <si>
    <t xml:space="preserve">mandatory_named_case</t>
  </si>
  <si>
    <t xml:space="preserve">Yes</t>
  </si>
  <si>
    <t xml:space="preserve">Positive / standard</t>
  </si>
  <si>
    <t xml:space="preserve">AD_ILLES_BALEARS_2022__EXAM__exam__cuadernillo-de-examen-aparato-digestivo-fea.pdf</t>
  </si>
  <si>
    <t xml:space="preserve">a0ff5563869acb431480bfd8bc75e5bbeb5f63d999e3fd532457ca40791b8d82</t>
  </si>
  <si>
    <t xml:space="preserve">dd96f8043881100bbfef3eff82d6c9c148202d5dbec14a4d5c8d739ec7385367</t>
  </si>
  <si>
    <t xml:space="preserve">Named case block</t>
  </si>
  <si>
    <t xml:space="preserve">Negated / exception</t>
  </si>
  <si>
    <t xml:space="preserve">07a23a2bdd3c6899611ce482adeca8eb151e4b7a102b9b03d85cf3a69ee7bec3</t>
  </si>
  <si>
    <t xml:space="preserve">3a7fc54854636e0b77c6c50dfc421a2ebf6fc1b98716d3c2ee5c0cf160de4461</t>
  </si>
  <si>
    <t xml:space="preserve">566493c08e1fb0364c6a2c0276405c754f92580e8298d2b090f92c39d4b34336</t>
  </si>
  <si>
    <t xml:space="preserve">9a1181d9b587ab1ea912edf4cbb61e4307baad774f60dff160d6062d89054eaf</t>
  </si>
  <si>
    <t xml:space="preserve">6181e50b2b33a05ba0ab3c2757fa7af006495f76779afc10883bca9a0c945ca2</t>
  </si>
  <si>
    <t xml:space="preserve">7723e887c47345e43ca6e8a10f816e51861eaa6af459a5db251089510c5b24cb</t>
  </si>
  <si>
    <t xml:space="preserve">5542fadb1335631c34a095acfefddb43d0a31ff90540b0f15ead867f23325519</t>
  </si>
  <si>
    <t xml:space="preserve">3ebc505224f4118b14635d1e00ef3bdd244afe15cb9f17eef1425d815591243d</t>
  </si>
  <si>
    <t xml:space="preserve">959ccdbeb722e1ed27257935fa1b7c342a6d305250318aa3a0e7a817c562a718</t>
  </si>
  <si>
    <t xml:space="preserve">54b28899ada20b86d4120845ad02224ba5e02d49d6b0c2ce2616175bcab659d7</t>
  </si>
  <si>
    <t xml:space="preserve">11625cd44dba8c7ea369809a9dfe4ce219882d7fc76401778d7565c2e06ca0b9</t>
  </si>
  <si>
    <t xml:space="preserve">42b91bfa7ffca12622e8e55f28711fee26f50c46bca65e28cb2d7b99071ed13a</t>
  </si>
  <si>
    <t xml:space="preserve">92413aec254f6945368eea44ca720f415b16402ac50be3db7f25ac8a06951075</t>
  </si>
  <si>
    <t xml:space="preserve">aa72f2ab98e1441c41296d648701fc8be27a182c9ff24a80b30ac73da492e4d0</t>
  </si>
  <si>
    <t xml:space="preserve">4d35a80c2ab6502131f84057b3759c49efdcabf8f25ffec9782d180f40b51443</t>
  </si>
  <si>
    <t xml:space="preserve">7139238159efdcc65e0ab496f8fda23fdfdb082d9c7836fcbebd2c0dca380bc4</t>
  </si>
  <si>
    <t xml:space="preserve">bb64ccebab205c81be13079054b34322a12718c98108907afd84f2c756bbf87c</t>
  </si>
  <si>
    <t xml:space="preserve">5ef45e83475557d105756ee6636f8f42861d01fa68017080caaf5e1af60777ac</t>
  </si>
  <si>
    <t xml:space="preserve">4c383eef4717778210749fa7bfae2c1ff3dcc952068d550dc2c721252ba7a0af</t>
  </si>
  <si>
    <t xml:space="preserve">d0d7aef16070926dc723abe647e67080f8b23c483d8b893c70e05d65e66b6e16</t>
  </si>
  <si>
    <t xml:space="preserve">b02c5b6670c3190bdaa4c2e5d9e6cc482f67d73dd28c11e8b8293e7bb3a0f859</t>
  </si>
  <si>
    <t xml:space="preserve">6bfc650aa9a755437c630e63b0e0c75f83d43e1f13ffbb4797bd80b8cc48eaf1</t>
  </si>
  <si>
    <t xml:space="preserve">aff3151dc1a61323e21c11bd0589e0005b300a751ff913dbcdd31b8c953d0df1</t>
  </si>
  <si>
    <t xml:space="preserve">7d443f0d0212cb3064184d0af9461783fcc8aabaf1479911d11e9380252a978d</t>
  </si>
  <si>
    <t xml:space="preserve">88df8aa0674cc446054de3e5891ddf22beda16502574a3773ea71925b041dd14</t>
  </si>
  <si>
    <t xml:space="preserve">265df5d0b3f084338cda2289e9af5ba9a04b733d588dda73b6bd6467ef3fad85</t>
  </si>
  <si>
    <t xml:space="preserve">67aa9ad13c13ae0699fa6d1a98c5a82f666526e043280163afe52f08136a3a99</t>
  </si>
  <si>
    <t xml:space="preserve">ce9dbeac77d39f481f2891d5cfc442d77b1fcfa9397e13395a534a7309f3905a</t>
  </si>
  <si>
    <t xml:space="preserve">7a825164928fc8af7706455f2129fd0cbb968eaef6cc16915e04344f5a58ad53</t>
  </si>
  <si>
    <t xml:space="preserve">42f6114c7ca2bbec6eb1c946e5cad9296dabcc7843fa73a8463f792e5d5dc298</t>
  </si>
  <si>
    <t xml:space="preserve">a567190f5396499aa0f62c074c0245823878267d655998356bd64aea600abed0</t>
  </si>
  <si>
    <t xml:space="preserve">d632d4c0a68b17e9aa487a9391c8f87a3a21db16d5101c66f04b87d72287bbd1</t>
  </si>
  <si>
    <t xml:space="preserve">f644a22f49e7e5b90f398c4ed1a9eb36902ac515e763a0f51e9aad012cf02ae3</t>
  </si>
  <si>
    <t xml:space="preserve">5ec1109cb8c5c8c315198cac1c1f3c00d08f6f4313c9999369a835da06c150ee</t>
  </si>
  <si>
    <t xml:space="preserve">1b01a702a113543689c56428705ad01e7dcdce2c79ad5bad7b8ebe008194441f</t>
  </si>
  <si>
    <t xml:space="preserve">7b6d88e3ada591c7a5e49858ee6c72ec02830fb56c3ac9ecf8402f96f8c03737</t>
  </si>
  <si>
    <t xml:space="preserve">b1b3f868530bf86b36af8460232ddf799360777fc0e13e919278ba244bd6a863</t>
  </si>
  <si>
    <t xml:space="preserve">e316be0066b11a79a556b3da337d4035b19bd5c3b2dcb7b4750d7e1a50f71eeb</t>
  </si>
  <si>
    <t xml:space="preserve">3d336498426e882f379b5ec7ea2f528efffa4fd14b70b8388015b411759490e9</t>
  </si>
  <si>
    <t xml:space="preserve">f191954b9b06f344d7bc64a4d46ab62b930c43b57d4f2f1d025deec7314db587</t>
  </si>
  <si>
    <t xml:space="preserve">6c2ec099ff4b322682fc7fb3c440c5da0428f52c24f0de9f8517c753e844d739</t>
  </si>
  <si>
    <t xml:space="preserve">8271fb571dcadfcc10b8936cb98a56669914ada304cfc76352e151805088612c</t>
  </si>
  <si>
    <t xml:space="preserve">1749a64be74a8f517f93cd63d20500658464230f3aaa8d9d25745de589aff6b7</t>
  </si>
  <si>
    <t xml:space="preserve">a5c0c1542ef50e179f771244b40de6c124b750ac0bc72001f1febaacce332332</t>
  </si>
  <si>
    <t xml:space="preserve">46b617af1800cd3ba2810ae6308d98cf5f1a55cd037f319fc8ea9f0d4f414030</t>
  </si>
  <si>
    <t xml:space="preserve">ca5f3cd15c78dba696178a8961c6a02632e767f341d4a95fe680d1a60cb796dc</t>
  </si>
  <si>
    <t xml:space="preserve">source_answer_key_pdf: Codex PDF-source repair: PDF-source repair SRC-008. Source: exams-other-regions-spain-pdfs/illes-balears/2022/answer-key/answer-key__plantilla-correctora-supuesto-2.pdf, PDF page 1.</t>
  </si>
  <si>
    <t xml:space="preserve">939bd030fb3627eb0a1eed937267212fb9ce4a60cd4df3e70b33cd2ee9bd159c</t>
  </si>
  <si>
    <t xml:space="preserve">adc41abf18b9a546396a5b63cc614d00787a3b1aa49e37faef509dae00869ea4</t>
  </si>
  <si>
    <t xml:space="preserve">5eceae15bd81c58f863d274997e8a560c84dba9717d9b5d914e1daf55ebfdc99</t>
  </si>
  <si>
    <t xml:space="preserve">5917e7b2c898c26c97c4b59d8298d0b34fc56233041f7f09cbd3dbf9ed08a739</t>
  </si>
  <si>
    <t xml:space="preserve">2f704ddce6331088b97be2d19c9dfb939dd6f20ecaa05ffd3b34b5f7b28b38c7</t>
  </si>
  <si>
    <t xml:space="preserve">1427496e68805e480caea329fead13c919856353d384aa2b980ed7e2d0370229</t>
  </si>
  <si>
    <t xml:space="preserve">f516a21d94c475ef442b2a0b512b68e3664b8ce4559c013d67467c13d661bae3</t>
  </si>
  <si>
    <t xml:space="preserve">5ecfbf9e5897133a2301fafac07bc1f364ed7ff78c9e59bc72febbe962f846ce</t>
  </si>
  <si>
    <t xml:space="preserve">70372455a58763598b00b870e0e398b0ab6ff48604b2b97bb488f9922411dd6d</t>
  </si>
  <si>
    <t xml:space="preserve">3bd1291f3a4f46dbd6925b60339bcb25845205139f1c0c675e95c32577fa0516</t>
  </si>
  <si>
    <t xml:space="preserve">b1b12135b689720f90997ecc1896d87b22f84f0a20a06390257b83534b865818</t>
  </si>
  <si>
    <t xml:space="preserve">ac6f9ba6359dcce2e1c92122e6c52ae87eeecb6ca20227de33a9e957ba1ebba8</t>
  </si>
  <si>
    <t xml:space="preserve">2208df2a87ef958f67da9b48780a031220fa24a1369d73ed951873062234a28d</t>
  </si>
  <si>
    <t xml:space="preserve">fceafb8f5d44c836384234fdfd120921427d1ee6018d44cf48651ef4c1719489</t>
  </si>
  <si>
    <t xml:space="preserve">2b1d1d786b7bd0e95d12923fc23d1f17e4dfcc1e8f0aaa335c992209d709df7e</t>
  </si>
  <si>
    <t xml:space="preserve">ea2a6d85429619926060ffd509d9f02d67b729a040e6fc93d8b5a9b61f32c3ef</t>
  </si>
  <si>
    <t xml:space="preserve">f407a27f4953ae648b0562456f1d60c8d7b918238eee184d235425babdac16d9</t>
  </si>
  <si>
    <t xml:space="preserve">d85d06457115f7aef70bc51c94fc4772b6d12d7690ddd506eac0f042df0437d1</t>
  </si>
  <si>
    <t xml:space="preserve">29ea5b1ba367cd614b5d1a515a4a8ea2991c86cd55eee5d72097d5e765581b22</t>
  </si>
  <si>
    <t xml:space="preserve">67d5cf394df1540b47a835da4b369f831430386c2a42c7d542926591ed369902</t>
  </si>
  <si>
    <t xml:space="preserve">0caa5d5650481fc86ee6dda9d5b726d887acbbcc85cee9f0bc7661f8a62fc39d</t>
  </si>
  <si>
    <t xml:space="preserve">47be8a0b580d1898d64af6f3390dd3e8857c1359944bb82780e2b43a908fc410</t>
  </si>
  <si>
    <t xml:space="preserve">ef05f0e397859da238119f60985df869ed0f4e4363164bf9f7e1f09939dd4258</t>
  </si>
  <si>
    <t xml:space="preserve">36cfb6de3f4da6dbaee75437a451f4888ebb18364a6dff9d848b17d88e1910c8</t>
  </si>
  <si>
    <t xml:space="preserve">c744333d943cbb4ab9f7783611f98fb9b56835149c24c918b9c43c2dc4f0039a</t>
  </si>
  <si>
    <t xml:space="preserve">6bef62dfbf0bd904d71f9f452c10d6c5c909c814361a05c664652f3ae1e1f48d</t>
  </si>
  <si>
    <t xml:space="preserve">1379a97c3800c586c61b05d334c0398999c7df995dc13961fdc9176e6656dd6c</t>
  </si>
  <si>
    <t xml:space="preserve">d528d03b4712d8598f24b2678d06c5812ee0d81c774e3dca9516d098f3a62c6a</t>
  </si>
  <si>
    <t xml:space="preserve">84f7652f68600af19aa7f80427b3ada734c84cfe1e7fe02751d88c820f525759</t>
  </si>
  <si>
    <t xml:space="preserve">44a128072af793beb42bdecffffe95d00aa03322245c5275a97ed03407f717e4</t>
  </si>
  <si>
    <t xml:space="preserve">c2df05163bf7e1ee42202e1b7d2f4ab15bbf7921c6a0ad79dde9b1a0a02925f0</t>
  </si>
  <si>
    <t xml:space="preserve">29d7b8c46040d3db8dc1d1440be224d6c0d032885f4542369a02e27d4c1d76bb</t>
  </si>
  <si>
    <t xml:space="preserve">e2de243dc92fa6f3556bacf9fd99994e1e592a1cbcd76bb573ab712d9af3c4b7</t>
  </si>
  <si>
    <t xml:space="preserve">2916fecffbf05757f6e70491ec2ccc14473caef9c9e719585d7d4c4ba30fe1d4</t>
  </si>
  <si>
    <t xml:space="preserve">correct_letter: Codex PDF-source repair: PDF-source repair SRC-008. Source: exams-other-regions-spain-pdfs/illes-balears/2022/answer-key/answer-key__plantilla-correctora-supuesto-2.pdf, PDF page 1. | correct_option_text: Codex PDF-source repair: PDF-source repair SRC-008. Source: exams-other-regions-spain-pdfs/illes-balears/2022/exam/exam__cuadernillo-de-examen-aparato-digestivo-fea.pdf, PDF page 17. | source_answer_key_pdf: Codex PDF-source repair: PDF-source repair SRC-008. Source: exams-other-regions-spain-pdfs/illes-balears/2022/answer-key/answer-key__plantilla-correctora-supuesto-2.pdf, PDF page 1.</t>
  </si>
  <si>
    <t xml:space="preserve">3fb875d9271653ff2516e1e9e296ded2f791df2b262f9e3db6be63683d750d19</t>
  </si>
  <si>
    <t xml:space="preserve">ff3bd193b0df220b2476d32fa10ff7a9b8e5f073b638808f9a19f2844c1e0004</t>
  </si>
  <si>
    <t xml:space="preserve">4394008641f6999e8820461e3d5acf28d56324b4270b910139ab13b14c6fc8d2</t>
  </si>
  <si>
    <t xml:space="preserve">6dfbbd215bb3051dab99d96327154e366529875c4219ab1d23ea5153a5c0577f</t>
  </si>
  <si>
    <t xml:space="preserve">ceb122a03a2f86299c620a1ea5bba19e93785cd7397b4067a9a2f37e3e7ad409</t>
  </si>
  <si>
    <t xml:space="preserve">0e0cad5e2ee5b36497a86c91a172f31ea50159a238881675bf91e4ba2720414e</t>
  </si>
  <si>
    <t xml:space="preserve">correct_letter: Codex PDF-source repair: PDF-source repair SRC-008. Source: exams-other-regions-spain-pdfs/illes-balears/2022/answer-key/answer-key__plantilla-correctora-supuesto-2.pdf, PDF page 1. | correct_option_text: Codex PDF-source repair: PDF-source repair SRC-008. Source: exams-other-regions-spain-pdfs/illes-balears/2022/exam/exam__cuadernillo-de-examen-aparato-digestivo-fea.pdf, PDF page 18. | source_answer_key_pdf: Codex PDF-source repair: PDF-source repair SRC-008. Source: exams-other-regions-spain-pdfs/illes-balears/2022/answer-key/answer-key__plantilla-correctora-supuesto-2.pdf, PDF page 1.</t>
  </si>
  <si>
    <t xml:space="preserve">8a7ecb774cb384b6763b6aea90e8940215c7287553140595fab08fc093797b5d</t>
  </si>
  <si>
    <t xml:space="preserve">ab239f26c787d9cda6106d704d53b95f232fd5110789c904c42beda5fc070e16</t>
  </si>
  <si>
    <t xml:space="preserve">68d42634f1b8061a1efa0a9004d3a0eb189ec2b0bd985c098930530f9ea929f9</t>
  </si>
  <si>
    <t xml:space="preserve">4fd287995a4fdd5826e6e05fb1f27115b5bf12cecff2128d4cbff15d74d92379</t>
  </si>
  <si>
    <t xml:space="preserve">0564c37e64d2d0af7f9fc1ac1ac5950cb6643ece12b69936e5f1a9567ced1063</t>
  </si>
  <si>
    <t xml:space="preserve">089bb04db1abc77135b7c2175f9732d52e742ee405f6da442957dcd5f24d6de3</t>
  </si>
  <si>
    <t xml:space="preserve">e30ebc36d6be519e7a628d17e4f73e23f364a9207459616767a460e711be3193</t>
  </si>
  <si>
    <t xml:space="preserve">484bf348c6b904f0b328d9ded489183dcd7dc1f514c324de0ae38b3d3e432086</t>
  </si>
  <si>
    <t xml:space="preserve">694159468cc7fbe37b6acc478ce645f817a4832fa82977e6013086f98ae9c11a</t>
  </si>
  <si>
    <t xml:space="preserve">6f2ba28727b54a1f1c181216246957f4cb066aecb5952c99e8a2b4fb086cada1</t>
  </si>
  <si>
    <t xml:space="preserve">62ac92045ad2337a38c26229171c41e1171f8286a956ebb6d4f91685c2e32d53</t>
  </si>
  <si>
    <t xml:space="preserve">fb81324a850bd4e11a0d020965f0ca316c989df0ec1f2cf3923bf632fb0bcbcb</t>
  </si>
  <si>
    <t xml:space="preserve">e9495489f2d56fb87df000349e979007491c72b82a946f4bb2b1b44a3a21d44b</t>
  </si>
  <si>
    <t xml:space="preserve">5ee6c9b7ceef17a6ea37e323b9e1d25f6040422c6341bfbac8812273ca513c34</t>
  </si>
  <si>
    <t xml:space="preserve">4f2fc51c6699395b12144329c00e7c43e7fe4fc305030e9d3b2340a033f364be</t>
  </si>
  <si>
    <t xml:space="preserve">d574a5929a25e21de6267725d1dbc3fdac7621722f907ce8805580558d2b922e</t>
  </si>
  <si>
    <t xml:space="preserve">option_d: Codex PDF-source repair: PDF-source repair SRC-009. Source: exams-other-regions-spain-pdfs/illes-balears/2022/exam/exam__cuadernillo-de-examen-aparato-digestivo-fea.pdf, PDF page 20.</t>
  </si>
  <si>
    <t xml:space="preserve">4c3d6d1f190c8f1308a87bd1bc52e51d1a11da58088546cd52e550a112b65be9</t>
  </si>
  <si>
    <t xml:space="preserve">88db57741301448b1ea51a982f6565cbd7325ac441db66ea5317da4de4a7598c</t>
  </si>
  <si>
    <t xml:space="preserve">6dc2b301527b9f55f8ceeb42df7a8397d45ad495ba5516c211cc702210bcc2e6</t>
  </si>
  <si>
    <t xml:space="preserve">5a9f446af5d9d6b1b15f4ed388d2fc3cd6b98481cd3545ad9f3882c220a60d8c</t>
  </si>
  <si>
    <t xml:space="preserve">4e8cfbfe6f00ae799bb1a5ded98ed50c4d6af64bc5631cdd83869acbde7dc2c6</t>
  </si>
  <si>
    <t xml:space="preserve">17c449da528e92678601c9d8d04ac5cdd9a684ffd69c2cb362760f9cb773e0cb</t>
  </si>
  <si>
    <t xml:space="preserve">59767f7202d1ab1665646ec1000a7d87d31e124718bbbde6a6642911152a0f7c</t>
  </si>
  <si>
    <t xml:space="preserve">1b9e58dfa6cba9bd9ee0cf2f2157b96d0f91b538caeb3de87c0c27a4ab434f25</t>
  </si>
  <si>
    <t xml:space="preserve">810244359dfb8efb7b7d54520dd31f0d6a6c080865d45099abf200345c4c3ef4</t>
  </si>
  <si>
    <t xml:space="preserve">aa2f3bd01385fe8c0da9a02055fc5624e382608ba9f8fd0e4dd5ae2d7df66b41</t>
  </si>
  <si>
    <t xml:space="preserve">44d312ed41401545eb2b8f9b7dea716d49955318522fad71f3222cb7e82fdcf3</t>
  </si>
  <si>
    <t xml:space="preserve">778694276926dd86d0aa2cac246187d041e3553120cbc34cce15bdd30d7cff69</t>
  </si>
  <si>
    <t xml:space="preserve">5da02bdc165c46df33bf1ad54c8926f7e394dc578d599194751737628fa63326</t>
  </si>
  <si>
    <t xml:space="preserve">91b958a2693f766efacbb8500056b92c30671369037a92ef3d6f7a44e5fe0478</t>
  </si>
  <si>
    <t xml:space="preserve">option_d: Codex PDF-source repair: PDF-source repair SRC-009. Source: exams-other-regions-spain-pdfs/illes-balears/2022/exam/exam__cuadernillo-de-examen-aparato-digestivo-fea.pdf, PDF page 22.</t>
  </si>
  <si>
    <t xml:space="preserve">5201b8755a0ee723faf60cc3950b036de9d5f3c93694275c4b8beee422fb0857</t>
  </si>
  <si>
    <t xml:space="preserve">247fac55d7e68a2176e21fcc4fb4f51f13dd5bcf4d82e75a156e8811f8f7a8df</t>
  </si>
  <si>
    <t xml:space="preserve">correct_option_text: Codex PDF-source repair: PDF-source repair SRC-009. Source: exams-other-regions-spain-pdfs/illes-balears/2022/exam/exam__cuadernillo-de-examen-aparato-digestivo-fea.pdf, PDF page 22. | option_d: Codex PDF-source repair: PDF-source repair SRC-009. Source: exams-other-regions-spain-pdfs/illes-balears/2022/exam/exam__cuadernillo-de-examen-aparato-digestivo-fea.pdf, PDF page 22.</t>
  </si>
  <si>
    <t xml:space="preserve">31cd5f04f9c12d2128b5fe7af216e59819ebd4fd3e687abd4f1d3a1dc60f96a3</t>
  </si>
  <si>
    <t xml:space="preserve">4a35d17503a64b10673e1f002438fcf8affa1ea10a79bb46c9a84ecbe3a4dbf1</t>
  </si>
  <si>
    <t xml:space="preserve">3fe2ccd77a529f7d9720dd9b483a907634084f86fba0c662a1acd3d0ba095419</t>
  </si>
  <si>
    <t xml:space="preserve">ef39bed41c7fce74371888d97c1fab0d09dfdbef6a1f84ef73cc833181c5145c</t>
  </si>
  <si>
    <t xml:space="preserve">467e5363fc65bdec6f023d06f60bcaae422e6efbf899d77a7a1bd6bf31469fba</t>
  </si>
  <si>
    <t xml:space="preserve">504bdafe2585b41139d76ae9ba6096defa7baefa1970402c418dad2428a2e4a6</t>
  </si>
  <si>
    <t xml:space="preserve">8fe5f429c28fe4d1880392c82b2f7981c2041ffa2e397decd66e681a03b3f09c</t>
  </si>
  <si>
    <t xml:space="preserve">f410ab1c4ad4df3397add050ee7d2f36851df22585aeab8bc66e6e877176017a</t>
  </si>
  <si>
    <t xml:space="preserve">d3bc236d5d06d5ea897ed23ecb79502db4ac639d11c4f405265d9d39e6e8aa7f</t>
  </si>
  <si>
    <t xml:space="preserve">c5b6a44ed962302e1a106b13f1672ad44ea3dd66152fde8e707c6e2c8164147a</t>
  </si>
  <si>
    <t xml:space="preserve">2bf285afd9276cb332d226c0429b23331b0be274c442cffbc49a5af1e3c8db8e</t>
  </si>
  <si>
    <t xml:space="preserve">eb2087addd72de009183d5219146be7bb5c1da98a4a74ec8bb0860310b47ee92</t>
  </si>
  <si>
    <t xml:space="preserve">ab0cf31e13f333e72387cd7add52e4414107367a96caf3c6ed1778249af27a99</t>
  </si>
  <si>
    <t xml:space="preserve">f374f3060b5d776d1f3eeff4e6e9935bdd076a3608d174f35f6590c423517291</t>
  </si>
  <si>
    <t xml:space="preserve">5aeae5598bd9525e6e90c88e57dcd6d68cffbc623ba3751baca5cc1599b23f84</t>
  </si>
  <si>
    <t xml:space="preserve">27122ba592faa03692212085fe78cc86b4fa32244f7a775e1a13c7ec3aeed5d6</t>
  </si>
  <si>
    <t xml:space="preserve">a1fe165812b530cb47db1b16dfa652eafb6fe98236f1f26ae92b0b82bc84958f</t>
  </si>
  <si>
    <t xml:space="preserve">6d45e1f46f550cc649eebcc26dd09f62b18c6395cfd517fd9a6c3b6bff4ff563</t>
  </si>
  <si>
    <t xml:space="preserve">9e14e32f300073da6569d0d5fb779c83d54cfdf6abe8b60635c95f58f9f3f323</t>
  </si>
  <si>
    <t xml:space="preserve">d3da1b96b55e7c198838fadb17ba6f1133eec78ed899b9c0fa421cb1a49b724c</t>
  </si>
  <si>
    <t xml:space="preserve">365f4ed89a7337ea6a866836ff14a3f1086cc6065e52a650311acb1b1cdaf200</t>
  </si>
  <si>
    <t xml:space="preserve">844517d8e79096bc81d4c9adec65f7f437d8b8c8507e64a0cf89aeff37747fc2</t>
  </si>
  <si>
    <t xml:space="preserve">a11ed5baebabfa08dbe725ab97639c5f136d550f135c034980aeb752815f76b8</t>
  </si>
  <si>
    <t xml:space="preserve">f8fbe9262ad2628138348bc31c4d9a3794cbdd03952c982d1176476fa4beb133</t>
  </si>
  <si>
    <t xml:space="preserve">7af41093b0381dab97b5266f5fc930d3a127fc9b52f249bb54029c86eb6fa187</t>
  </si>
  <si>
    <t xml:space="preserve">4200e8874e49dc33ed50bc0755cd0006fe5382be15cee972ba842f5c3cef04fc</t>
  </si>
  <si>
    <t xml:space="preserve">81537d638ef0a72b56472fac7ffe71f61b40ea4612b40bd132fadbc4d5da0afc</t>
  </si>
  <si>
    <t xml:space="preserve">c51eff9c5979baa12a62eb2a6cd4d5b372a77090f9cb76f607784d1a91bfd763</t>
  </si>
  <si>
    <t xml:space="preserve">6b70625b0c1ae161d45a216c515afa0794cb1cd5119d9ff03c54434d42865d60</t>
  </si>
  <si>
    <t xml:space="preserve">f6e445a3edc4b0ee9ef55006a1c04e172ea04ed91ca25396d67f9827a36b2a98</t>
  </si>
  <si>
    <t xml:space="preserve">2d930ac3f76992b2ba6cce1982a44269d8f3900d882f5e942657482d5aae85ea</t>
  </si>
  <si>
    <t xml:space="preserve">28cd2fad397032b3fba190ad3358f3a0bed4e1fe33760f0d13dd8bc075ee771d</t>
  </si>
  <si>
    <t xml:space="preserve">1b88438c3cd3b964af16798b74565412b1d12b6f7c6deb312bcf4184a4887b4e</t>
  </si>
  <si>
    <t xml:space="preserve">7a2401ac51018813c6d9feaefac2a93094cbf99f7ac76aa0b2efcadbc5eba621</t>
  </si>
  <si>
    <t xml:space="preserve">cbd74f587d92d77009c30a37fa6a79404a18e74beec47c001dc572fe3f1f70bf</t>
  </si>
  <si>
    <t xml:space="preserve">51c46a743220ae83eaae87745665f410d94f5a4250c216462226ba09c799e41d</t>
  </si>
  <si>
    <t xml:space="preserve">fe93cd70d8e884b8fe862cf34538f99976857439c3fd520bc51723f407135a2f</t>
  </si>
  <si>
    <t xml:space="preserve">7e21a72c8edc242c94d99b3379686659c0286e22ff31fc8543f45ada763b881d</t>
  </si>
  <si>
    <t xml:space="preserve">655d7e14f789b6aa662df240e9de439e0502c7102254090104710656c17c8161</t>
  </si>
  <si>
    <t xml:space="preserve">e33685a8211362e7867a3a4ce0d2eff3661646e401ca1f91a72cff28296ccc2d</t>
  </si>
  <si>
    <t xml:space="preserve">dd00f2656a367659af20915d9c65b48e758185d75d2c819c43f27d6f3c571fea</t>
  </si>
  <si>
    <t xml:space="preserve">11abd244b8b8081a15eaaaed8a31bea7da06d872c37359ceb7857a50ba684fe4</t>
  </si>
  <si>
    <t xml:space="preserve">412cdf1711551fd636f7925646b16df3274d3370f5202c782765fe63ca90edf6</t>
  </si>
  <si>
    <t xml:space="preserve">b1e41b27626a57d9332adc9f837d1a5e1e57fd652fd4f04845cc19ca6bbfb2dc</t>
  </si>
  <si>
    <t xml:space="preserve">bf2e5fc43f2875b84d45e0056009ee6cd31f2965a8141b08e64281bade3e6d56</t>
  </si>
  <si>
    <t xml:space="preserve">fa16efca807e2aa5c2212f6256e16d1433495ad4c750e67e95c0705cd8c3890d</t>
  </si>
  <si>
    <t xml:space="preserve">89ce8f35df753da2a5badb1d3368eb91c4b1b3d2b5ff166c3880121b0f79bf1e</t>
  </si>
  <si>
    <t xml:space="preserve">a5900ecb5dd5c9ea0239c72df558fa896043aa9f4aabaaec17e59eedc4674158</t>
  </si>
  <si>
    <t xml:space="preserve">6def45bdba79adfcfc7336078c7697f8349f2732d8a7b0511a02020254f91199</t>
  </si>
  <si>
    <t xml:space="preserve">d7bdd677b32c6d61b8a4eaca3aa2b368a7b1e287f20f7ec33421f32037409dd1</t>
  </si>
  <si>
    <t xml:space="preserve">f86830a25b7e246916f465a5c36a0aa79e5cb46feb298d78309c8d1574b02a41</t>
  </si>
  <si>
    <t xml:space="preserve">b77b52caf2406a0b6749769843fb70c6c56715ea3f4531bf4cef892dbf598156</t>
  </si>
  <si>
    <t xml:space="preserve">c67242d5129f7f0aed20209b0d20695b9a31849ceaeded0d95848835ea049ae2</t>
  </si>
  <si>
    <t xml:space="preserve">b284e805c280d769a932245356dbe6ec9b67d7531da518de6355290a0fc9ad6b</t>
  </si>
  <si>
    <t xml:space="preserve">681cadcc848eef420b3342cc4b5f9687e92cc1361da12f390edfd20d6337e75b</t>
  </si>
  <si>
    <t xml:space="preserve">b5eae4125e6a870e471b8db7fe475acd703c4422289687016da6f3aa9efe1e2b</t>
  </si>
  <si>
    <t xml:space="preserve">b812384c8b70d17a8e73c9396077abe1c22ced91335cdb9535ef66f79917ecef</t>
  </si>
  <si>
    <t xml:space="preserve">14db9ac83dbcd4d36261c7e782b490f8d11450e2e0ea5729ce7c2116d41f4656</t>
  </si>
  <si>
    <t xml:space="preserve">fca6b610f6616b6f276cbf383cb6cf7f1dfc8ac6af6393c1007b3aacec2edcfa</t>
  </si>
  <si>
    <t xml:space="preserve">8a082f85799397e2bb8c0b120f14f16ca5d7315799ad67fc9dc76804c825d832</t>
  </si>
  <si>
    <t xml:space="preserve">82b4fd97b30022af9c40374c1fd3ffecfbb6e720f576e79ff06767af0bb08d48</t>
  </si>
  <si>
    <t xml:space="preserve">44c9fd8f9afa1a5b8c5848ef021e10152e8359f5ed3a78d3ede0a684eeae01d3</t>
  </si>
  <si>
    <t xml:space="preserve">438a0153b4653741d2e5f1bd1238926dfb808a25c39eabe39c78fbedd77312c8</t>
  </si>
  <si>
    <t xml:space="preserve">6f75993d6d7f36ed5d80a9315a57875dbb0ea7c651711aca967d0efefd8077bc</t>
  </si>
  <si>
    <t xml:space="preserve">86d5f666a7371d1682824ddeb10324d905b5742cc651ced0cd31cb942201710b</t>
  </si>
  <si>
    <t xml:space="preserve">af3a3feabbecab06a7581b52065a51367f8795ddc2a5e1d329e81cf5b504262f</t>
  </si>
  <si>
    <t xml:space="preserve">3910c8e644bb4827ed168b3e4e1f3f44bbb585407ae1cdfb96c11a39e307a602</t>
  </si>
  <si>
    <t xml:space="preserve">de42f03fab272a626f2282f8ba87d1cff5966d43555eb55c6e7b42b7238fbf46</t>
  </si>
  <si>
    <t xml:space="preserve">ee245cf0da92f48eb1da0a9e971428e0de4aff80a682e726c5a2c7955021d81a</t>
  </si>
  <si>
    <t xml:space="preserve">5948aa9844a66fb316c3d22b9170589566147e6d96257c0e47f240235c760809</t>
  </si>
  <si>
    <t xml:space="preserve">967a0d4f9453b0414baec6b9838bfc3e0ce08a21e99d3d08aa41ac48fe758819</t>
  </si>
  <si>
    <t xml:space="preserve">8ebe7e931f0cfca469aea35429785bc862d2f552ea79f54789f89915aeb3448d</t>
  </si>
  <si>
    <t xml:space="preserve">eca8a29fbc89d2454a2ca4559dba914049c59ce0f761cac47b1bce4a85e04b8d</t>
  </si>
  <si>
    <t xml:space="preserve">0d7800b3f0b07db5b61edd855216bedc164511294bfc415149e80aa4893ee195</t>
  </si>
  <si>
    <t xml:space="preserve">b4e1b4d8354b626734d314ba2883fd4b0fa5e124bd45cd673bd9d081cdca4e45</t>
  </si>
  <si>
    <t xml:space="preserve">c62048227f0fd3a5c565b3df65c4d5042f74b576fce8a955f23b0665770b6e2b</t>
  </si>
  <si>
    <t xml:space="preserve">option_d: Codex PDF-source repair: PDF-source repair SRC-009. Source: exams-other-regions-spain-pdfs/illes-balears/2022/exam/exam__cuadernillo-de-examen-aparato-digestivo-fea.pdf, PDF page 34.</t>
  </si>
  <si>
    <t xml:space="preserve">e27dff4fe9fe699d31e1a22a73bfae6fe7f9b1a50d070a7ae0086997571a8c3b</t>
  </si>
  <si>
    <t xml:space="preserve">0fa51721ed5dcded78ae607a6b095d7050dd37ba770f5375ec751b6ec56f3f7b</t>
  </si>
  <si>
    <t xml:space="preserve">77679e271099be850a012e02d4d027e23544339415bfedf426d1e14506b35223</t>
  </si>
  <si>
    <t xml:space="preserve">8d4fbaccf344da24078b0dceaf3041e429ffbc14aa1de593da90113252fb54e2</t>
  </si>
  <si>
    <t xml:space="preserve">32411011a2ebbdcf2adb37d6603638b286d72dd61f7dcb2563399ed7e3168f65</t>
  </si>
  <si>
    <t xml:space="preserve">0535ee19a4c939757f4e837d0d84afebe8ede742839cf51b7bb68c273b7d1c7d</t>
  </si>
  <si>
    <t xml:space="preserve">option_d: Codex PDF-source repair: PDF-source repair SRC-009. Source: exams-other-regions-spain-pdfs/illes-balears/2022/exam/exam__cuadernillo-de-examen-aparato-digestivo-fea.pdf, PDF page 36.</t>
  </si>
  <si>
    <t xml:space="preserve">0ef45baff3671b7aa1b8fbccbdba1baa079c3f176d493d2d1eeec933aefd7a35</t>
  </si>
  <si>
    <t xml:space="preserve">243b738bd4dca1ffe28a4637096ba8e710bbf2921921cf43ab5669339ef96772</t>
  </si>
  <si>
    <t xml:space="preserve">d25bfde20314f3bb7a20d27e6a9331ddf5cf963c14f6e4426ad9f7ed7ca17c36</t>
  </si>
  <si>
    <t xml:space="preserve">ae2b2c56f711929ca71b13b15049ce9fc63a7f8f02bc45d90574ae58580a6d17</t>
  </si>
  <si>
    <t xml:space="preserve">761f90c38b230eb47b81e7b7dd4fd32df90fd692ae48211f729738efa3e76325</t>
  </si>
  <si>
    <t xml:space="preserve">0147dd0b8746bb4bbb523cc562632dccf017c396100d11134e4c05f5139add39</t>
  </si>
  <si>
    <t xml:space="preserve">72bbdd0f7a7f8a03ec6fbbf83260c1ac7bfdbbfd0fb0b378e53363c45f876e26</t>
  </si>
  <si>
    <t xml:space="preserve">b6b9d27e75be8cf2ca6bc5231f50da1c4ef156d73eb95bd303df52e2cdefb690</t>
  </si>
  <si>
    <t xml:space="preserve">option_d: Codex PDF-source repair: PDF-source repair SRC-009. Source: exams-other-regions-spain-pdfs/illes-balears/2022/exam/exam__cuadernillo-de-examen-aparato-digestivo-fea.pdf, PDF page 37.</t>
  </si>
  <si>
    <t xml:space="preserve">7850ed10c42c78b98f8b6782b6cd8c4f91fd0d0fde56b956136d73f7d19a1714</t>
  </si>
  <si>
    <t xml:space="preserve">49b48a70abc38ca9c6010a6e82de2d554be481eafcb14b46e13520a77ad0944f</t>
  </si>
  <si>
    <t xml:space="preserve">28bd500714e41106736a30a7ce64785d6ea3847d289ef7e236ee0e60bf8ceba1</t>
  </si>
  <si>
    <t xml:space="preserve">7fcc3356e129aee29025d8d9b0e3bd3a41fdedcb3f271a0f5c3d3fdb096af10a</t>
  </si>
  <si>
    <t xml:space="preserve">option_d: Codex PDF-source repair: PDF-source repair SRC-009. Source: exams-other-regions-spain-pdfs/illes-balears/2022/exam/exam__cuadernillo-de-examen-aparato-digestivo-fea.pdf, PDF page 38.</t>
  </si>
  <si>
    <t xml:space="preserve">ec0a705189d62453466b765faa2dededbedfb9448be299477a691bcf1efb9952</t>
  </si>
  <si>
    <t xml:space="preserve">4b2105dc2086f88889498b314c4a2636f416050c79ae963d65449be194a90469</t>
  </si>
  <si>
    <t xml:space="preserve">1e6a9994d00d28195fb3985977c31f266019b309e69fb273cc43654e35406103</t>
  </si>
  <si>
    <t xml:space="preserve">296245522e7263b024edd057f29df31590270134f1f2df458e00a266f2c9c522</t>
  </si>
  <si>
    <t xml:space="preserve">34f28f02b34b62ff0b6348892e1e0f4d1522da7fa35afdcfa31bb0d6ce9a63fa</t>
  </si>
  <si>
    <t xml:space="preserve">58e826423533dcb7676e58b83c806642dc3123b6bdb22bfa3e51da446964dd5b</t>
  </si>
  <si>
    <t xml:space="preserve">3e10471f51d168c5a6baff6ba8d4f575633ce97f19031ec4343cb9883a068fb6</t>
  </si>
  <si>
    <t xml:space="preserve">415aa8eab4b4a521838adbe4891a7b9e58e843288c7d3c9a4d1c7a0cd2cf731a</t>
  </si>
  <si>
    <t xml:space="preserve">46e0cbe47e3811d8454ff3fa4e57174cfabb03f3d5e3558293fd9092de618f48</t>
  </si>
  <si>
    <t xml:space="preserve">a9006f5b5086b81157e1a912833889bb041a683c8cbeafe88cd2f6658fe213ab</t>
  </si>
  <si>
    <t xml:space="preserve">7117e6af04d8a949348aaac32b325774e3a01431554ba5882d27c5842043ed1a</t>
  </si>
  <si>
    <t xml:space="preserve">bd45b0b46bc556b0411f190dee2978c03bd3e9f1e9307c44d25067535b20222b</t>
  </si>
  <si>
    <t xml:space="preserve">94ab3bcda72b74de9229e6fcca1417a5059c45a45358a8ea02a52483e47dfba1</t>
  </si>
  <si>
    <t xml:space="preserve">b0949e81b498d55d21a657ffb0f75ec28efeacbd95024510fc21f59f62bf763e</t>
  </si>
  <si>
    <t xml:space="preserve">add01492cd3c95421c3146ed18516cf8bf8e2c4be1a7eaaa0b829e8d7fd2a3b3</t>
  </si>
  <si>
    <t xml:space="preserve">0f80282582629cebcda0750e1ba332966c92aa1662dc8a61e6667109a19fbefc</t>
  </si>
  <si>
    <t xml:space="preserve">9525dde73e772d71418efddd8c077eba8371738342c893f13792eef813cbe5af</t>
  </si>
  <si>
    <t xml:space="preserve">572cb076eefea972bac808bfb6d31359c57e19e067a1df1d32b1731e65807767</t>
  </si>
  <si>
    <t xml:space="preserve">7020c65fc22f75925682050a58990ad948826ca7c060c1ab28e33ee2d69c6d8d</t>
  </si>
  <si>
    <t xml:space="preserve">5cb97af669071b4300ceaf6950862b2b8e1b609c5f88db3e5d56b87664003188</t>
  </si>
  <si>
    <t xml:space="preserve">f8af81989ac46a79d88f1e520389da51114af984d4a58d9c23b184524912fe89</t>
  </si>
  <si>
    <t xml:space="preserve">e57f42f83214d35c0e595902722ec9008db7696071c8d783b04b0c4682d0f245</t>
  </si>
  <si>
    <t xml:space="preserve">e8502a180e8842b9feae3e70a87bced605678837f21240be5a932cb34534bb45</t>
  </si>
  <si>
    <t xml:space="preserve">f4ae513512d88a5b8bdb5230087c8c64648296c34e2a5cc05c379afb46ad5c23</t>
  </si>
  <si>
    <t xml:space="preserve">correct_option_text: Codex PDF-source repair: PDF-source repair SRC-009. Source: exams-other-regions-spain-pdfs/illes-balears/2022/exam/exam__cuadernillo-de-examen-aparato-digestivo-fea.pdf, PDF page 44. | option_d: Codex PDF-source repair: PDF-source repair SRC-009. Source: exams-other-regions-spain-pdfs/illes-balears/2022/exam/exam__cuadernillo-de-examen-aparato-digestivo-fea.pdf, PDF page 44.</t>
  </si>
  <si>
    <t xml:space="preserve">0f4ca8c1d8b2abbd7eb2abf429c769435cf287012a5f61996b030842bc6c28e3</t>
  </si>
  <si>
    <t xml:space="preserve">285a726423454e8c538550141fe812a42e72336bd627d139e8221f53d13871a3</t>
  </si>
  <si>
    <t xml:space="preserve">cddf4d773c596669bd73c081385a14ebbe4db436c1a1ac0b74e6a34e6896735b</t>
  </si>
  <si>
    <t xml:space="preserve">7b5752f7d89870672e320259d12cb3224aaaaff2f4f67f349f1b084e98ed6608</t>
  </si>
  <si>
    <t xml:space="preserve">f5a19e00a361ae8c98ee8327d371cc9cc212729c0d44dad921e721838df56178</t>
  </si>
  <si>
    <t xml:space="preserve">c5cb8718176ece62e9bf0f5d54add2c53fb4333d2c09652d16290cb8ace0ce6b</t>
  </si>
  <si>
    <t xml:space="preserve">b8ab5ff2758445f5182035aa63d4d89940fb563f7473298154772ef7c3e8d31a</t>
  </si>
  <si>
    <t xml:space="preserve">d9fd70ff8ae1acb7152d52605b504a22c05ed826ffb44471aaa0af8ca302671e</t>
  </si>
  <si>
    <t xml:space="preserve">711faa41851c5cb673831803fcc060e7a86c96841e03ff4d8fac764088c9f72e</t>
  </si>
  <si>
    <t xml:space="preserve">687b17d4d6c76d6a0d81c7f4d76d954a1c2242092092a1835d25225d37878199</t>
  </si>
  <si>
    <t xml:space="preserve">a2442f22c9fc50a71ecbfa3f2112f816203f3df5bc1788934e5e1cfbd4db7ed6</t>
  </si>
  <si>
    <t xml:space="preserve">c94b5149d2ace5d834de986331f0dbaf5285583728053cae53ae0bb9f6b99798</t>
  </si>
  <si>
    <t xml:space="preserve">107d4beb95356c3853c23658434235c52d074979e8c7784cf0319084c4f54c52</t>
  </si>
  <si>
    <t xml:space="preserve">984d8307687ca18a412d4d13fa083cb11f9e06f466c70140a021bcc4e5ffc04d</t>
  </si>
  <si>
    <t xml:space="preserve">ec4a978de7c93bc4f6ddd1a216ff63fe0dc7aba195def4c29a36a768e85b776a</t>
  </si>
  <si>
    <t xml:space="preserve">f69d04f98de2d1a4aefc031305355b8aef5d8e26e1b34930b5e935f44e24c788</t>
  </si>
  <si>
    <t xml:space="preserve">01f77a1bb648594d5ed54ac6f63b3cd5c865e649753a41ed4a0dfb5ac2440ffd</t>
  </si>
  <si>
    <t xml:space="preserve">5eb68b8ab924e8c802ef4ffac010e8d40951409bc650a78b97c5f5fd929b0932</t>
  </si>
  <si>
    <t xml:space="preserve">167bb521d683029b26ef70733bfa86bb2b2d7546045d40e556fb735fda703060</t>
  </si>
  <si>
    <t xml:space="preserve">a0acd186a013bbd7e910dd3e0509d89528786517e831bb238bf8e0058e235cb0</t>
  </si>
  <si>
    <t xml:space="preserve">de2c073c0d73da6170a4d1a225fea314d2d99c6eae7c5ae183fb7d466ab479e8</t>
  </si>
  <si>
    <t xml:space="preserve">b069a24d3cde989f6d2760c21d92f77a5c80ccf6348d80645d743133fddc3fef</t>
  </si>
  <si>
    <t xml:space="preserve">cc811528abf1158d9cee0c14c3b2289083da7f731d65af718aeac033aab47b65</t>
  </si>
  <si>
    <t xml:space="preserve">d476110756c34f7093d4bc288dfeddb76d6da9d1989309529e828a20615a14a6</t>
  </si>
  <si>
    <t xml:space="preserve">dd01ca0776194300d0200c7882defd4a4ec26be88bec559bac2f2208eeb5cb44</t>
  </si>
  <si>
    <t xml:space="preserve">6fc922a93e0b27955b65f9c93f8e32d2bb62ae369ac9f03d4e8b41309f161466</t>
  </si>
  <si>
    <t xml:space="preserve">683b7903786219f0f8fa507317dc8b537e55c8c2cdd32a4a90c20b4c1e160928</t>
  </si>
  <si>
    <t xml:space="preserve">5e4ddebd977e62140b6074c661fb72da5aa788532d60813f05eb9f392a71ff3a</t>
  </si>
  <si>
    <t xml:space="preserve">0b1a98e4f5b9ad7dcfbc8a23e151b197c9f239fe27384d7f48713a1bd65225d3</t>
  </si>
  <si>
    <t xml:space="preserve">f7817148b6fb92579e742c1ad1d0c44ac93c4194d3b95716ed53486a711371f4</t>
  </si>
  <si>
    <t xml:space="preserve">option_d: Codex PDF-source repair: PDF-source repair SRC-009. Source: exams-other-regions-spain-pdfs/illes-balears/2022/exam/exam__cuadernillo-de-examen-aparato-digestivo-fea.pdf, PDF page 48.</t>
  </si>
  <si>
    <t xml:space="preserve">d4fa790b3867c6273b3492ac511621be1c0f39664ca811847c4b37d9fcbbfe31</t>
  </si>
  <si>
    <t xml:space="preserve">5a69ede824b25216eca68499931b904ee4ed889e78abdb58cd110d4588b45506</t>
  </si>
  <si>
    <t xml:space="preserve">0540e847da27c636609e9345b6589183afa9179e55dea8af22b41e2b9a33c4e5</t>
  </si>
  <si>
    <t xml:space="preserve">669628a6e44f6117a3994b3b4f1e9f005de541c55d085cfd0eb1784fae049deb</t>
  </si>
  <si>
    <t xml:space="preserve">option_d: Codex PDF-source repair: PDF-source repair SRC-009. Source: exams-other-regions-spain-pdfs/illes-balears/2022/exam/exam__cuadernillo-de-examen-aparato-digestivo-fea.pdf, PDF page 49.</t>
  </si>
  <si>
    <t xml:space="preserve">8a34eb340918d61346f8b027ddf5cb55db3a6e162e312c6822fbd1237b10b9b5</t>
  </si>
  <si>
    <t xml:space="preserve">03934789079728574cf69844196c5d11b8006948570c57b8e3bd77b0324a53a8</t>
  </si>
  <si>
    <t xml:space="preserve">0f75a521631be3836e0a5c97fe1c08cf48727dcbf82f494a74355b904267f4f3</t>
  </si>
  <si>
    <t xml:space="preserve">a01a779c64979ac8f79c3d33e9088ab079bb468d535aae2962362c4e407b99b0</t>
  </si>
  <si>
    <t xml:space="preserve">bad9ce80282b2c7e7eaee75b7a24123d08a7c5f7c725d4a132b82f1365bd07e0</t>
  </si>
  <si>
    <t xml:space="preserve">454dce6a92ecb20c959986470b68340aaa225851bf217807b7dd082097e17d9c</t>
  </si>
  <si>
    <t xml:space="preserve">correct_option_text: Codex PDF-source repair: PDF-source repair SRC-009. Source: exams-other-regions-spain-pdfs/illes-balears/2022/exam/exam__cuadernillo-de-examen-aparato-digestivo-fea.pdf, PDF page 50. | option_d: Codex PDF-source repair: PDF-source repair SRC-009. Source: exams-other-regions-spain-pdfs/illes-balears/2022/exam/exam__cuadernillo-de-examen-aparato-digestivo-fea.pdf, PDF page 50.</t>
  </si>
  <si>
    <t xml:space="preserve">c9a93caa6fb9c870bf52648b9aba4a61fb3441dc91dd29964b0bc563ea3cf07d</t>
  </si>
  <si>
    <t xml:space="preserve">3081789cf8920f2a74b58671c1873c7a0162cd299f6751a754bb1253cd4aa2f7</t>
  </si>
  <si>
    <t xml:space="preserve">5a3d670b96f4a1fb2d75d7b1ca94d7016e4e92c28f24cd5467c2bbe94044e4ef</t>
  </si>
  <si>
    <t xml:space="preserve">41690663bfc480f9622bf353cfbf95a166cceb317afa2d1fe5b355ec585933d2</t>
  </si>
  <si>
    <t xml:space="preserve">dfcdfde6dd2ba45ef8c141eac5e3395e2dc3a7c82b3c221d8fe442609630afb1</t>
  </si>
  <si>
    <t xml:space="preserve">49fab6c2e76d6734cb303fb525a0941c9fb741da8767c6b7748382eeb5c9a778</t>
  </si>
  <si>
    <t xml:space="preserve">691c44bf76af7ab683bced8401fd598c3c9723ae637420a55775301724596aa2</t>
  </si>
  <si>
    <t xml:space="preserve">7f2579386320b65ea05d631774bcaca58e7e37c035b19f77547920801c0d4ce2</t>
  </si>
  <si>
    <t xml:space="preserve">9e0227a00fe9e952416b4684b14ac5de521eb402ec5872ac9d3d7bd275fb5f56</t>
  </si>
  <si>
    <t xml:space="preserve">91cd08a0aeb9d994bc7636d89a23d4cef90aa95e4fc7ed3f05d5d7439c430154</t>
  </si>
  <si>
    <t xml:space="preserve">06cf656d12901fbd9dd8792046367e83dd6bcc68935cecdcc6ca074a77813fa3</t>
  </si>
  <si>
    <t xml:space="preserve">70a422252ea981a895008dc5584ca8f6166c3bb5bcc6bac073e09bc7936222fd</t>
  </si>
  <si>
    <t xml:space="preserve">1abfb73a25e2c8235c7fd5589548cfc50c5f61a777378fe60cd7a5523f66ed35</t>
  </si>
  <si>
    <t xml:space="preserve">fcb07dffae189e7ee2168711b553cd76b3dc22be976b9ab8250ac736e5546cd6</t>
  </si>
  <si>
    <t xml:space="preserve">231d7ece88eb3e8e981bd326cbdafb8f2c587073ea4d1ddd17cc492280294808</t>
  </si>
  <si>
    <t xml:space="preserve">a5b89fe47fa2530edb889507aab8088f8f55830e476da944ae2c169b3694d948</t>
  </si>
  <si>
    <t xml:space="preserve">7e9114b82bf1a82ab1c80748e1549d32f9d59831542e36d0bce4ed6eb55dd85b</t>
  </si>
  <si>
    <t xml:space="preserve">84d5a84e5e8159d91e0337326060c3ab433c6dfe06792781cfd0427e12105245</t>
  </si>
  <si>
    <t xml:space="preserve">a2d6a3605d97c83edd3c6b0990a813138e8fb8c57c38900f726b81e19e0b7e76</t>
  </si>
  <si>
    <t xml:space="preserve">361e4eae58954c2ec742b215b226aa4eb75c01618e11722b45d5bb09cd7987f6</t>
  </si>
  <si>
    <t xml:space="preserve">cf709cbf49d6f671eb272c653181c62b3433e18fdfd9b4425f792146f7c614ed</t>
  </si>
  <si>
    <t xml:space="preserve">5985bbc93d62a0c4f7d476974d6ec4da108a71ae094c7e26d74f94fe9d3e6aa5</t>
  </si>
  <si>
    <t xml:space="preserve">0d1dcb0dee8af2d0ef73ae7e204229380146bedb9bf5b5c793d8c0933cb6be5b</t>
  </si>
  <si>
    <t xml:space="preserve">eb2c6ab13c12ff53f425de803d4b36f87aefc680475c0dddef569e2bf89eb9f7</t>
  </si>
  <si>
    <t xml:space="preserve">e8c3773d7ea6c7b041d7612f9c4f09124221e2fd08a96b9ec4c2bbfeea505e2a</t>
  </si>
  <si>
    <t xml:space="preserve">ef89ad291ea851e6c9304a8b1db209e4e4a5b894fcd13d0f568f74f7fa95eaa1</t>
  </si>
  <si>
    <t xml:space="preserve">900c7a6baf0f13445439a5eda6e041efefcb484a98783b6f0ce5516dd7a38c19</t>
  </si>
  <si>
    <t xml:space="preserve">f08b56640c57151e421f99f4d7acc81aeb358b2a242dc5231af6de0f9a51c2f8</t>
  </si>
  <si>
    <t xml:space="preserve">ae04e7a9fff8b34a776279b320d895efcc338c8aeac5ca6b715872803b3afe68</t>
  </si>
  <si>
    <t xml:space="preserve">f6930462bd43e946a21703dca535a349c5dddab4bfaaf32c69a744b58e21a5a1</t>
  </si>
  <si>
    <t xml:space="preserve">71ab16178064e190e05cf61058c34c974d66e8f6b23fe256788e1e487b4456ff</t>
  </si>
  <si>
    <t xml:space="preserve">3eba066c618ec8a6dbdcf8705b8c44565ed3ba3e1d332294775741e1addcccdb</t>
  </si>
  <si>
    <t xml:space="preserve">75b7df18bea4cb289bbf4f0a7f13b2016bcb2bea77d59b01ac2213e3a2c7640a</t>
  </si>
  <si>
    <t xml:space="preserve">b789739e37b5c7c8c7fa5846fe0adb5e567920da52539fe087a29aad8b74f318</t>
  </si>
  <si>
    <t xml:space="preserve">c066c3e529dba0af76cb151147b3770b7e4ee48ec0870e06778e50ed820c44aa</t>
  </si>
  <si>
    <t xml:space="preserve">a9ffd71fb9c602658d690e3bebc665b8b0ca4da7cb8866d30774a792c9555352</t>
  </si>
  <si>
    <t xml:space="preserve">54cf584888e9a590506549530080cad766be45518b3c33c446e0e3558f0f643a</t>
  </si>
  <si>
    <t xml:space="preserve">f87033a4c610bea2088f6831220498c023ee009351b56e7618cce5dff9700760</t>
  </si>
  <si>
    <t xml:space="preserve">49f9ceb61b4a9620b4528071ed9a2e1ecfd6d4b041b5b333fe1b2f831bb4e01e</t>
  </si>
  <si>
    <t xml:space="preserve">2bbf279be80a81a5734420d93c4440f38733ddeb2d448448c15fd2ddd0538ae7</t>
  </si>
  <si>
    <t xml:space="preserve">3e66e55dc94193f381793d9a36146884463edc0e6e725c0b28ec901ed30cf22d</t>
  </si>
  <si>
    <t xml:space="preserve">361e3909dd611e9392f8cfcf57004e1a4d77dcd61a32898d4e4a324093142555</t>
  </si>
  <si>
    <t xml:space="preserve">545698a1d3149937c1373c9f2469db92c34653d2866e0412bf96c3132c13279f</t>
  </si>
  <si>
    <t xml:space="preserve">d753ba9c495a9aa8603ea601dd9f4f57c813d45a4c7d94ac8b51595938a8769c</t>
  </si>
  <si>
    <t xml:space="preserve">2e9e5ecffbfc18c1b57cfc60be3bf8c2a8c3d8febbf33560840402cb548e2de3</t>
  </si>
  <si>
    <t xml:space="preserve">270c3ce38396f7e014eedbe970943223b049c13fb813de6abdc1a38583c95249</t>
  </si>
  <si>
    <t xml:space="preserve">276883203719f40ce3a4e84c4f79b18f9e0f16c1a69b68ea5154c0b1688972a0</t>
  </si>
  <si>
    <t xml:space="preserve">015b30815113d193d69a19d24c765cdfbd4264ed3f8020e51bf0c29c0bd416fd</t>
  </si>
  <si>
    <t xml:space="preserve">8cfe2e7e8b569901ae33c9136263722ad41bd5bbf08dc88bad83192675a2095d</t>
  </si>
  <si>
    <t xml:space="preserve">49dcf24611b3388e62fe57b42d55c4c731844188c51cc8f880a2c735e46d118e</t>
  </si>
  <si>
    <t xml:space="preserve">dc79fb0158d72ba615ffa60d58f4c03bd71bb52cd6a4d2d6702f1a888b6b65e8</t>
  </si>
  <si>
    <t xml:space="preserve">bf12fb886580ef36d44b89200f6ddf20b2e3059f9f6265bf758bfda967d02f28</t>
  </si>
  <si>
    <t xml:space="preserve">AD_NAVARRA_2022__EXAM__040_exam_preguntas-test-examen-digestivo-definitivo-ope-2022-estabili.pdf</t>
  </si>
  <si>
    <t xml:space="preserve">ce92732f6e6259ea4369a9f289f73dcfa80cc67235651691fe2876f5ed469e08</t>
  </si>
  <si>
    <t xml:space="preserve">d1ca2f45e29831536285693104671a2ba0ed88c295cde1d63858de166812dfab</t>
  </si>
  <si>
    <t xml:space="preserve">985fe99b23aae80df375e9d8b545c544650a4b0c2a2260dd1e0896e3c2e28bf1</t>
  </si>
  <si>
    <t xml:space="preserve">8d075cc9dd0c652a9e492cc569efe306de62e1355117f4a3c723458b25424bd8</t>
  </si>
  <si>
    <t xml:space="preserve">5f97d03db8af31628790de12f8954f5c420cb52f35f2b72695c317d3171419b1</t>
  </si>
  <si>
    <t xml:space="preserve">ac4a5ca11d3671d1123cb1431a9fdb2fd65b0700141d81012664d8b4acd72cb3</t>
  </si>
  <si>
    <t xml:space="preserve">61766bee71024f8a7133c74d802c0e3139e53677320652b69efbfff800096069</t>
  </si>
  <si>
    <t xml:space="preserve">879dee977bff1c27ad1043b7209dc6d555e5d8038fe419b3b149b18a2b6da24d</t>
  </si>
  <si>
    <t xml:space="preserve">7d30f33bcf4627ecb141d0763b650111ba57ccb3c5a5add038765ef28843fb46</t>
  </si>
  <si>
    <t xml:space="preserve">db3b5d3c03adfee81c3aff504820482bcb77db2fd1b947fcc001fb52ade5aac7</t>
  </si>
  <si>
    <t xml:space="preserve">9169e4dc6fae0ea0898a52c7798c73bc0f28136c3971780862644b0c40ab6863</t>
  </si>
  <si>
    <t xml:space="preserve">aae4d1321472680ab5228b611b5f14852bf88b29cdb281fa422ec9102402f0d3</t>
  </si>
  <si>
    <t xml:space="preserve">e9a0ede554e2546d71ff5d69b62c9a9adbd0b73f34a2b54358372e1a160c2a64</t>
  </si>
  <si>
    <t xml:space="preserve">803ac9363a5e0d9eb9969c34204bb11c0a2581fa5a56c349795b1856fadea5bd</t>
  </si>
  <si>
    <t xml:space="preserve">a00fb12836a607745d040d1203cad00d3398c63d44c266ba2ff47688bf31e1b2</t>
  </si>
  <si>
    <t xml:space="preserve">69716f08a06a3e09db43115650d6846af8724dd727c8d17a84da59ae2fb855d8</t>
  </si>
  <si>
    <t xml:space="preserve">bece7dd362a3ad2656f5215dada655732454bbd47dab6c628742187fac23bde4</t>
  </si>
  <si>
    <t xml:space="preserve">b4e77a0caf6a2737e76d82b07f56fb6041c674695885d52c0eaef8b3da54031e</t>
  </si>
  <si>
    <t xml:space="preserve">14b170d92fbf34a2f1388d50b433f4c772dd8320fef8799bb08999513262d09e</t>
  </si>
  <si>
    <t xml:space="preserve">dadceb5cef7300ca4c19893ccbc8261347e5f6c6bd3e5f7b0cdef1c095431b31</t>
  </si>
  <si>
    <t xml:space="preserve">1fa68be9b36cc43e67b33565ab3b77568724983e775b1ffe13b3dfa7787618f9</t>
  </si>
  <si>
    <t xml:space="preserve">4a1e40751181733649bd70dc67c0d45d7fc81ff9dec5d372a57732793ba0ce86</t>
  </si>
  <si>
    <t xml:space="preserve">fdaa7f8906b9856389482804306a3b315c3475bb2177dfef6202d4e83562f714</t>
  </si>
  <si>
    <t xml:space="preserve">fd19278962100fec0b2c044fe86ee39d8009720470c725e7a676798799f921b8</t>
  </si>
  <si>
    <t xml:space="preserve">ca0adffd7bbe02760a2db9b8b77d749789eea2e99f49c453e1b6e301f4fd5ef6</t>
  </si>
  <si>
    <t xml:space="preserve">fbae78c7780ccbbfc7b60c3bffed15f9dd802134c189050d574214be7f7b184c</t>
  </si>
  <si>
    <t xml:space="preserve">c70e15d9a9eaee678a4f914b417fc83dc2aa75ff44dba0895388fc4b9ce6e6e1</t>
  </si>
  <si>
    <t xml:space="preserve">2beb843a4fca4fa222fead00b594221668efe997580178bfa5af705c99294fcc</t>
  </si>
  <si>
    <t xml:space="preserve">f1aea7ece479b6c3eb724ba5883600b2422f7c1bdbbd1f1d6a46645dc15d5067</t>
  </si>
  <si>
    <t xml:space="preserve">ee51e7025a4ea274e43fd715681ffd696bff958af10f79e91a8f8fd3257baa71</t>
  </si>
  <si>
    <t xml:space="preserve">1d5ad93e705a7668533a8784c8875c95c4fdfb5ecacb12bbe385109703a6ebd4</t>
  </si>
  <si>
    <t xml:space="preserve">fde854282542d31b8b5fd4b6cd378a8ff31743f970636aa8c7406e30b0fc951a</t>
  </si>
  <si>
    <t xml:space="preserve">49b5a44ee822b69568f91b8e66348fc4033d146288f04f5327195500d481fd59</t>
  </si>
  <si>
    <t xml:space="preserve">1fea493c2ac822c927cf860e85a522463a03f77f89af13b5f4b902d67ba62202</t>
  </si>
  <si>
    <t xml:space="preserve">fdd3e0c50be19bb89735f9193c60620b51e05bd1fbb2ed5f6d0cc277b0bfc13b</t>
  </si>
  <si>
    <t xml:space="preserve">fb990472859e6c007bafde0e73e485f79e547d44d4f38257185c946592aa4886</t>
  </si>
  <si>
    <t xml:space="preserve">d6512385adf15cf2c4aef1ae29d323ad80b236491563a6030e03f3a08b7d07c3</t>
  </si>
  <si>
    <t xml:space="preserve">a06649e4ec6e6684604978044d8c0e19df7153645574ffaf1ed5a9611c7f9a2f</t>
  </si>
  <si>
    <t xml:space="preserve">66a585d58cf740e1be95c2894027c44e8440d4884b3b53044dd6fdb775c3ebe6</t>
  </si>
  <si>
    <t xml:space="preserve">d84a04df03b09a9c70362f062a524c7c5af09ae91f65399fd6eb9e7319b6b37c</t>
  </si>
  <si>
    <t xml:space="preserve">1e520e8539e16a5ca31991584bf4c1b7e2cebcdd11d7e62648d4b99136cb957d</t>
  </si>
  <si>
    <t xml:space="preserve">9f8b89bc0a7b6cfffef85305baa321de05aae04eb13b618b0d4cc737ad0ba444</t>
  </si>
  <si>
    <t xml:space="preserve">no_image_pair_formal_type_quota_sha256_rank</t>
  </si>
  <si>
    <t xml:space="preserve">No</t>
  </si>
  <si>
    <t xml:space="preserve">AD_COMUNIDAD_DE_MADRID_2021__EXAM__017_exam_cuestionario-de-examen-f-e-en-aparato-digestivo-sermas-2021.pdf</t>
  </si>
  <si>
    <t xml:space="preserve">5248f1b9605c31fbec3d1247e5eb5b18e5ae411cbe089d52887a3fc8d480c195</t>
  </si>
  <si>
    <t xml:space="preserve">051616d589d3483775d00cb3d5591a49481f3ed5de8077356bc83568be701b6d</t>
  </si>
  <si>
    <t xml:space="preserve">Direct theory or reserve</t>
  </si>
  <si>
    <t xml:space="preserve">AD_CASTILLA_Y_LEON_2019__EXAM__044_exam_examen-le-aparato-digestivo-orden-san-139-2020.pdf</t>
  </si>
  <si>
    <t xml:space="preserve">204dc426b11d6c807fb974a8e22d23eb6a9e29536e5bfd5e3c2a6e230792a188</t>
  </si>
  <si>
    <t xml:space="preserve">6b2980c2244943f73d8599a8637f37dd33d25e95c7d1c47b776a50d42c9209e8</t>
  </si>
  <si>
    <t xml:space="preserve">AD_REGION_DE_MURCIA_2019__EXAM__021_exam_apa-dig-lb-a-examen-turno-libre-modelo-a.pdf</t>
  </si>
  <si>
    <t xml:space="preserve">a5c52aa4a1c9ac8ecd7ce20328168186f5107fb25c4d5fcfe000ed7b2ea183e5</t>
  </si>
  <si>
    <t xml:space="preserve">21d066e32bd14fc3e91db3433e63a79a640cba97e01a6ff55faddcd52774c1f5</t>
  </si>
  <si>
    <t xml:space="preserve">9afca0acdb7e175f516bb5170d8902239085665dfc681a5fafc2355a405d559e</t>
  </si>
  <si>
    <t xml:space="preserve">137f5eaf77b4914e9ce64b9a0ba75c6a5963a5327104e1149f94de09d1830a27</t>
  </si>
  <si>
    <t xml:space="preserve">AD_GALICIA_OPE_2016__EXAM__gal-02__aparato-digestivo-cas-20171029192531-cas-pdf.pdf</t>
  </si>
  <si>
    <t xml:space="preserve">ac57a4ac78f54433fb66e602579932e5cdd4e4a1d8cc0c63b8de0e9137c51dea</t>
  </si>
  <si>
    <t xml:space="preserve">6e9af8de42fd8ff24b258f0e80f28e822d32cbb27c699148a487fb71e543da3e</t>
  </si>
  <si>
    <t xml:space="preserve">27fef1ce294c33e0165bb2a02cbe2895ef37fa3619aedd62b1b0038f9017d6ec</t>
  </si>
  <si>
    <t xml:space="preserve">1ac6441474a00d2e00d2238b3448c0cb299606d2d48fb1836eb6d537da6c9e86</t>
  </si>
  <si>
    <t xml:space="preserve">Standalone clinical vignette</t>
  </si>
  <si>
    <t xml:space="preserve">AD_ANDALUCIA_2021_22_LIBRE__EXAM__07__9122-aparato-digestivo-pdf.pdf</t>
  </si>
  <si>
    <t xml:space="preserve">feb18c80930f4fd42a5ab858b98832734ae37d51d7daf473d6cb02bf9a92af2e</t>
  </si>
  <si>
    <t xml:space="preserve">0b24bece7656a83784a53e916c2613079f36886b8fef142ff78bd6e36998ab27</t>
  </si>
  <si>
    <t xml:space="preserve">Shared clinical context</t>
  </si>
  <si>
    <t xml:space="preserve">AD_COMUNITAT_VALENCIANA_2022__EXAM__25__25-comunidad-valenciana-2022-exam-pdf.pdf</t>
  </si>
  <si>
    <t xml:space="preserve">f5bdb54a4b1334d4a89f0c7dee9f40d5ac86a56a01b4c2ee5b34b260f01ba1fc</t>
  </si>
  <si>
    <t xml:space="preserve">315e751bc4e2e5d4c0e25ce44cefa6da6c8d84a94fda6cead888a1d042031599</t>
  </si>
  <si>
    <t xml:space="preserve">AD_ARAGON_2020__EXAM__exam__cuadernillo-de-examen-y-respuestas-provisionales-2021-f.e.a-aparato-digestivo.pdf</t>
  </si>
  <si>
    <t xml:space="preserve">4186aea1e2db01b7a514f01bf3ffab2a95161c452ec40bebfcfc3dee0da84ffd</t>
  </si>
  <si>
    <t xml:space="preserve">08f116344c766cb7600cf12c93c0e2c5329d27903e1e47a6a0534419290d03da</t>
  </si>
  <si>
    <t xml:space="preserve">daef912619d7020bb153fd0e2e7ede33bfb1fcbd754754b5c73ac80c1d6d87c9</t>
  </si>
  <si>
    <t xml:space="preserve">15c3a8fdf94872642f0a0ce666c342dcffd3a86423097baef60f2bf932c617a1</t>
  </si>
  <si>
    <t xml:space="preserve">f6326bbd18902d21155fce4b84dd0bf715e60869804304179b779b8f539651cc</t>
  </si>
  <si>
    <t xml:space="preserve">11d0a03906c13929c82be52873e10a990e282014c004169b919b6c05c63e015f</t>
  </si>
  <si>
    <t xml:space="preserve">AD_CASTILLA_LA_MANCHA_2017_2018__EXAM__exam__cuestionario-fea-aparato-digestivo.pdf</t>
  </si>
  <si>
    <t xml:space="preserve">d605b2dd8e4868aa5c1a69831abe646ae2a712d8ba4407c84269577859767b7e</t>
  </si>
  <si>
    <t xml:space="preserve">d0bc91d2707f1b1465b4ba1d0fe065ad0b3d0f2216b47516d197a00cbb81bd09</t>
  </si>
  <si>
    <t xml:space="preserve">7b8ca230cea12e1147895e9572fd05d401901725e05f4c129d24bfb83653ae5a</t>
  </si>
  <si>
    <t xml:space="preserve">0cda6fa107c167794b55cf3bdc9a775f0aae80302f78c2fa3e813bf271d27c31</t>
  </si>
  <si>
    <t xml:space="preserve">AD_LA_RIOJA_2020_2021__EXAM__exam__fea-aparato-digestivo-2021.pdf</t>
  </si>
  <si>
    <t xml:space="preserve">68876b38ac9a83ea1e7ff2c77cff08a66ccca578af6f86d4b3cd08419d81d5b7</t>
  </si>
  <si>
    <t xml:space="preserve">f6f69017f66fdbe1f920ba15b11406994e43ff6f0ccdfa1f803127ae542afc6e</t>
  </si>
  <si>
    <t xml:space="preserve">c7aef7628d744a5d9baebfca0ab88c29bb6003a1c996cf39e6649bf327cf2de1</t>
  </si>
  <si>
    <t xml:space="preserve">091e1ac7ee3bb71bfbd5414b4bffdf55c435e8a96d4c67355593635f368f4cf2</t>
  </si>
  <si>
    <t xml:space="preserve">4f3c13736b0778b62cb57cf562c24c40b35f4ddb4e29c9dc1fb5cd87bbd41dc5</t>
  </si>
  <si>
    <t xml:space="preserve">58a05b70d251014eb392deed359f21d78f9466e717b6311f4ecde4af8d232882</t>
  </si>
  <si>
    <t xml:space="preserve">AD_ARAGON_2017__EXAM__exam__cuadernillo-del-examen-de-la-categoria-de-aparato-digestivo-que-fue-realizado-el.pdf</t>
  </si>
  <si>
    <t xml:space="preserve">3ba4cef4f9ba4efa40760cb2a06d9201079f3ef8ad3d2b3ff193f12d48d41b1f</t>
  </si>
  <si>
    <t xml:space="preserve">3315e48328a24627b860017f01bc5c36eb4bcf59c057c2db9df7671ae76d6216</t>
  </si>
  <si>
    <t xml:space="preserve">65070aa9e9c3c932b51b75e4ff0f4317d289414aa65233e14b77218428317dce</t>
  </si>
  <si>
    <t xml:space="preserve">133c521fd0b40cc673db760eae97ac687d68f671668a800b4efb1ae5c33716ed</t>
  </si>
  <si>
    <t xml:space="preserve">c68dbd9fb19c46e05243c7d0db8718c1fd176b53c18ab47bebbbd2d17cba38f8</t>
  </si>
  <si>
    <t xml:space="preserve">81b401905af5baa3ba4a05810b38b4593a8dac889024362fc60e62000c6af405</t>
  </si>
  <si>
    <t xml:space="preserve">f899b637d1a7711b15d17fad60206debe84231d9827192706128181f92b226fb</t>
  </si>
  <si>
    <t xml:space="preserve">0ff441618b6c94ffc5dac85c2291f1edfb62a64df509b6e975a1c158977f7624</t>
  </si>
  <si>
    <t xml:space="preserve">77ad12c9903ecd9b905462e435710176d9a74daa5217554830ee660bd492752e</t>
  </si>
  <si>
    <t xml:space="preserve">51a77b0b79d84fd5e4701f4abd79e5b214cc6e33f9dc6414755bb58ae9710fbf</t>
  </si>
  <si>
    <t xml:space="preserve">dcc3177a0a337d7f68d6d9385a823b3c3a26e4489d54ed320eeca0d204c6e9cc</t>
  </si>
  <si>
    <t xml:space="preserve">e67a903f08fee9f094b99386841ada6083088d1e9573cfec9a378df3500790c4</t>
  </si>
  <si>
    <t xml:space="preserve">AD_CASTILLA_LA_MANCHA_2022__EXAM__exam__cuestionario-fea-digestivo.pdf</t>
  </si>
  <si>
    <t xml:space="preserve">6870739e13a6da99a5088abe334f4fd429a3ca32c6e36c963d6b18fddd950bda</t>
  </si>
  <si>
    <t xml:space="preserve">018b1111cd4990dda0daa9cc5473fe78636c054d8bd8b680ab715f395cf73792</t>
  </si>
  <si>
    <t xml:space="preserve">a1a9fb3f8d2470ce8532072baf4a08158d3d4ea27be87bf98d5a7e30048cda7a</t>
  </si>
  <si>
    <t xml:space="preserve">6c9872a07c824161b110c3f1aab81ad2880ebba9f940c03a8b393e7075c0bfb3</t>
  </si>
  <si>
    <t xml:space="preserve">35edcf95759c180d033b4d8a9177d8846bd03902fa6ef888a407be46d7c4721e</t>
  </si>
  <si>
    <t xml:space="preserve">ea99ac7cde1ff4a5c64312c65d8cb70821baec3b403fb33ec93ec96a540c29ba</t>
  </si>
  <si>
    <t xml:space="preserve">274f8635e81d11a440aaa5837dfeff4f07b5836e6a1ce73564e08767d0abcaa3</t>
  </si>
  <si>
    <t xml:space="preserve">8282adaa3bea5f3e656e492b68b726fb6feca9842272bad35d23a7a84fea286f</t>
  </si>
  <si>
    <t xml:space="preserve">d22000d6346a6411a02ab91f26b507d9f467273f425560ec59863b1d5729f9ae</t>
  </si>
  <si>
    <t xml:space="preserve">511c91d078f2ab9df617867eac1fd9d316bbf95cc34e6f2268a6a941045887ac</t>
  </si>
  <si>
    <t xml:space="preserve">AD_LA_RIOJA_2023_2024__EXAM__exam__fea-aparato-digestivo-2025.pdf</t>
  </si>
  <si>
    <t xml:space="preserve">697760db5bc84b9b2f341118cc5a97b92f6fce2b598597e60ee1ecb981821b2c</t>
  </si>
  <si>
    <t xml:space="preserve">15c1482e358548598f327df604661fb98767409a39dd13f6431c976ec3ad8086</t>
  </si>
  <si>
    <t xml:space="preserve">bbbeefdd690a7f745666246f97aeb20d6a6f439ce7b4c7b3f27f045dd7cd6da7</t>
  </si>
  <si>
    <t xml:space="preserve">f106d7638afd8e8e1908a05cbc3b224b89f57783289ae598221b04e4f038fefe</t>
  </si>
  <si>
    <t xml:space="preserve">AD_CASTILLA_Y_LEON_2022__EXAM__exam__le-aparato-digestivo-examen.pdf</t>
  </si>
  <si>
    <t xml:space="preserve">546d279f30b4269c1e839e6a775fa30a143dadf1af5d1479fe0a9ae855c04c00</t>
  </si>
  <si>
    <t xml:space="preserve">74c96a5da7bb78588fa443a8c518a82c3328145de9fc07411285c739c0a2d18c</t>
  </si>
  <si>
    <t xml:space="preserve">AD_ANDALUCIA_2022_EXTRAORDINARIA_LIBRE__EXAM__12__revisado-56007-fea-aparato-digestivo-final-pdf.pdf</t>
  </si>
  <si>
    <t xml:space="preserve">c344c950a7baa64e2412f3282fa58ed6220514e7ffc58ccd9a29d7b615ebcaf1</t>
  </si>
  <si>
    <t xml:space="preserve">136fd6f061cbb2076451d374ccfed14f609bbdb037e19c1f1f662de5ccebc409</t>
  </si>
  <si>
    <t xml:space="preserve">ca3ec5e073967b34e004e87ab20a357a9b37258885ca36652e0465a793136568</t>
  </si>
  <si>
    <t xml:space="preserve">072db640d5060091dcb328240a105fe7dad8c9c024f3577d7d212c49b9740a57</t>
  </si>
  <si>
    <t xml:space="preserve">26c7c3de481feda6ba22f91b9c0d3960f8eb93df811d4d45ec7bc7add8e973e8</t>
  </si>
  <si>
    <t xml:space="preserve">06a5a3b173e448dbfdd13bf2a55c18775577742aaa7379ef8864b09d5a2c7ed2</t>
  </si>
  <si>
    <t xml:space="preserve">a539030f7c3954dffa69b6ef9b3f56443c98b656d2e511dffcb683a95e8fcd23</t>
  </si>
  <si>
    <t xml:space="preserve">356c128a3230645327333b1559bf93204edd02e4203542829f3e2a0cd3c9e36d</t>
  </si>
  <si>
    <t xml:space="preserve">73f3787d9e9d78368c2ae641114534199ded2304b86b3f8dfa57fe4d03a13be4</t>
  </si>
  <si>
    <t xml:space="preserve">0d8dbd8a67816d9d48611657f343e1d97e491594b1f2c662869f8653ce467119</t>
  </si>
  <si>
    <t xml:space="preserve">7156d27eaece3b9983eed7a8119307bc8835abf39074c4123ba3a2397d8b11c9</t>
  </si>
  <si>
    <t xml:space="preserve">08eae3801d9d8f42486e5f43460ba8349a63602330acaf361b863909c5958ed2</t>
  </si>
  <si>
    <t xml:space="preserve">3bd308c437cc6aa518d365fab97f24b424277568f16bb9f00d0e7fd3731e1540</t>
  </si>
  <si>
    <t xml:space="preserve">5123a2ed164f74784cca22aaf7175c623a4ed5a049ea231b0a8d8806c49ed6d5</t>
  </si>
  <si>
    <t xml:space="preserve">8e98e5c8b3800c36a6c4df0b5fadaacef5d92c084c83271fa8827039b11dc440</t>
  </si>
  <si>
    <t xml:space="preserve">7ab47ff8443331028d85fc9341019dc10141a9a2f7b195f0805058f44ee61285</t>
  </si>
  <si>
    <t xml:space="preserve">8909402288982cf9855571c27bb4573e0fbfd62afd3c63b6dc81921a274bf9ad</t>
  </si>
  <si>
    <t xml:space="preserve">25cbcbbe6a0ff334ff0c597ff3b6bbfa518c4e6c8478792d7e19e3fee1f5c59a</t>
  </si>
  <si>
    <t xml:space="preserve">c2e3b4875f8c1d42bb6c1359f6cde6bb77e5fb0c2a3a9f6dda5197cdb66ad370</t>
  </si>
  <si>
    <t xml:space="preserve">0b7ee8912ffa4760436e5d5432ed05540032cf6a24adbed2c4abcecf6f62d725</t>
  </si>
  <si>
    <t xml:space="preserve">d385dd7cc8436bf9549b45d30fe58753e600f14e22ccbf60b3f87393b77145d7</t>
  </si>
  <si>
    <t xml:space="preserve">5a3b6ff89bf2ec9784a2906e2dd17a04eb39899a227d77e3089beea0d822dadf</t>
  </si>
  <si>
    <t xml:space="preserve">a7b267f640a80aae87c81fcb1607b896eecb23fb82ac5b884ab33edd0dfd63e0</t>
  </si>
  <si>
    <t xml:space="preserve">1c45ff61e754c8e0950d05ffeeed660ea603b4feac95c61f24768bb2591aa876</t>
  </si>
  <si>
    <t xml:space="preserve">ce51b1d46560636219402867349d6c4743ce05a1289fdf9860257c3088d74836</t>
  </si>
  <si>
    <t xml:space="preserve">5c75b546423e43de05e80f479fcca41091b132c541dbe4589caf37d525614aa7</t>
  </si>
  <si>
    <t xml:space="preserve">b8f0abf9d72833ac4d3585d80d4b3de190341724009a6a6c3482f29ccd75a4d1</t>
  </si>
  <si>
    <t xml:space="preserve">5a7079e55624a149814d7a335d10591d510570fe68731f7750a5003ec8c548b8</t>
  </si>
  <si>
    <t xml:space="preserve">17bb6263b4f215fc75e4a5bad4be3cf406ecfe8c9011e20976c69978870b8568</t>
  </si>
  <si>
    <t xml:space="preserve">0941f1921a6169566c27576925b6ad1c69b0564b90d136c3136d2db4b4a9f181</t>
  </si>
  <si>
    <t xml:space="preserve">e47f4fe4dadb163159a78e2d6d8b5d393d4ae6a39212fd71d6eb936a0d14ad0c</t>
  </si>
  <si>
    <t xml:space="preserve">0b0b22b96f2bfd1fc12b4071dd9c809cdd6e702c4c310ce970bfb4ce8f15cd38</t>
  </si>
  <si>
    <t xml:space="preserve">975c348ad91e0a82155af21662c6eaa2c6d6faf42929491fbafd3464cf9c5da2</t>
  </si>
  <si>
    <t xml:space="preserve">c2b6352d215d448efe079f2bb1be6495d78ed69a9f6312e46f40f68b23442e83</t>
  </si>
  <si>
    <t xml:space="preserve">9e59be9c9ee5f52a964af8dab735282e0129428ed53140350a19388900d2f50e</t>
  </si>
  <si>
    <t xml:space="preserve">1357ee23affd5cd9dca3f99d3223e6943474262310c4c0bef5ba885aac1b9728</t>
  </si>
  <si>
    <t xml:space="preserve">22d397dbd2d418176effebe56bbdd2ea52620438bc8e1413383d619cd5424ed6</t>
  </si>
  <si>
    <t xml:space="preserve">70fbcb5f04704cce8432e224938f06fffbe53a415abd9a5953d3e7fded1897ba</t>
  </si>
  <si>
    <t xml:space="preserve">AD_GALICIA_OPE_2019__EXAM__gal-05__cas-especifico-digestivo-20210925132858-cas-pdf.pdf</t>
  </si>
  <si>
    <t xml:space="preserve">3c9a9815a84f2a3860eac62b70ec79712ba2011f2f46f04063d6da5f7ae7157a</t>
  </si>
  <si>
    <t xml:space="preserve">236dc5d600962d993761a7101f02c96b6fef4ee04b066b46793d662fec9e37cf</t>
  </si>
  <si>
    <t xml:space="preserve">bb7f713df4fbb28539ce6c048d59365f9f74012fadcc45b91bf2b332e6f43906</t>
  </si>
  <si>
    <t xml:space="preserve">1073a0564ccc6d414a3d4b24d06fc1d14a1aed0f367e3b9ad2fe88f10098ab35</t>
  </si>
  <si>
    <t xml:space="preserve">8242a2ef100b116f889b357fd8d959c0ec23237c50712410cb416c50a12584d1</t>
  </si>
  <si>
    <t xml:space="preserve">bfa836092acb255e2ee620bff2efcb316584f5e01c0d014f66f0ce256831407e</t>
  </si>
  <si>
    <t xml:space="preserve">08a0944dea11284b14678d1be396b04c578683f8f52a09a52051fe0577a5f29b</t>
  </si>
  <si>
    <t xml:space="preserve">05bf7a56ab54e4cbb0e6f549d9c3e0782f246e02fa76cd048709989e22fd531c</t>
  </si>
  <si>
    <t xml:space="preserve">4e93c66bf7c0f517335ac23f6db74f7db6dc5eb8924059b4c847363760b2e162</t>
  </si>
  <si>
    <t xml:space="preserve">020080deec7a713dc8e65f7a5461dae8b6b4a96637462d71320f4f18deed7aae</t>
  </si>
  <si>
    <t xml:space="preserve">38fe0fab8221698668a32f2b33a2e6854a20e5ec9acd0347095e73726b34cf48</t>
  </si>
  <si>
    <t xml:space="preserve">1e80cdd5da7d588b2c1503ed19d9168fff8ad0883bb3da2c0d82f8692facdd3d</t>
  </si>
  <si>
    <t xml:space="preserve">24fbbd98db2e9cc8b0413353932075411d4dd12f38a4cfb6c2b23d98320ed270</t>
  </si>
  <si>
    <t xml:space="preserve">0262d8d3bbea89d31f0154d8350f1e110f9d7cf6d1b5454871a9573fd7fec2d3</t>
  </si>
  <si>
    <t xml:space="preserve">3f5a8640d211e7f656fc68d4047a493395a013db3e5e82c118043b84232e112e</t>
  </si>
  <si>
    <t xml:space="preserve">20d0c8d5cb0658493793c6a751b57d699cb223e8b685e876ae769a34bf7ec12e</t>
  </si>
  <si>
    <t xml:space="preserve">c3a50c19c5541470376f4c04af670f9b12250a7c9ad248c4420ed6d7296d7072</t>
  </si>
  <si>
    <t xml:space="preserve">215a46e31e6a20177af211d4a95a6c5f560a75ac270b70db8386aececd32dd83</t>
  </si>
  <si>
    <t xml:space="preserve">4ed5ee5cbf7226b146a261a8fae0c03dcdcbf582971a3258b8bd988ffbbc144d</t>
  </si>
  <si>
    <t xml:space="preserve">708936f9731f313215e19ec149c6d7d2c5c7867652fa4754160458d5158739b5</t>
  </si>
  <si>
    <t xml:space="preserve">48287cce283460787b0da111f95865f27b8dcae10f64eea84cd7dd04ae0e9f22</t>
  </si>
  <si>
    <t xml:space="preserve">e8ea6d8387fb256884d31730d128adad8b9bd78eabd0b403c0aa224d698a1fe0</t>
  </si>
  <si>
    <t xml:space="preserve">1b7c663e28c2705147a8e415487ca540b6d68a7ac5643bca34352d6e32b6561b</t>
  </si>
  <si>
    <t xml:space="preserve">93211c72f899a4a405d21f89a01610ba8b3f8d4574327bf87ab2bea3433cbc64</t>
  </si>
  <si>
    <t xml:space="preserve">bb57b9f307538c86c27034028ee78e65ce302748528dc7b52674717d8b24fa01</t>
  </si>
  <si>
    <t xml:space="preserve">0039ecb7dc242f31e0705920c5b7cdddbeb7f6c799aa9e65b7241c02b28e6e0d</t>
  </si>
  <si>
    <t xml:space="preserve">1d039321334083e7bf1acef554388e5c1b9a677512f852a57d8f9a1b826a1016</t>
  </si>
  <si>
    <t xml:space="preserve">d79dd2a8c5c12f86c209ccaee7b3d5c5d5b51941a5c9f593687ee6c49698799e</t>
  </si>
  <si>
    <t xml:space="preserve">ced788d07a35a36acc1225aa8c6e4ec4e73014daf936722e0500a11bff829471</t>
  </si>
  <si>
    <t xml:space="preserve">76d6b0fa0aafca169d32833b7d0b788eb895a7b9c9c5be8d90f7bf9d6ca711f3</t>
  </si>
  <si>
    <t xml:space="preserve">7f86b8d0c8e09a3f303e58ec3e40f87fd55d442d78b2a9b77bdced1b13123eb8</t>
  </si>
  <si>
    <t xml:space="preserve">1defd5f6779fac225c96f227c6e6abf358999135ce5052dd63049f5fed7b063f</t>
  </si>
  <si>
    <t xml:space="preserve">b32753ff98f44c2b16a9574c3d0eb62a81052ce96bb50ae0e4883143110703f5</t>
  </si>
  <si>
    <t xml:space="preserve">06d563c0a45c9002ede430a4e6de79ddf21678e116e54e8eb9488f174b98fd8a</t>
  </si>
  <si>
    <t xml:space="preserve">1c83d77a0369f6b6479676215c4622e8efb26e1b75ced38a6bf99525df5e50a6</t>
  </si>
  <si>
    <t xml:space="preserve">d23d43aaaf5cb527b3a5f9856f95af3ca2be2080b09b924752068749781e78ad</t>
  </si>
  <si>
    <t xml:space="preserve">ef80de7708d4d8481732e414a5327747aa5276318c76273694f4b66deaa6a5e5</t>
  </si>
  <si>
    <t xml:space="preserve">836c5d52968cf227bb19cf0f80e7bfb5c75fae08682fefee1abbfa8ac14ef771</t>
  </si>
  <si>
    <t xml:space="preserve">e11b45bb6c58ba333a4ab5a3e9364a7206906ab76ba6a7680bffb6fa7111322e</t>
  </si>
  <si>
    <t xml:space="preserve">3c3191ec8dcf344d8e50d77221bad5590cb6648b835919a8d9e224c188a16610</t>
  </si>
  <si>
    <t xml:space="preserve">5773d8c2c6c494fb382c18dc8fe946311fd0c05b0762ea9ad79efedb58d4b7f0</t>
  </si>
  <si>
    <t xml:space="preserve">18b93e0d58c0b9824416064b1ba3c30399aa1a6cd5f3047fa96b62fa773b7942</t>
  </si>
  <si>
    <t xml:space="preserve">ce7465906429aef71dc7a2868bd610e749fbf8d0d3e0bdf0d2b79029896e901d</t>
  </si>
  <si>
    <t xml:space="preserve">15b92699a30ace932248478d28fbfcf043d06456fe044728c5c9269ece46f569</t>
  </si>
  <si>
    <t xml:space="preserve">8219f8adfb3e10c3fd63a3efd1eb887171829178689702a0be163bc15c02c095</t>
  </si>
  <si>
    <t xml:space="preserve">201adb8a35d02e3ca5766482c85badbd2da3c3d88855ad16901752e54693b6f4</t>
  </si>
  <si>
    <t xml:space="preserve">d2f6e82ca46d9df17b424cd095aa118d22ca66ba096ae3e8563a98173134ccb5</t>
  </si>
  <si>
    <t xml:space="preserve">f0568a0859c0e6e693f2d2c1dbc6c08be152a38ccdcd965bd29528de4bb2ab0e</t>
  </si>
  <si>
    <t xml:space="preserve">AD_GALICIA_OPE_2022__EXAM__gal-09__especifico-cast-aparello-dx-20240316193007-cas-pdf.pdf</t>
  </si>
  <si>
    <t xml:space="preserve">d0b5f502444a200b2a9e9b1378125d38f35e6807c276dc06adc6f52d6c92c11a</t>
  </si>
  <si>
    <t xml:space="preserve">87d1d36985540caf9ce71e02d19b96b251794b81c7ba962837dcc83eb50f0931</t>
  </si>
  <si>
    <t xml:space="preserve">0f62611f2a10eb340caa649d3d7b4d5802abe4f9d36b2b5df93fc130ce26d43d</t>
  </si>
  <si>
    <t xml:space="preserve">0c47a2e5f06eddcc0f2afbdbff53bbd50dd58844f678e0bb2c985e79a484aee4</t>
  </si>
  <si>
    <t xml:space="preserve">fe9aadc4307fc42457346bd0f9c204a00a582a56d9034c1ddc87f97f66fdd03d</t>
  </si>
  <si>
    <t xml:space="preserve">46db9283bdc528a39812013df75d3167a6c847a14d420fa214e946d4334b96f2</t>
  </si>
  <si>
    <t xml:space="preserve">d690107373cb5893024d6423385337682b325032e0108f4f6b77acd49a2b5f6a</t>
  </si>
  <si>
    <t xml:space="preserve">27409469d554fad839e9e5d41b591271496be35a88b2f793ec0daff0d92689a2</t>
  </si>
  <si>
    <t xml:space="preserve">582802772f64c93f9ddaf1e90804188f8d78ac3af4bef51008705edba70ba07c</t>
  </si>
  <si>
    <t xml:space="preserve">be473f5edc86014993916212a7d61a9593ebe7934ca853836da435991442c90a</t>
  </si>
  <si>
    <t xml:space="preserve">46bde085e912c52d790daae9eb484795e607883690dbde82f9027e4b71d1f1b4</t>
  </si>
  <si>
    <t xml:space="preserve">f88d27410453419aae10762442493b2b63b3bcd6c2c87113958a2630ad57c20d</t>
  </si>
  <si>
    <t xml:space="preserve">972ef27bdba15e0361f0dac392f30b1b89c219c1b8930c4a0fe9281f4234656b</t>
  </si>
  <si>
    <t xml:space="preserve">075c5b3e533f8deff43194d8f97054c4a59e3683082e2c74638e42547b67ad5d</t>
  </si>
  <si>
    <t xml:space="preserve">ef3def074b1000129748cd212c74ff54eb57131c63f58a298e661ed5a654876f</t>
  </si>
  <si>
    <t xml:space="preserve">09685493473ea0c84e59d47dddda3df3c11c8e370ff64a430664ccd405948ad5</t>
  </si>
  <si>
    <t xml:space="preserve">10a43d7a78c925a4c7e773552be6a245a79f4cb2151cb7173949591b35c3f2a7</t>
  </si>
  <si>
    <t xml:space="preserve">149c8ee9c522d5a26bbabe509d607f1a12d2d1d878060ab5ce471e71dca77430</t>
  </si>
  <si>
    <t xml:space="preserve">be753e710b18c10080cbde17ae0ecca9ce24bc062f1ecbd5ccb3381951ea4e90</t>
  </si>
  <si>
    <t xml:space="preserve">11254e3813fa8cef0b1b315bd3df4f4a561fd83a28effbe265a3b3170a047883</t>
  </si>
  <si>
    <t xml:space="preserve">bbd0919d391c8500292cbce2da38969eabe9a421df20809dfb1e88d0e3709d99</t>
  </si>
  <si>
    <t xml:space="preserve">22fe8bd1f42fef224375de972837642d603ea0d17f8be0d341bf054f01024b67</t>
  </si>
  <si>
    <t xml:space="preserve">57ad53517f9d492f68b51f57888494494e21df83466ea61b629e05bf876a04e1</t>
  </si>
  <si>
    <t xml:space="preserve">2ab8e0fa93b172432b42f076f09dcc7da0b7a332b23cc58259ef357cb5f2fcff</t>
  </si>
  <si>
    <t xml:space="preserve">2c6839146449abf1e3f46c82caa62cc7d0c0c2dba7e61dbf1080c940373d1b89</t>
  </si>
  <si>
    <t xml:space="preserve">f2725e08bd9c033b6c60d3b3a54f775d48047df3da996ae613fb147bc8fa848f</t>
  </si>
  <si>
    <t xml:space="preserve">d77c5b952ac520e78f90c368e5dece65a2188d6b84e8bbd586fd724ef47dd387</t>
  </si>
  <si>
    <t xml:space="preserve">1029dcafd452f3806e8470b507d378fb437a9f886efc67b9f4b044b57693bd2b</t>
  </si>
  <si>
    <t xml:space="preserve">ef55b69f97c8220ca22937835296994f26b06fc250950008a7ae2fec6b451c39</t>
  </si>
  <si>
    <t xml:space="preserve">166b47f93198fbe99b9df9d47cbc8241e044202cab19c645c67813064c4a239d</t>
  </si>
  <si>
    <t xml:space="preserve">0bebab1f15d7226be0152fbc373c648d6b4880311717497d39d3cd44c1356be4</t>
  </si>
  <si>
    <t xml:space="preserve">1c976bca1d795d8766b3348be959380ed0e1db6528c5f248d2daff6509f028e9</t>
  </si>
  <si>
    <t xml:space="preserve">8fda5f376d56d85c27a532b1d6ed59a1724fc4be5201c4cb76b9015473423b59</t>
  </si>
  <si>
    <t xml:space="preserve">3d714a399f047251afc924cfd25cbbdc64699da390f2adefa07265aac328b8d5</t>
  </si>
  <si>
    <t xml:space="preserve">02bfff891423681cd38724c0d1e081f8c26948d44c47e0f5191bfa27e0a5309b</t>
  </si>
  <si>
    <t xml:space="preserve">0c4fcc401ab0358f6ad8ba521e8281be699b5ca6362c8ea347e79237bb75e8e4</t>
  </si>
  <si>
    <t xml:space="preserve">0e48e37a431e2b18413d4cea9ea5dd0e9bab3afa8054a835a879b779020db5f1</t>
  </si>
  <si>
    <t xml:space="preserve">7b29d57957e4bb06105110376e35764f567070402d778a1fe20bdcc90ab7479f</t>
  </si>
  <si>
    <t xml:space="preserve">932f5d0737df097cb73378a8a0d3714a457e87f9797a01e318520d383f596517</t>
  </si>
  <si>
    <t xml:space="preserve">0c63bda93f078d5b291960c04a6831eb73f8b8a7a25e3f67baaefc5c8e3050a4</t>
  </si>
  <si>
    <t xml:space="preserve">81771140fd72e6d9477aa442819d49a7ea1241c50504ed8f51cacc6955ecf0e0</t>
  </si>
  <si>
    <t xml:space="preserve">05c775110a460222145e49dce7d4726770d16cbac30103bc440c11d66ab375b8</t>
  </si>
  <si>
    <t xml:space="preserve">b8a6a6eb0e21c460758b087a85dea79a88ca214ff6ed9d0fd55dd00c880057a6</t>
  </si>
  <si>
    <t xml:space="preserve">1e959071b397f27e8721687c1b8b5ccd0358f08ca015d09872e6473a87b58f5c</t>
  </si>
  <si>
    <t xml:space="preserve">a15076efb6582d1415c2ef96c844a2a0ca76536b642ff468081fa06dae487460</t>
  </si>
  <si>
    <t xml:space="preserve">3a8f52276f25d2808b0e3de7c1c169ba29842117d8e6b131b4f8416ad4734ac4</t>
  </si>
  <si>
    <t xml:space="preserve">af6da7801a10d1998930b0e40968549d63e12dd7ea295902d6bf60007afa082d</t>
  </si>
  <si>
    <t xml:space="preserve">22214aec85a8cc9d65984a25d439ab3ec8b73227f6d973eb6994148ce65a5e12</t>
  </si>
  <si>
    <t xml:space="preserve">Practical or mixed section</t>
  </si>
  <si>
    <t xml:space="preserve">b6b3fd165718516c97086164dcc2655d2516bf799893cc01960536288702011e</t>
  </si>
  <si>
    <t xml:space="preserve">e1aee05ad03e71d0e298b5cd7777d0851e3c88aa1d9d40dba72873827da64205</t>
  </si>
  <si>
    <t xml:space="preserve">b0bb1045e5c8768762f3b32fbb38f9b55773a05f209ee2ae2f2d2bf5920a56e1</t>
  </si>
  <si>
    <t xml:space="preserve">1ab283f5ae16f381ed5e2f577ecd6a077b5aa8aca49fe4921b80a8b0248007cb</t>
  </si>
  <si>
    <t xml:space="preserve">32b3312ed06626aab469e055a3d5512620f88efd7614f2cb8a534b2d7320ed03</t>
  </si>
  <si>
    <t xml:space="preserve">fa9f1fcdf1108eb101542216a67e7afe849c6e413fba653416506fe34d7276f7</t>
  </si>
  <si>
    <t xml:space="preserve">df8e3b39e489fcd0382f12f54e17f243bd7a2adf92d535dfd1d15a66506b42b9</t>
  </si>
  <si>
    <t xml:space="preserve">03313ab4803f52e04e8a3ed45aac4d1e006d49b21725420838e181780905b283</t>
  </si>
  <si>
    <t xml:space="preserve">7f509e811000664777fb6345dee8492bc39a4504a325f8d396ef8f49bd485267</t>
  </si>
  <si>
    <t xml:space="preserve">761fb9f9f13d19cef7a0b7ce53f96727a9910d86f503d0a34125e3455c238957</t>
  </si>
  <si>
    <t xml:space="preserve">d4ebf1080eb906cd82fa081ab223884d5760d506e63d0585eaa842caa340fcd7</t>
  </si>
  <si>
    <t xml:space="preserve">17f4b14e8def8246886a676ad5f773fed8719de561092e06aeebc63295d8725f</t>
  </si>
  <si>
    <t xml:space="preserve">1aab370d1074594089911a4ae02870a88e8b294b80cb63c66cc620ec5873a9f2</t>
  </si>
  <si>
    <t xml:space="preserve">9e617b28c59159145da8d3da6bb3fb85be78c91a56c131c91e5ba1a3e3a22086</t>
  </si>
  <si>
    <t xml:space="preserve">30b23c0fb42ce1e06b17f3531a228556de53335e00dfcf6491243323ae34ccab</t>
  </si>
  <si>
    <t xml:space="preserve">197705f4b7a08587a38b435f4c0333c2071fe3a9a5849d63e2090ca152d75f31</t>
  </si>
  <si>
    <t xml:space="preserve">cfabffd6aeaa466beada859bb3097056fd8cd6a91e97e2e9eb1a2fad3639ba02</t>
  </si>
  <si>
    <t xml:space="preserve">4777a7de7a058aafaa465391cf85bf9d247c2ebcceed2c9d76cf62cec234bee8</t>
  </si>
  <si>
    <t xml:space="preserve">dd2389f5bc4be3d7822339bd59804e0f751bc151e9752fe892cb6079edde08ef</t>
  </si>
  <si>
    <t xml:space="preserve">2ba3612cb4dcccb967a5a1100e6ed007f69b32dc709fac1cbfd1ef0e46b0f02e</t>
  </si>
  <si>
    <t xml:space="preserve">57fb621ddb42ef7b58cd1979c0c9f64abec4a4c02bf577ec27c397c2468df872</t>
  </si>
  <si>
    <t xml:space="preserve">41f6787b65e8e69b06ab890abd013b19a3f3368914e6705759900855df195267</t>
  </si>
  <si>
    <t xml:space="preserve">b43de87490e0a68d9d0afc4af3bdbd80cb47a6369a7a2e270481a9752777973b</t>
  </si>
  <si>
    <t xml:space="preserve">15bd7b7c38e73f2a205bb409605eb27ba9629c118ce1aed67b71ac7f50ebc137</t>
  </si>
  <si>
    <t xml:space="preserve">a29ac1aec909df618d386e1ad12f0927a5537e157cff7a5bbb719dfbbcf8e943</t>
  </si>
  <si>
    <t xml:space="preserve">a4f577061f0a547c32702d6be6ebdc4782388e820971347e069476c12ff66918</t>
  </si>
  <si>
    <t xml:space="preserve">79158bbecd2e7299d3339d6a610957a10813a0f83b73d7dde254446bffdb7b34</t>
  </si>
  <si>
    <t xml:space="preserve">0446e1ae16e4660e5749a0e784bd76d8590b98714c69ff4b5325c3408c0e796b</t>
  </si>
  <si>
    <t xml:space="preserve">f995c1d88c63fefbe2f86190213132743f1acead2ea21ff77604d679fecc267a</t>
  </si>
  <si>
    <t xml:space="preserve">039f464d40e6f2edbbda1fdda5379717e11bd00c5abba64383a735fdfbce44b6</t>
  </si>
  <si>
    <t xml:space="preserve">7ec641799ac7126d2673b79058da93cc90bcfb0b6eb3af711ecc8441d1717240</t>
  </si>
  <si>
    <t xml:space="preserve">04c541d56643d2301213493706448765ac78ff46cf36e3bbd385ea98217fa260</t>
  </si>
  <si>
    <t xml:space="preserve">eb46396e39e091cc7123930e69fe34b8f5fae42acb329b3fe45bbba2eeeb5499</t>
  </si>
  <si>
    <t xml:space="preserve">18997da534e85a734423e0c67392fbace31441d0692024a794f2528fd75766d3</t>
  </si>
  <si>
    <t xml:space="preserve">f254a6780db70c06625d93b5d13edf7b03ecd0f5e91aac3a9253f118a7908624</t>
  </si>
  <si>
    <t xml:space="preserve">d7415cf5b6b735fc7376ca00a6aea2ae44e2feb25086ab97f626503cdfd423ed</t>
  </si>
  <si>
    <t xml:space="preserve">933ece08657e99cc5d51149084a4144fe6f9d29802ceebb4948a6a126c59be40</t>
  </si>
  <si>
    <t xml:space="preserve">df9568c42bed7b3b1c48bb1f94997714ff7273f11e4aafb235003a93ef8e16fa</t>
  </si>
  <si>
    <t xml:space="preserve">5a13409143d2c7bd0261fe114ecb90ca6f87830cfd359ba3201022cfcfe7c30a</t>
  </si>
  <si>
    <t xml:space="preserve">32764dc6fd31a83090a3ba643218299e488a6c739e2151bf1e2c4a5cab2dbec4</t>
  </si>
  <si>
    <t xml:space="preserve">9a4de7ce1c8beaaa859200788bdfc6bc67acc518a17d3c2426ff9f09b469ebbc</t>
  </si>
  <si>
    <t xml:space="preserve">1c4d5b4645d86de66669266255aa37e7f95e2eccfcf6bb8b63614d4332fe8454</t>
  </si>
  <si>
    <t xml:space="preserve">c6c1de5f0e922eab8fb013e69bf624b0e5c58e69d0825414f5283d3ed340c314</t>
  </si>
  <si>
    <t xml:space="preserve">457a1244d96ea7f3a37d0445eef7d7b009fdb6323b7f7f0593c24380f2b63263</t>
  </si>
  <si>
    <t xml:space="preserve">81a07c3e6ac62834fd4ba8b20374bdf7fa9700712da3491f7fb9c571cf828895</t>
  </si>
  <si>
    <t xml:space="preserve">5d0890ab7e710a4914cf5ab51666ac71748c73945e2d7a1ee142bb034288c665</t>
  </si>
  <si>
    <t xml:space="preserve">1c7bc03c7d20d3fb01db6b98908568ce656ee5fa818bff53048f3f5c4e717e13</t>
  </si>
  <si>
    <t xml:space="preserve">0ed40f089d46d5382e2201b5a5333ecda8e6d8c8bf8b6ecce28058f545f7a98e</t>
  </si>
  <si>
    <t xml:space="preserve">603861cf913be1c7bd6e4f36ee75fcda1b920d17a9b8844d7443fc4399d6f604</t>
  </si>
  <si>
    <t xml:space="preserve">828e4e827e6377e888f806764a20904501ba397a89f38b997bf6be3f36c153cd</t>
  </si>
  <si>
    <t xml:space="preserve">78658765b80cf00cb80b964980d21067368a8c965d88002c125a45a9848ed258</t>
  </si>
  <si>
    <t xml:space="preserve">3512ac1f36ac77a0d0050903a61e3ea383f809075d6859ae5a9283e8043946d8</t>
  </si>
  <si>
    <t xml:space="preserve">224601a0174b698472be5f8fe67a03ae4c340d8386da969b09a4f608d39d9c0d</t>
  </si>
  <si>
    <t xml:space="preserve">0c82cb4901e0439350370ec8a33d63548140519acd6be419f13a4e8aebf2eeb9</t>
  </si>
  <si>
    <t xml:space="preserve">5c5548d80e3932f8c4f580152b0cf2a25252781a647f8101505b91714134574f</t>
  </si>
  <si>
    <t xml:space="preserve">25f348e918aa8a6cf4783b33d03c0925880747bcc9941062cd9ec231df6849e3</t>
  </si>
  <si>
    <t xml:space="preserve">c8f7f93784df5db77d07daa8587abf5b656a532e8edf8ab13402eea68b47f033</t>
  </si>
  <si>
    <t xml:space="preserve">25c45a8ecb6f5045ab417e20f4557d82452f3abe3a11ac06f22c1c3c80ee6f1b</t>
  </si>
  <si>
    <t xml:space="preserve">69033103c2266e097cf5a4a231c3a484e01e6bcb298325406b62b04c8b3cf58b</t>
  </si>
  <si>
    <t xml:space="preserve">19e90b04263cfe53c6a4c8d09487c093e65394376b772be19f27166f24ee819f</t>
  </si>
  <si>
    <t xml:space="preserve">04fb3aa49f19abbb4e0f35a1a605b7a0207a33d067d6586bd89af5c2c62227c7</t>
  </si>
  <si>
    <t xml:space="preserve">4afc485c6f129114c59fe81eb6e017cd34c1e09b43a14a6cc38d9ba5df29a3ce</t>
  </si>
  <si>
    <t xml:space="preserve">a7f56d988eebc281f06231eea99eab75f3b392c181a771ce35130c43ad1c400f</t>
  </si>
  <si>
    <t xml:space="preserve">477e8dcec4c91c1f9b15e61addf63f7abfef88fd3e342a696c13cd1ce20bb278</t>
  </si>
  <si>
    <t xml:space="preserve">6dd020d7cfb54c5b07582ae04f4dc7d7aaf46021b31cd54ba275bafdcdef9b50</t>
  </si>
  <si>
    <t xml:space="preserve">09226cf49ac5c89f0140d9be0a4e814405f736468197658b209e34a68d882522</t>
  </si>
  <si>
    <t xml:space="preserve">1f8611221a0fecc507f11a304872b8b9a6f06fdb51ec6f574f696b78e96e3596</t>
  </si>
  <si>
    <t xml:space="preserve">08db085c38d573a70f1afa782cff3f5996d0d89627fe87b4c66d8a6530886287</t>
  </si>
  <si>
    <t xml:space="preserve">2f498fb7d4f447db0ae638b26e90917af12ec546e7e0254f1d03afb6062fe991</t>
  </si>
  <si>
    <t xml:space="preserve">b1662850d4936cf54e9956db0ab95420ecdb1272d54d973771d73930c5d1a3c9</t>
  </si>
  <si>
    <t xml:space="preserve">f48fd1786aedea5cffab89b6323746903c7b3c935dfeb4981742afd2bde710fb</t>
  </si>
  <si>
    <t xml:space="preserve">19b15ea3ed8b3f7fab2e60d07d2ae34ea06351a3d654b29c99d60a61df06a606</t>
  </si>
  <si>
    <t xml:space="preserve">aa4b4f50656e54e3fffe787bca5e3aad04bf13d0964c3e3e6c164e9b3d233166</t>
  </si>
  <si>
    <t xml:space="preserve">07e8b86967f613728fc0df7623a8e4495ac087fc36dadc7b28a0cae4ab49ef9d</t>
  </si>
  <si>
    <t xml:space="preserve">d950c6c96e0463f51ef8532d746f50c0c9cd78755beca147825b8a76fab2ca22</t>
  </si>
  <si>
    <t xml:space="preserve">23d47fc0d65920dcf1efc4d984dcdaf3d7f1a312d881bfcae312e6230e3218a2</t>
  </si>
  <si>
    <t xml:space="preserve">0a7895d91b6534a53936caadec820e284193683fbbc130e760f3d1e2ade99a17</t>
  </si>
  <si>
    <t xml:space="preserve">070534350947ec07e7b1299623424c407e9bf5a6650efd871e1c7db7cd22708b</t>
  </si>
  <si>
    <t xml:space="preserve">b743721141bdd193116b7706335f58f45a548c6661084759bee96349fe3dce71</t>
  </si>
  <si>
    <t xml:space="preserve">1d46ca787838f32d8980c3c45541a34eca5c4cb35ab382d54b6030e0d5ac7303</t>
  </si>
  <si>
    <t xml:space="preserve">ba9a4f21fc36b3f9593f89e9b2445c7e872982f3ec03d75898ffb26b48f0f7e7</t>
  </si>
  <si>
    <t xml:space="preserve">b4be5a7002b534581f513ecf1069047f548ae95f285d5cc92aeb30ed75e9d7e4</t>
  </si>
  <si>
    <t xml:space="preserve">0840ed3123abefcdf084219079d0bd56f9e712826a52648d9e13364a240f3726</t>
  </si>
  <si>
    <t xml:space="preserve">56bcf075b90d85f1e022b195ed1cd206e798f779b59304c94afff779730124e0</t>
  </si>
  <si>
    <t xml:space="preserve">bf49ecd79dabc7952325f899af645a26af11b2bc660f81c318fc5005e6730294</t>
  </si>
  <si>
    <t xml:space="preserve">11a11ab2dd5e9f471e479715b4d380bdcb666550d75fdff3e72b759ab8e9741c</t>
  </si>
  <si>
    <t xml:space="preserve">1ad16c3a7c03f0c42a736006dc9ae8e3f1e466936df8b184c81ca66b6b40e729</t>
  </si>
  <si>
    <t xml:space="preserve">34434951aae43e4b24b2ba78bf4183e4e62cf11d8a121bc28bb21c9f0cda3d42</t>
  </si>
  <si>
    <t xml:space="preserve">f423c8937e8a526b83a807a8de65d05f695954a7b69147014314555986d40b3a</t>
  </si>
  <si>
    <t xml:space="preserve">047d3d57555115ac33bce9a487233942b468b0f3b733ff303d33a1c13fac99a6</t>
  </si>
  <si>
    <t xml:space="preserve">4c59ec0a6c077a1382a87eccc835c9f101907f8a3f56fa06fc4611a952e8289f</t>
  </si>
  <si>
    <t xml:space="preserve">1d4de74ba8e4bbcbdea1bb56641bef8b0e5861906a8ceee06346110dd8cd7cdb</t>
  </si>
  <si>
    <t xml:space="preserve">c111b22e5dce69b4e31fc1b0d672e3c5c02aca3a584fe8b8dc73af21fad8824c</t>
  </si>
  <si>
    <t xml:space="preserve">7baf660131f95f2cfbb8fbe0118825c8a4ccd815a63b9a31f979f56a9c9f86c8</t>
  </si>
  <si>
    <t xml:space="preserve">7571b906dc269c422eda0f8b09c8bb2b0f782eb1bccf39bc27f3e4e527114a53</t>
  </si>
  <si>
    <t xml:space="preserve">5f73b9c031329f9565643eefea7d64402cf2e84271f6acdd14552092a0e3bb20</t>
  </si>
  <si>
    <t xml:space="preserve">a81942a5b827d49c13a0cddf55aefeeba849e8a942eab5fa45fad5a4e8ea90e4</t>
  </si>
  <si>
    <t xml:space="preserve">24ac21c6f3aeafeb95bad786a4b382b9cd4b77ff981328f22af17d4ac3025c92</t>
  </si>
  <si>
    <t xml:space="preserve">07d532b8ff107841dd5ff7614547ecd80491dfb5eaf51dfce46c8c9061ca68cd</t>
  </si>
  <si>
    <t xml:space="preserve">3ac29cc449203afdfd2c7e47afee439cdc668250cd6f1af4370101880f79bb2f</t>
  </si>
  <si>
    <t xml:space="preserve">f03fb30efe2fa5771086931e861ccc587f80b4085a4d32898a87bb26ff914ce6</t>
  </si>
  <si>
    <t xml:space="preserve">61c7b8746f7e304ac8388f0973f9d4edc5ae47e6e30d562738373e4da4862e08</t>
  </si>
  <si>
    <t xml:space="preserve">df5879f0c7ca0e877f605e67c335c417fc13441b34311a4b7eba9193d008de2e</t>
  </si>
  <si>
    <t xml:space="preserve">3798a02963ad0edeff2d7e8cbd24b87e65df7d27c7c057a99fe63b2995dfa325</t>
  </si>
  <si>
    <t xml:space="preserve">4b661022c604fadc307385fd089ecba1a011af9bec66ecd964ea793b0def1201</t>
  </si>
  <si>
    <t xml:space="preserve">146adc87dde9476366772d58a61e4c4d71a27c2a9b604021493e8c8abc8b81f8</t>
  </si>
  <si>
    <t xml:space="preserve">f7a4b3a4a2d08ab2b8e43cdc45bf6f5f3c78d6c11bfb8b71b355b5f087c677ec</t>
  </si>
  <si>
    <t xml:space="preserve">04c487cce6fdf5ad1acb9724e4fde8ea9b592b59a8de6f26f75808d46a724609</t>
  </si>
  <si>
    <t xml:space="preserve">277cd5e45b970ac97ce8d06cd905509a54667c662c05b04756bb774724fba2eb</t>
  </si>
  <si>
    <t xml:space="preserve">1350016e875303a9cda3a4c328cabaa37fb34d492ab5a3dc62c7862a28240f04</t>
  </si>
  <si>
    <t xml:space="preserve">c956260521e97c316e02e8bd1d8f2bce0d6f5d3c3d09d71836cfd7834ae52ed5</t>
  </si>
  <si>
    <t xml:space="preserve">3f921e0ab58976b8599bf2d17ae571f6a7bc5356f899c441b412f4dbb6be33c7</t>
  </si>
  <si>
    <t xml:space="preserve">abbae7997be158076511e00752939410fc0b729fecdde872e95c7fd30abc6f80</t>
  </si>
  <si>
    <t xml:space="preserve">bdcc821466970270bfd9f580ad1196d6531a1c733ecee6c17d407240257707de</t>
  </si>
  <si>
    <t xml:space="preserve">b233782283d73166c188a8e14440075d6c43171811591954ac1be3b2bfb028bf</t>
  </si>
  <si>
    <t xml:space="preserve">0a44723a8c3bf4f519c7bbeac591275304360b553b75192a3179dbb3e8b97e61</t>
  </si>
  <si>
    <t xml:space="preserve">d04a31fae908d6c5e3e323e416d5abe54d96516792ecb66d9dd15de178129a0e</t>
  </si>
  <si>
    <t xml:space="preserve">2a0d70c2e1a018e599a4842f07d03ccddc5b79162289223b960585ad5eb0e23f</t>
  </si>
  <si>
    <t xml:space="preserve">517ccda913ce4dbd186d80b7eb2b4c29eacea87c2826d30af29186156eaf8b01</t>
  </si>
  <si>
    <t xml:space="preserve">05166c73c7873e42e0ab7385f9b183c9e45b083eba8648a4dd1e1d18bb110914</t>
  </si>
  <si>
    <t xml:space="preserve">9c309a0a7b973c9287ff06e551e5249318655877f0670747a62cb1f02d04ba0f</t>
  </si>
  <si>
    <t xml:space="preserve">1c1b88cce2f103370c03ab15e81741cec9cc71f8140a47ccbf3031a325385a65</t>
  </si>
  <si>
    <t xml:space="preserve">935c7c2d9789f8a9e3f47a442033d8eae67044ea2d320069117b7954e03c92d8</t>
  </si>
  <si>
    <t xml:space="preserve">03db6d89c65bf1406b304d808da23f160a1a795e6aec87dac28cb779b7dfd4d1</t>
  </si>
  <si>
    <t xml:space="preserve">4339f6a422e1edc8b0a55731fe6d0a9f60a198f9e3298a133588c3ee03c4532a</t>
  </si>
  <si>
    <t xml:space="preserve">0be41fda7b6d0f9a9b6da32ad3ec0b1d3eb5a3fadd5ed68aee1d72294536f997</t>
  </si>
  <si>
    <t xml:space="preserve">0c2050c4fb614960f606aa1ff821be81d20f74b3febff4a56c58c043bb5c8685</t>
  </si>
  <si>
    <t xml:space="preserve">1c2f8df49afcf04bfba99aa08f09b9f5cd53ac962e1442ac143e8a9fe76dc1ed</t>
  </si>
  <si>
    <t xml:space="preserve">fe276721d1e0b63570e2dc0c82f891b78616d7f802989c892eb979c76dba3c8a</t>
  </si>
  <si>
    <t xml:space="preserve">1862e1e6e15f6788159d3b4c4cc886d7ace67b775db7ab43494c78ba79982479</t>
  </si>
  <si>
    <t xml:space="preserve">7b16169e83bc16fa53c72e3d36bde0b1fdf2fefacfa15470a7d3412aa61d371b</t>
  </si>
  <si>
    <t xml:space="preserve">661aaf58651795d2009d3efbd80abefd225e8f76d29f966e492318aeab11ed7a</t>
  </si>
  <si>
    <t xml:space="preserve">7060a2495b828a643b9da42eb8be604099d0f7428bcdbc319bba3d2d23985c3e</t>
  </si>
  <si>
    <t xml:space="preserve">232a0ec46f3d842ac7bbe862bec0767ef13f9027ce914ddd6d1df4fc9e6794cf</t>
  </si>
  <si>
    <t xml:space="preserve">d6cba2f3c0c1f87ecb0770ac196dcc399dbddd4e22c08598908328f34166e32d</t>
  </si>
  <si>
    <t xml:space="preserve">4f2f44e6507d8dc7a1b3f01b6b10f8e64378235733681d1260455044b228c88e</t>
  </si>
  <si>
    <t xml:space="preserve">0c6af1571a7ec520c0ad2e2f092b0a03a2dff3ac674b8ef553adb97be0d81e63</t>
  </si>
  <si>
    <t xml:space="preserve">128610070f5082a09873300c2cb2470b56a141dffb26a028cb41f2b4dd3b9e77</t>
  </si>
  <si>
    <t xml:space="preserve">9ceab6449efe542626e97efc798ef24a92648b11f094fbe9be9c3046201e18fd</t>
  </si>
  <si>
    <t xml:space="preserve">38e488069bafca2f654d796e46c4548744530c9d5f56d48384a40367518c9135</t>
  </si>
  <si>
    <t xml:space="preserve">a559bd85ab5fb4f453bb874a831631510774ea10193b7a3e3875fa9b54278626</t>
  </si>
  <si>
    <t xml:space="preserve">0ece9e25b4439b185f10fb982cdb4a76fc101b1a3b5d776e72671ec818ea7620</t>
  </si>
  <si>
    <t xml:space="preserve">3b6a8ac9553958ed20551f0925b36cdd5c957d2a41fbc5107be8bde3eb7ea9f8</t>
  </si>
  <si>
    <t xml:space="preserve">095db499d3673a9806d0be4c055d7454e27885ea08edcb8b371703c1effbf933</t>
  </si>
  <si>
    <t xml:space="preserve">5482d4d5c5828713323c9a5821babf56b1f5ce26857e324cacfcd86325e9cad4</t>
  </si>
  <si>
    <t xml:space="preserve">37619402653472672194830bd475605f32659a2592beaff67538b5a67bc760c5</t>
  </si>
  <si>
    <t xml:space="preserve">b65d359932d73fa8a2d1dd0451cde2a400f17ab01c5140792c53524285187cce</t>
  </si>
  <si>
    <t xml:space="preserve">00137a4b5792f576c1ce6a0e9279d83a1b02172b2d945cfe9f42071e6ddbb86d</t>
  </si>
  <si>
    <t xml:space="preserve">3c76547fcf2f20f1372c9acc9f0ebd465efc55ac51fe0e8630ff6b072e64afc8</t>
  </si>
  <si>
    <t xml:space="preserve">8c70fb1cd0b6bb114db51a3a2b3b7ed00a6a2aac0299472b26197ccfb97d04c3</t>
  </si>
  <si>
    <t xml:space="preserve">ffcfae5740c528f2fc9c0e79e044bf2f63abd4a84793eb37413665c55739db20</t>
  </si>
  <si>
    <t xml:space="preserve">3364c4c2b9e1a980cc02819ba080cfac242d9f56cd244245f38af63db035f10b</t>
  </si>
  <si>
    <t xml:space="preserve">b2df256d6eb118aef80fa0d55d50125665f2dec5f7c19bb5f927d75bf98aa17e</t>
  </si>
  <si>
    <t xml:space="preserve">0252e158bae7532fe2806c0a4c715ad3bd8db5d96ca80cf812254f63f15b07c8</t>
  </si>
  <si>
    <t xml:space="preserve">96452cd5eb1687bc6bee536c1b21cc98e64f8995e96b2721509b73ad4e8dcc5e</t>
  </si>
  <si>
    <t xml:space="preserve">00dad646fd1e02551eb642a3d5c2045128abccd5a0f1c72b3ca7606f79d3d6f7</t>
  </si>
  <si>
    <t xml:space="preserve">b3c4e97f8da2a20ee550b5b59b99ebae4f7acfd202c354f9cd4b8151fc1cf460</t>
  </si>
  <si>
    <t xml:space="preserve">1750ac3997fd1d6b0be67a4ea4797bb35b34c2e19a3a85d356b4364df6bec46b</t>
  </si>
  <si>
    <t xml:space="preserve">22cce999cb311b0f79aab54830b50ca45426ab8295113df23b79b484902518c0</t>
  </si>
  <si>
    <t xml:space="preserve">06fffbc4975c703a978472860308628d808bf2e5aca5db90da54743cf0658cd7</t>
  </si>
  <si>
    <t xml:space="preserve">52e2c0905cb0d217a0f6f4f25336b93cac695bdc3c5b11d8376b56ce10e58666</t>
  </si>
  <si>
    <t xml:space="preserve">64a31857350696d3988cd2e7580c5f706be7c421f2c48d2439fb4b82bbbd0ceb</t>
  </si>
  <si>
    <t xml:space="preserve">dbcd4fc17534690c2598537aac9781d9da1959ca9a37a73d052048b7dc1e1296</t>
  </si>
  <si>
    <t xml:space="preserve">04d94dd371479624ba879484e0b399486689f15abc9c475f1816fd7f6b0fa40b</t>
  </si>
  <si>
    <t xml:space="preserve">a343d03fce511e8a022f57dcaeff9c474524f168422761edbf3696effd70fe3f</t>
  </si>
  <si>
    <t xml:space="preserve">16bcb2ea7c69836492ab009f28a03e2b0cd0f501163b78d33dac2e8ac712b76d</t>
  </si>
  <si>
    <t xml:space="preserve">84710cd7bece6c6b5b67d8adfb6ab1a94b7c325397a9126bb307956fb618109a</t>
  </si>
  <si>
    <t xml:space="preserve">16400dcd7df62f73931fbc43da4597763b75826a08abdf53cfb800b0a1b4a8e8</t>
  </si>
  <si>
    <t xml:space="preserve">306739b13f4a7829dc289bf737c48fce2075a469ced229aee11fce56a460022c</t>
  </si>
  <si>
    <t xml:space="preserve">daae1fe5582fcf957acd4dd24f5692104b0ca3205423e630feb4ea81d3161ace</t>
  </si>
  <si>
    <t xml:space="preserve">ddec7d90c0e3128ce3de0b3569cad8f6c0aafa017e5dafcaf1f5246c94052a72</t>
  </si>
  <si>
    <t xml:space="preserve">10c228bb7c9a91dc58750c9879714da5b72012d5d167f05179143cb2a9e76170</t>
  </si>
  <si>
    <t xml:space="preserve">24f8e67afe0030c3af128acc8c879536b692152497f9b80042fb332ffeb33fc0</t>
  </si>
  <si>
    <t xml:space="preserve">07fe66ecc991cc1b59e9db0aa59fd600d7e3c68593f3b3941cab46576d816560</t>
  </si>
  <si>
    <t xml:space="preserve">0a5caab669056f1d06635077fc663ef66a0028dfe3c288f865e9294d1098a8b4</t>
  </si>
  <si>
    <t xml:space="preserve">028a1ace8b536017e6db3b7a4abd4a1c6968ebc00315fedc789f494ef29fa293</t>
  </si>
  <si>
    <t xml:space="preserve">4745916deda3745badfbab4546e6039da6fdf97ebac0c8e37e3a0d60a75d6b44</t>
  </si>
  <si>
    <t xml:space="preserve">0e7df0d7aa1ca2bdd1a7b5c24aa4a5b03a4d3912b9e8a2aa8fdc70f16021764a</t>
  </si>
  <si>
    <t xml:space="preserve">83bada94b0009c42aecb0afad6c365d1ee272b8361a569df3946747f79fe0a6b</t>
  </si>
  <si>
    <t xml:space="preserve">1a1948c6c9c07145805f4a4d127a1b0f2992c294bea790db9c905e0e2f4c3fea</t>
  </si>
  <si>
    <t xml:space="preserve">2a1583af7726f2327c0abbae65f3cd4836ad36a2c0875629eedbbc1eb1be8aff</t>
  </si>
  <si>
    <t xml:space="preserve">1367c6bfe0c278f3a7e0ccca12fc031666a86aacfce5e82aaff000d404c8f437</t>
  </si>
  <si>
    <t xml:space="preserve">bb49161a02efe785723c0f01ba80c99f1ffebc6b86736ed7e12d143626a1e611</t>
  </si>
  <si>
    <t xml:space="preserve">673afc218e19b0dde3c5f7941ac3ae335bca6dd18fda5e571266cb674a277842</t>
  </si>
  <si>
    <t xml:space="preserve">267f174121e060fb154594179b04c53b37a46806aab92ce58e2600a49c80a081</t>
  </si>
  <si>
    <t xml:space="preserve">111fb8014be1272e9b07119df18ed62205a0b451f573c5f67592ca5d9d988692</t>
  </si>
  <si>
    <t xml:space="preserve">85ac84488b53fbebcdb693fe2ffc44b7ad0a606a6ca2f12caf93287d6b04f054</t>
  </si>
  <si>
    <t xml:space="preserve">2844cce08fa41525152cee31c16926a5190163d67140ec16d9965572ef0a5c6a</t>
  </si>
  <si>
    <t xml:space="preserve">06f3684756cabf262dce5afb8537ecf7e1b38a72603278676caec1c6e02840f9</t>
  </si>
  <si>
    <t xml:space="preserve">98c7c4ddc371f55fcd8c6f214148b99e3d300632ec7d62ea7de3d90711da6660</t>
  </si>
  <si>
    <t xml:space="preserve">8cd0a9db93c9ff13d813cd30dae40341ad9ed1f4bcb665ce2e68ee4a000589ee</t>
  </si>
  <si>
    <t xml:space="preserve">34b8c1f62baf20ccda71766fac1a82341d4d12664cff1209011ebadb381628aa</t>
  </si>
  <si>
    <t xml:space="preserve">c12d587ca1b56ed2b039d19c3211b90f3c90977a5df2ea6c52e782b6cd945ce9</t>
  </si>
  <si>
    <t xml:space="preserve">02ae6b5c193c70d7e3756d9347034da9557b8ccc8b62c20e4e19423e52b7c582</t>
  </si>
  <si>
    <t xml:space="preserve">9d39b6d1ea6250cb7e2570811116b74220bb80790224da2ed504c035e4fe20fc</t>
  </si>
  <si>
    <t xml:space="preserve">04b77713db94ab076c8af8116543ee94e09d8ceb1dca0ddefc44d806f5220e87</t>
  </si>
  <si>
    <t xml:space="preserve">8f792047119c751d1a3750b828e4181a7391dcc2474141a89005c3f6742f29b8</t>
  </si>
  <si>
    <t xml:space="preserve">217c0938a545c10a1b175c7c13d78ac4e810a4bd2e5101bd9b7ab8f687aa2da0</t>
  </si>
  <si>
    <t xml:space="preserve">aaa08224fddb669b99a45fb4dec6d9bb573b4caf947efbf80bab77d21044bcb9</t>
  </si>
  <si>
    <t xml:space="preserve">3bbb069c813dc93e74407dfcc241e2c1e2dabcfb215ffa636fa2d6039e974fc6</t>
  </si>
  <si>
    <t xml:space="preserve">aa6ae775dc759f37ce223ddc9dfe22746ca4dbd456f397452aab84fd63465a83</t>
  </si>
  <si>
    <t xml:space="preserve">ba45006e8b3e89e1861335a09e20e134e3aae92b55fd0ccc00679951299b49ba</t>
  </si>
  <si>
    <t xml:space="preserve">cfe9001dc8e21b525ff3190691e2600d44c8a1a7522dc5246c3300ef1b4fbc88</t>
  </si>
  <si>
    <t xml:space="preserve">037ca2a7c65377e077a5afe6f048c5a56b1e1f59e9d642e2cdfcd9c637c04ad4</t>
  </si>
  <si>
    <t xml:space="preserve">5fdae4b99e05e291ec5288adece340540e6f348fcfbdb3ed499e96729904c647</t>
  </si>
  <si>
    <t xml:space="preserve">24a10fc7eab78d69f376853b9b94ff37fcc5a5b760a8a2dc78092b216b1c38f9</t>
  </si>
  <si>
    <t xml:space="preserve">46186f2b6c52f4b4b80751ced1cbdb721e35239b328daea24428d6e5f1ac683a</t>
  </si>
  <si>
    <t xml:space="preserve">095e253b5718488ac563aeed02db4b1ae57eaaa913cc79b412c5d5952132846d</t>
  </si>
  <si>
    <t xml:space="preserve">d76577fa74b2aecf78755d861f2b133d8bc5519fe571975589bcc8945fb73e62</t>
  </si>
  <si>
    <t xml:space="preserve">1e8898fa0b432b1075f03188a333cd461430196874e8c8c0c421852ce8239685</t>
  </si>
  <si>
    <t xml:space="preserve">da00bc4be2b88e97c4087de04c2a08c2ab0db0a9a706c233fb1f767582723307</t>
  </si>
  <si>
    <t xml:space="preserve">1e5bd7bb2582e9a48adfe8fff13540b6bf9a4003ab0e54ff0caa6de61fa52e82</t>
  </si>
  <si>
    <t xml:space="preserve">83522b297d6356ddc58644199b5c68c02dbf1c242ca66a93a3d61988769fe0ab</t>
  </si>
  <si>
    <t xml:space="preserve">aeb8481dbc15f79f52d71273c6bc924adf685843d8a5db7d73438ac829d21425</t>
  </si>
  <si>
    <t xml:space="preserve">19f357aac9a77608cb3f92972c3665795fd8d20cc8d197e01a4d6263d235c325</t>
  </si>
  <si>
    <t xml:space="preserve">093b6bcba203dc7c5a2050af01d823c6ce99e361f4f72948902f454246597173</t>
  </si>
  <si>
    <t xml:space="preserve">f5088a15a0a1fbd6dc2cd2a27b0b178d91bd05e94dba6e0d97796ad8b74d8244</t>
  </si>
  <si>
    <t xml:space="preserve">069ca4592eca15622a4af8506cea5dd367092d998c456f304785fde5c831dd9c</t>
  </si>
  <si>
    <t xml:space="preserve">4a0c25cee4c80c1aec84af37e0efdeadba508eaba40817e4fc4aef00bf93e28c</t>
  </si>
  <si>
    <t xml:space="preserve">61dae8d1665381abc26a21501043531cbfeadcbb38c7fdd8e81cc169c625849d</t>
  </si>
  <si>
    <t xml:space="preserve">74f26575172429bd1e9d7abeb320e6c0e2184762f2c8d0471d6da723259fa8e1</t>
  </si>
  <si>
    <t xml:space="preserve">1798ce2653aed5f6195937d5b95092ba3619afa14b7b71d34cc05ebd62309f9c</t>
  </si>
  <si>
    <t xml:space="preserve">02e9f6245beb39e59e0cedd9f35d5c0ac19d4dc904ba81f78d68d372639a7ea3</t>
  </si>
  <si>
    <t xml:space="preserve">04692d8b2278e17efbbe43c502bd6056b35b9b7c7f505ba4a7c8f306aa0251b5</t>
  </si>
  <si>
    <t xml:space="preserve">12293f851076f1288deba099123acdd70c69a50b6df8a9522b404680605218c3</t>
  </si>
  <si>
    <t xml:space="preserve">bee84077cbd0be60e1afae8ae15899fae746acf5c96c47a28aec30f9f371a36d</t>
  </si>
  <si>
    <t xml:space="preserve">f598cad6c7fb9bd15af73eb7ce528a89443480ff529c1e1396aff9c5409b1c2c</t>
  </si>
  <si>
    <t xml:space="preserve">08668e8b3eea30210ead42a5e15ea997d14de4a35cddf0d188a6e9436bb3ef8e</t>
  </si>
  <si>
    <t xml:space="preserve">e50494a04a7f367d72ef593bccda2c3fcbcba05e8d1b2a152e5eb07e3ce98d8a</t>
  </si>
  <si>
    <t xml:space="preserve">0e1fc2987f23372a14c3c3e513add057d9d6b6cd163bf4b83947b997b7593f53</t>
  </si>
  <si>
    <t xml:space="preserve">750613d5a2d9c458a24c9e4db7a53058dc402bc177d9c35e8b59569541f6c147</t>
  </si>
  <si>
    <t xml:space="preserve">2d7bd37bf37c85a21ffd5316435c059804ac322350eb3db953b815d67f4acc38</t>
  </si>
  <si>
    <t xml:space="preserve">f93e675b77288bfa0d69962e44e8c5f4a06743e008b11893d1b5d20f070136a6</t>
  </si>
  <si>
    <t xml:space="preserve">0bc568d84b2a454fa5fff467beac5542e74d720c80ae73dbfbd0951d7ed852ec</t>
  </si>
  <si>
    <t xml:space="preserve">e8fac68fcc9ab47cf2151251323fe75b1ec043f0cbd4eaf3a6e3eb0783982476</t>
  </si>
  <si>
    <t xml:space="preserve">0a0769cfd988f89ad62768f120b1bb29a09c77a7cf5d8e277bdf8d44e125317b</t>
  </si>
  <si>
    <t xml:space="preserve">669213460f44ff708f04f86c7a99dbacf4b4ab867ff73564bac67e5dd35c866f</t>
  </si>
  <si>
    <t xml:space="preserve">d567f91fced47c3f59d245574244c6b9d560e987fa81b3b6fbde7eb5d7c61fe2</t>
  </si>
  <si>
    <t xml:space="preserve">fe1997215f3aa42d0ccc5e6fc7d7f7bd9ffa958b514148d7059c3516657c6934</t>
  </si>
  <si>
    <t xml:space="preserve">200329baf313f812ec3f87f59b848f1d2da7427d4aa9474ddf990d0443affe76</t>
  </si>
  <si>
    <t xml:space="preserve">90e379e1b4457e0946f7ff1d348ed970dae5d9d8c4076097a426d05aae25cc23</t>
  </si>
  <si>
    <t xml:space="preserve">284adccc56a48bed02c1f0de468d3cf3848f621e139993a4dc3a9c9ec5fcf739</t>
  </si>
  <si>
    <t xml:space="preserve">be14947a14d018c9fb29294ea1b3c258f2b37cb0af1b2f7a0ada84fa93a356c4</t>
  </si>
  <si>
    <t xml:space="preserve">141420a6f44dcfc92a38b9881cc888c87eb7c09dfe8662f7870175e457781020</t>
  </si>
  <si>
    <t xml:space="preserve">2205282b00a4fc49d9e49a5d4dd3a45b10d21b5bae3fe28bdb31f963ee907053</t>
  </si>
  <si>
    <t xml:space="preserve">1294338f4f4a9457e3a25e7838ff2b9366d21b802f1df0bc1f78aedceb3c6502</t>
  </si>
  <si>
    <t xml:space="preserve">7378bb79c4c6a71d9c5a6a08d371c4d4b6927f6a5348ff731fc827e4db759c10</t>
  </si>
  <si>
    <t xml:space="preserve">dfff0f2d86dbb12312f71b3971d7bafa123025d9817992438158e8a3b80c619e</t>
  </si>
  <si>
    <t xml:space="preserve">ca1329f7ddc366689aec22674b3c59f2d66e65ff4935bba1ada336b6b1abc51f</t>
  </si>
  <si>
    <t xml:space="preserve">0b1a2e64cb643e6a9492264fd89ee84530bf25e1784fe9ce9bd3e3fc3872810f</t>
  </si>
  <si>
    <t xml:space="preserve">e594e814bb421f6a506c8acb345ac11d1bf5a9b117468fb1e277a9613f32e64b</t>
  </si>
  <si>
    <t xml:space="preserve">24d4308c54fd90cbae13896fdbcdca6d45455258a60ee78c42af1e6fd08d50c7</t>
  </si>
  <si>
    <t xml:space="preserve">210ae14bda31a446dc799ceb68eac5be34698609dbc70cad64fcc6a7daa3b847</t>
  </si>
  <si>
    <t xml:space="preserve">0ba267fda138e9b10b92d6a17e9db69aa7f52a82922276fd5bd656c9723c1fd8</t>
  </si>
  <si>
    <t xml:space="preserve">4ce6fc7fc2645c9e77c1fdd09c721642d3db3dac248ee4a850dc3157468664e7</t>
  </si>
  <si>
    <t xml:space="preserve">0bced7f439612d2a39afc3c4285f4891f3a2211fd22751e26d928a351bf6063d</t>
  </si>
  <si>
    <t xml:space="preserve">fc879399965126128f29cdcb3408f972183ee946c3e41745bdcc5cfdfa8af300</t>
  </si>
  <si>
    <t xml:space="preserve">11a6db178c148e890fc97e15595d216b7f3ada6a3e9ce569cd2fe3fe5e58b356</t>
  </si>
  <si>
    <t xml:space="preserve">ad3704414654ae77c71b8690d811836c802b61dac167d9457c5eb9445fd03b6d</t>
  </si>
  <si>
    <t xml:space="preserve">18f01816747e38dbe84ea0f6d0f3cb770bd7beffb253e5e3c20e7a5a5e0dc71d</t>
  </si>
  <si>
    <t xml:space="preserve">821a49841a39c2eefdbf7dda0db88123e622ae6e547271e682b8b9fcd3b3bd9b</t>
  </si>
  <si>
    <t xml:space="preserve">0177e48375ff1280739498bc9a94a97d7cc2ac5300c34971f2805bc415f8e3ff</t>
  </si>
  <si>
    <t xml:space="preserve">ac59c9df3c6d6d1afd7683783af829ac871a4643665d403003b5ccefc07c8565</t>
  </si>
  <si>
    <t xml:space="preserve">06e5809a28d4e29a00d05c048056a3bdce0f362062d5b59b6ba377cb0faeb748</t>
  </si>
  <si>
    <t xml:space="preserve">781ad50a98bf01ecee0c1065e2174514887f71329b3bd72eb63c35269dad22fa</t>
  </si>
  <si>
    <t xml:space="preserve">fe2234ebca3477528940e0fc0f9ddaafa9b226348af8b013622e6c414b15c5bb</t>
  </si>
  <si>
    <t xml:space="preserve">9041a57bdab3fe3a0710e2921992ebe5aac26675bc307b94906dc8f8682a700c</t>
  </si>
  <si>
    <t xml:space="preserve">338524071894fc141352a4e76dd4235ce009cee142da126be004c5b83c341379</t>
  </si>
  <si>
    <t xml:space="preserve">cf65d5043e9a8cda99099f554b92b2e37312d68e8ae6b01354a73bfa29c0d09a</t>
  </si>
  <si>
    <t xml:space="preserve">141d9dee2b9039d024c51bd90921e418ddfcdceacc10c2586724aeb2e810603a</t>
  </si>
  <si>
    <t xml:space="preserve">815ec76a6b4f23e2a424314b31cdd6750d7e3ead746f9ec634d9482c953a2d44</t>
  </si>
  <si>
    <t xml:space="preserve">15e818e8d41c0509f7e32da45df26970e32cc588b51d4c665329f0b9e898cf58</t>
  </si>
  <si>
    <t xml:space="preserve">47fe5fc7b299ad5adb0f8664fcf3cf852786083e9188846efa6beb8461bea9c0</t>
  </si>
  <si>
    <t xml:space="preserve">83b996eac65b1aeb6dccb697d210837b33827a6a2fa312e24e417423d344c622</t>
  </si>
  <si>
    <t xml:space="preserve">38614485e2044036d6469caa46b3937d2d3315c8f729410278c5b8addcb97afe</t>
  </si>
  <si>
    <t xml:space="preserve">14ce47948ad88cb4c7f7beda5aab047a181b4fd8b30fe92973a9249cdf5ed105</t>
  </si>
  <si>
    <t xml:space="preserve">8a97878bb3d5a732197402b1144e90bc137e9874f079423ee9b2b5a17962c76f</t>
  </si>
  <si>
    <t xml:space="preserve">0bcc44a73d9e08ce8976eb58055961cd4e0a2c0cf17cc6b9768da07ba4e58bb1</t>
  </si>
  <si>
    <t xml:space="preserve">713467b430776c0b3bc3bb5ac84fec0c0d2cd06187a5333414f50257a2db1ab1</t>
  </si>
  <si>
    <t xml:space="preserve">2ec6a9e82a00b56ed74b7f12ebf9f4c95b54bb6535b025e7febde5a17caaec6c</t>
  </si>
  <si>
    <t xml:space="preserve">0e6be9b69970774762c7076c737bc7453970f51a4adc143ac0b8643b1872a065</t>
  </si>
  <si>
    <t xml:space="preserve">2b1cccb881f22265c5781973d4f1adb8f0236da3bf840ca4ea82ff72cb4ea2b7</t>
  </si>
  <si>
    <t xml:space="preserve">bfed4d89a3b3df48a4e34aab4b1e70223a483da433aab6b09e7f9fed1e770002</t>
  </si>
  <si>
    <t xml:space="preserve">979038c67b776db363540e64752a407fd862cd1740a3c61c162979ac4c1561c9</t>
  </si>
  <si>
    <t xml:space="preserve">6bf6d2655e1b30feca1677cec4e098f6661e0346153b6fef91ba48710a6dc8e8</t>
  </si>
  <si>
    <t xml:space="preserve">b0138c816fea103338946c2aed3500d558e88e04c536383bcf1a0ff8c0f85fd2</t>
  </si>
  <si>
    <t xml:space="preserve">f90afac29e0480d61c3190a731503044c52d291898321e359093040907f8c365</t>
  </si>
  <si>
    <t xml:space="preserve">180fdc7eea186c8d57fd02880ec7b438c6d68ba2d5375ff800fea801bc7ec4fb</t>
  </si>
  <si>
    <t xml:space="preserve">e9b703ae006ab913d8047a287c3efd24fc53309e2bd881a1bc302953490972b3</t>
  </si>
  <si>
    <t xml:space="preserve">01ee6446386d51986bb476ea56237f3534e1c9560d4b259d8102e06eb875095f</t>
  </si>
  <si>
    <t xml:space="preserve">2b942b4cab338bc2d090ea7be9f1899c4c4edb3b89f4be21db0f4cb062e20dac</t>
  </si>
  <si>
    <t xml:space="preserve">30494b7630126f6d774a451fa9804a26ae94163feded77342abf9d10e202d37f</t>
  </si>
  <si>
    <t xml:space="preserve">be7927117a4d52b441602f9290b7a75813d95568f734b8d4d57338f620353cc0</t>
  </si>
  <si>
    <t xml:space="preserve">48744ef78274aafcf0ccbe2d4935ee0b2c24b6485008f6f5f2d02afed29b86c2</t>
  </si>
  <si>
    <t xml:space="preserve">16cb8d4440e34ce52c4a4777d36c3b249fac7f793ee2c4adb6e2ee1508850a94</t>
  </si>
  <si>
    <t xml:space="preserve">24ced910ea1f9348c19bf10678f9ade7c253bcd2951ddba53dd0f1cc1836dc0b</t>
  </si>
  <si>
    <t xml:space="preserve">b9f3417960d11177bd4fc19208d77c1a9553b3b4ef8b23962690de50d01cc490</t>
  </si>
  <si>
    <t xml:space="preserve">122b35c1bea40b8eceb53fd104e0d3a53390c11f46275f51e5cf84e4897f1ad0</t>
  </si>
  <si>
    <t xml:space="preserve">c6fa1e756a4bc42dc899c1fff430b11a5759a0853c108f45d22b45e7afb580c5</t>
  </si>
  <si>
    <t xml:space="preserve">91416e7969fa5fd2a6e05019372c172155f7440b405745008306bcc8bb59eeac</t>
  </si>
  <si>
    <t xml:space="preserve">c12dece377d857cd92580f21b4d88c9e7c35534b98e5c76bf7af35f19799490c</t>
  </si>
  <si>
    <t xml:space="preserve">1e3d1497594e3538268d2ffdd2cf42d8a7cfa6ebbda8c4bb138a988cc377455a</t>
  </si>
  <si>
    <t xml:space="preserve">c4c40b4327e4b75cbd08c6640cc8b77897591ce170c6cebaa1469bb4e7a55657</t>
  </si>
  <si>
    <t xml:space="preserve">152d2564d3ef2a2c69dc13ea4c4a749a8f85ca28bdcad69810cde215bc7a57d9</t>
  </si>
  <si>
    <t xml:space="preserve">a4609f50085e9162525baaa182afee2b2d842f92b0d7b748ed5ba28f2959c09a</t>
  </si>
  <si>
    <t xml:space="preserve">0211f8dbb34b9598bc534aab18883cc108ca333cee90773619f638e1ae6d31a7</t>
  </si>
  <si>
    <t xml:space="preserve">c7dfa7f092854596ae450b46849818eb12d085bb04f0a89176c3108d3b4a4542</t>
  </si>
  <si>
    <t xml:space="preserve">26e1781b39941d3d428d561ddc4d034b86fce2b3da1b10f51e37a8c56c00a0b0</t>
  </si>
  <si>
    <t xml:space="preserve">c35e6df9480a201c7445176ed4a39a891b985f00bac6f44ee03a4b155292f05c</t>
  </si>
  <si>
    <t xml:space="preserve">13dc1b00944429636b4962c989f35be46719a6423968ca40303d3863a9f4d405</t>
  </si>
  <si>
    <t xml:space="preserve">05d72d7b8572db01f68a216309b72ca5a3afae3a7929eaec6ba20f322b5c5404</t>
  </si>
  <si>
    <t xml:space="preserve">1e92614df349829c578c08f2cb048672da2c94ca7dc83f4856368121b4260419</t>
  </si>
  <si>
    <t xml:space="preserve">7ce7770f2e94205f59c9e53e02d2da2ded482d60dfc92520ba35d6abe3a8d5dc</t>
  </si>
  <si>
    <t xml:space="preserve">1462e14b06f65c0717ffa923fa6e2b90ba5e5e825e6d05f7ab57dc211cf91dc3</t>
  </si>
  <si>
    <t xml:space="preserve">ab18a7baf07eac06492aaf40075e042bc851f4823db77bd6ac028df9d1d03993</t>
  </si>
  <si>
    <t xml:space="preserve">19095e9e0a81182068b4736ce59c48984f16806c534171c7ad58f92eb53edf42</t>
  </si>
  <si>
    <t xml:space="preserve">9f34f417904b6db52f8fc458a1b345255aeac0781ff5e293b299e20ff5323c03</t>
  </si>
  <si>
    <t xml:space="preserve">1fd447e7ca31877d598605a8a7076535478297af9950cf203ffb7d9cceaa53f5</t>
  </si>
  <si>
    <t xml:space="preserve">e69d15440da7f0d027b2daa112eb5d41ba46934671ab19af03845b6d2ed4ba7c</t>
  </si>
  <si>
    <t xml:space="preserve">130e26179c1a3cd55248bea8334dc87306c17757cb88935b29f231dabf0ae00a</t>
  </si>
  <si>
    <t xml:space="preserve">e3b9692721604f228dafa3b207d0cf7784d0b29561f54a454c37b2f683860bb1</t>
  </si>
  <si>
    <t xml:space="preserve">128ed5c9d29f082ddb3119e9ea53b111e653c459a79529725ce4791731a88c4a</t>
  </si>
  <si>
    <t xml:space="preserve">0bb763d710d06c70eb079a5641d2edfd2cee387a6a77e776b9857510e574c931</t>
  </si>
  <si>
    <t xml:space="preserve">263ceb8bcb96e367be24d7fa2de213024dfbd2dde1c6e3672df18a3f33ba051a</t>
  </si>
  <si>
    <t xml:space="preserve">ece45e106aca69022a8a9ebd8b2bec2aabca43520e324a7366194eb66b69fe5c</t>
  </si>
  <si>
    <t xml:space="preserve">22a77cab4e23746798cbe35a93fe789736e203a00b6d3efd7a416628e31b9f74</t>
  </si>
  <si>
    <t xml:space="preserve">ded2e20a6bc4cdd6126bf43a43eaf43d9dc313c907537712ab970ac334f85b74</t>
  </si>
  <si>
    <t xml:space="preserve">1069c5236e5bb065d922635407e4d5d8e6a5bd3a65c1a2a35b084c4d33c47971</t>
  </si>
  <si>
    <t xml:space="preserve">58d0741a310a6c9f09faf351d07ba0dfefc6cd8d5548a8308fb79bc7eecd1c7a</t>
  </si>
  <si>
    <t xml:space="preserve">75f03b83c725acad72c1849c62eb0a84974d29deebf5eb351a6e972a1d7b56fe</t>
  </si>
  <si>
    <t xml:space="preserve">a8ca9f360122c22465d7aa55ef7718e24846508f07035f1c8b32792b990c0888</t>
  </si>
  <si>
    <t xml:space="preserve">02901cbf2d8dd9db590488b8358250b5a5730fb5a1866a98c0dde5927d1354cc</t>
  </si>
  <si>
    <t xml:space="preserve">bc97c40b045e942c1234b5e8bb180084e8bd026b0953caeef7f1d2ef7c3fa344</t>
  </si>
  <si>
    <t xml:space="preserve">161eaee056dc37b3ba83277ecf8204aba6e6993c0be5e9cb2ba1476b2cf47774</t>
  </si>
  <si>
    <t xml:space="preserve">a8160cf471383cd49c9a2a02f361b401ef84eb6f9c9255b9d3a742effdfb29d4</t>
  </si>
  <si>
    <t xml:space="preserve">0cad1cbb7b886d5d77edc64c5e64c040fa48f0e52e05a4aa5cafc6d7a81aabda</t>
  </si>
  <si>
    <t xml:space="preserve">3792727c13263642231a9d87bcad630a4177aec44030fb0177be072b2fd29b96</t>
  </si>
  <si>
    <t xml:space="preserve">6047f9238c96b7e6d08766f639c9a97515de3f712adf0298787e0147acb6c4fb</t>
  </si>
  <si>
    <t xml:space="preserve">512d84ea239927b5bae18d7e0a23a93d4ef28a2b0807abb63b98ddfc17c86a25</t>
  </si>
  <si>
    <t xml:space="preserve">039498fceeaa3c283e10a923dc8986e034988f0c5736a76ec6b4531b3afd1e76</t>
  </si>
  <si>
    <t xml:space="preserve">b5fcdd764f91c76ff7d27ca856345a5604a919bd5b30488d7f478342e0188a23</t>
  </si>
  <si>
    <t xml:space="preserve">ef9db2269f65793ee6e6039c8696d73b4e105230b3f5005aa5a18357aaae6b93</t>
  </si>
  <si>
    <t xml:space="preserve">3d403608fc8d7a15ed6004b8a774b703d98c018b9055465075ae45d90fe05fd3</t>
  </si>
  <si>
    <t xml:space="preserve">0bc17898a7e57c921ba12f68be8afc5224fc90b44e65e3eb1f8655bb633b7c72</t>
  </si>
  <si>
    <t xml:space="preserve">4744465efa49e036a31da2a19397f66287cef95de98314e178fc4396a780eaed</t>
  </si>
  <si>
    <t xml:space="preserve">666484c7bae26d39c1e92527cf13bff8ecea3d1c0d16ee2778e614e69f88bbd0</t>
  </si>
  <si>
    <t xml:space="preserve">a6bf8ca207e5e82b594acf8d933940d9b03f8f330039faf9ed8cb80740031fff</t>
  </si>
  <si>
    <t xml:space="preserve">1a46e673aa448c4adae1bd7fa60120af52e83d73789249070a306d70186ba196</t>
  </si>
  <si>
    <t xml:space="preserve">a41e3ff76ca82ee6e9768648940b588969ac0427b2bcf697eddfeedf14896cb0</t>
  </si>
  <si>
    <t xml:space="preserve">00d53d450acb36f2e3050d7f52ce0623d9f7e5d317b67e03670b8ed5ad3ecd6d</t>
  </si>
  <si>
    <t xml:space="preserve">2c5aa6224d974412c80696b571b4bfba0706756984d18d5c736df4d0075271b3</t>
  </si>
  <si>
    <t xml:space="preserve">37f9c8d01bc156e7448200663729a8bbf822bf21c160a144a06cdf378a1296d7</t>
  </si>
  <si>
    <t xml:space="preserve">4812d18fcc09302604c660e737e6f95ea528b18f6354feb3b7f067c711b60e66</t>
  </si>
  <si>
    <t xml:space="preserve">1764d05441bc8f9c2999a91ccfcacb4784b1beb4842f9dd7022e78c0a8bf3415</t>
  </si>
  <si>
    <t xml:space="preserve">031197ef8020ed425feae5bee39a3a98450dd980ff177f80a972ed39dbd4c4b5</t>
  </si>
  <si>
    <t xml:space="preserve">1eaf03c46aa551634540251e2d38318bcec556631cc94886a664b67b9dfd9927</t>
  </si>
  <si>
    <t xml:space="preserve">46872a7fd9e0928fde9595d1e475877216404a61ee7d0020dd379e763aa10fa0</t>
  </si>
  <si>
    <t xml:space="preserve">eddf0bf6aaf4c1528073847e17218c2ae9169af431ede69116c002a006ba7acb</t>
  </si>
  <si>
    <t xml:space="preserve">00ebfd2925cb9e022735f926ac317dfb733db93ab5036dfd6771134bd2c5c200</t>
  </si>
  <si>
    <t xml:space="preserve">1436707c533edd62fb5e52dfe3adef5727a1ece850df6cb74ecb5c3514ac2e93</t>
  </si>
  <si>
    <t xml:space="preserve">839696599ec104cfc31138e4ab4fc456817d18cc218ea114c120f01a39d91707</t>
  </si>
  <si>
    <t xml:space="preserve">2ddfe3d3e2afcf8cc102d57d17aef65d8ecf218dc3a5d8ede5c7322f29b1b2b0</t>
  </si>
  <si>
    <t xml:space="preserve">433916fd7b97510b602b71375104df08d94dabd3097f6476fd193428ab530929</t>
  </si>
  <si>
    <t xml:space="preserve">30b98fcb880f590ea1818646179d936e80e869e5fea831fa6a3d59db736c76ff</t>
  </si>
  <si>
    <t xml:space="preserve">df26e7a78a4fa1d9bdcc9da2e32109b3c32d29c9b2f7e848db6404c02d32f455</t>
  </si>
  <si>
    <t xml:space="preserve">251fdb68d211f56bbd6a945b1db10be4d24885a65be02a0054babc577f961381</t>
  </si>
  <si>
    <t xml:space="preserve">58f946bf57722d1330c418c679d762b99fb68ee0f0feaf6252297538ab0aa3c0</t>
  </si>
  <si>
    <t xml:space="preserve">09165cbe73dbac711ae2ccf94bc84a72f4bb7755a6d1deafcab582b8f81c8e1b</t>
  </si>
  <si>
    <t xml:space="preserve">ddb0f48350eba43de50ddc94d55b136af526bf9ea1ee172194fcd7e5455e974a</t>
  </si>
  <si>
    <t xml:space="preserve">445d0ec1b11a1f4d6517cdb2d19ce883a576ea1ed73dec3bac2eb0e925b69707</t>
  </si>
  <si>
    <t xml:space="preserve">4a9c635e26d2d38735e7ce21029d54dd55ad5838be56372eae67571237e19c00</t>
  </si>
  <si>
    <t xml:space="preserve">d97ba1d5be019741ed2dcda5082066a4d21ed0ff83edd1baac6c7011d759a496</t>
  </si>
  <si>
    <t xml:space="preserve">aea7fb390460df2a056601dd65444eb52370a0042a5fe4005d0bd7fd4f0dc6bf</t>
  </si>
  <si>
    <t xml:space="preserve">290ab045aac56288afafe0ad934a50f108b32f61800aec8c1baba3485cc018a6</t>
  </si>
  <si>
    <t xml:space="preserve">e8a6a944ac1318324825d463322d132d1aece0e15b584119a5aa4ca44304fcb0</t>
  </si>
  <si>
    <t xml:space="preserve">131872b6a06b44dff6921a6ccf3b3e9d95b9cc7e5bc4728c3c082e78defb9f4a</t>
  </si>
  <si>
    <t xml:space="preserve">0cbe64f25c5d1e04445df23e5e44ce6812b719ca2721ce7e620fd694092e1e34</t>
  </si>
  <si>
    <t xml:space="preserve">1ddac5b7365de0b9d902f71419ef8a2c897290a5356fab67db2e31bf91102cd1</t>
  </si>
  <si>
    <t xml:space="preserve">6fc9f2370de10eacd0a300b0f484c56c9254cb012f95d0317da7d1aaed4b7870</t>
  </si>
  <si>
    <t xml:space="preserve">0cbc1c0293271aa65a60fa0aa31d6203b481e1e6629e1ba7b106c81d15b317dd</t>
  </si>
  <si>
    <t xml:space="preserve">1ae1bb7beae2e204d89824c39d30d802e2b7242ca5c01b18671d88c01d2e1d96</t>
  </si>
  <si>
    <t xml:space="preserve">308b53792095630faa955e561924c613dd1c1c77002c7543a4b913d1c94d1057</t>
  </si>
  <si>
    <t xml:space="preserve">a320d1a5a890e98e60a652b7d92a56df687e0a6664f84bef458c83b6bfdd59cc</t>
  </si>
  <si>
    <t xml:space="preserve">4a9d2d48f9f85784ba39eb4ed5f3b126067bc3652397edf3637b208725426809</t>
  </si>
  <si>
    <t xml:space="preserve">b3e00fbef142a52135a269f08814c0e99ce79c9cc535d5168d10df8b56326697</t>
  </si>
  <si>
    <t xml:space="preserve">1142c7fabd51bc2b1d4b50367d0f73881ef6ef3e71dc7ed05a8fbeab9f8be752</t>
  </si>
  <si>
    <t xml:space="preserve">c1075286a642ccdc2bf196681115efcadba9c3972df7f5fcefa0c0c62ee984c1</t>
  </si>
  <si>
    <t xml:space="preserve">0c833ed395a97ac91f0f64a1aba4508b530e171544c2131396431672a89e57f0</t>
  </si>
  <si>
    <t xml:space="preserve">1ed9ffeeb41da57a6331f6b325045d302818c93f61d5dd4a80cd1a40b7118b07</t>
  </si>
  <si>
    <t xml:space="preserve">7326e043c94d86c8b335fd80716b8fe9138dd79c9b20f3bbcd4c772924261e7c</t>
  </si>
  <si>
    <t xml:space="preserve">eb405013f97b498f0f4be2c997fa7a3ff0ad78c54810e5e76fcdf2416600d143</t>
  </si>
  <si>
    <t xml:space="preserve">147a5ee52956acd1b9a2a558eb77e3849507c9fe3e0d7429304b3ac31abae7b5</t>
  </si>
  <si>
    <t xml:space="preserve">24a82aa2f7df568f2ea2cfb30e69d4c2479dec13a88cb6efa6a36e282ee718e1</t>
  </si>
  <si>
    <t xml:space="preserve">065338e840d2e15defefde704153e6c59fdd7598a214eb029828ee1b7e155b18</t>
  </si>
  <si>
    <t xml:space="preserve">f337a8f2d2e21e657a764eaeab15259bf9059381b19f91959d164ae331e38d29</t>
  </si>
  <si>
    <t xml:space="preserve">b53eb30e4b5b64d1509f4cb3e3a21a4536197f28d3976d3fc0d8754f093c237b</t>
  </si>
  <si>
    <t xml:space="preserve">fc2609c1fc0210eb57164e1fad9213287eb2a5648a94375cf144d402e3deebd0</t>
  </si>
  <si>
    <t xml:space="preserve">7a7561fa4e2884c32c1d40c0febfde5f1d49630362c0496e682dfde06fc1898b</t>
  </si>
  <si>
    <t xml:space="preserve">d1e58c57b55d1ac4e887da88c409372fa70805988fdc211ab2785d4fea09c168</t>
  </si>
  <si>
    <t xml:space="preserve">110b0a7901c9c69a698c73cdd50dfdad8322368c30177b3b560c4c1099829d49</t>
  </si>
  <si>
    <t xml:space="preserve">f7158add7fb0b4a758588cf6079373b4b1b9aed32d2acfc19a15f928a0d4f222</t>
  </si>
  <si>
    <t xml:space="preserve">2f86f959697e17d85788e39c173639f47b714f2994e0d758601ffd308cbb498e</t>
  </si>
  <si>
    <t xml:space="preserve">b4e875f7327e22407a4c46822ab588c405fc74e34bfb07297f764c84855b9299</t>
  </si>
  <si>
    <t xml:space="preserve">159e987f613d872377ff7b0d764927a5f04b828ca11f720885ef6904e12ff36d</t>
  </si>
  <si>
    <t xml:space="preserve">81ae6d1559a4bbe48b73cb51a3a6794f614d58737b9eb9418233768274a8e768</t>
  </si>
  <si>
    <t xml:space="preserve">f7eba2e62594dd20c6d72d97d1d22cbb44b82cdf8a5727c648e915d68fc5f1c0</t>
  </si>
  <si>
    <t xml:space="preserve">544b88c4dc3eab1d3390e1f190008ef1aba474b84ae02a974b5c4a15f5d7b8ba</t>
  </si>
  <si>
    <t xml:space="preserve">915616fcce6f40f7702482c2c145ef559c9eba1f09ba83fe2db607ca79a2815b</t>
  </si>
  <si>
    <t xml:space="preserve">61039577532a95cafbfdb4f7af0ca5c1bf6762367ec116924534364e57427a24</t>
  </si>
  <si>
    <t xml:space="preserve">1bc468ee541154ed1d55b5ba3ea53ae81070089e417022a3712271e3129e906c</t>
  </si>
  <si>
    <t xml:space="preserve">1a1578bbc1f07bef966f214de9908f851a251a2df7ff89eb3ea24e4cc4fec982</t>
  </si>
  <si>
    <t xml:space="preserve">fd6ba056e2a5fe805cbb95d387333afbd7ebee34d892708edf26f044f6e3e0c7</t>
  </si>
  <si>
    <t xml:space="preserve">8084731df31c37f9922f7b957f84e0b5b503f678da044030142a57a55880b048</t>
  </si>
  <si>
    <t xml:space="preserve">020436d3a21221d8f4d00294acf9c57e1d2a27a0a8bb5c163a2bcec181db9e1a</t>
  </si>
  <si>
    <t xml:space="preserve">099273897ee589182988f30509da5f37422008ce2af0ba7177cf72553b08dde5</t>
  </si>
  <si>
    <t xml:space="preserve">0b9dc4b7358a7e53aea29f3bf1bbab2ba489ca143208c12d4de9db8af5afa652</t>
  </si>
  <si>
    <t xml:space="preserve">a0ea3acf395a643d607dc0e87897ed375644eb4d243a9d8af6abf720bb95b72c</t>
  </si>
  <si>
    <t xml:space="preserve">181047a9396aa2298bfac61365eeb0a5a3e8d50fa2f7fa17e63d80872c83062f</t>
  </si>
  <si>
    <t xml:space="preserve">9972007ab263efdb3aa8b0f67ec2c8de5b8559095059440f46e6e0637c0ed21f</t>
  </si>
  <si>
    <t xml:space="preserve">5583458a8cfbb282a0ef42714d582fedd9199cbcb9be6f1f5f0ce11179855895</t>
  </si>
  <si>
    <t xml:space="preserve">fcdcffb675432bb04ec7fd7b8de6b5f35e678a9ae94fbdabc2306792a1ab82c6</t>
  </si>
  <si>
    <t xml:space="preserve">1e83349ef122bc048829ba0db98454b7c07925b2d2205cccbae789799494b9a0</t>
  </si>
  <si>
    <t xml:space="preserve">72f512399e63d7e23b70004e63f5421c6ff630d8beddb59dbb707f0ffd20f4df</t>
  </si>
  <si>
    <t xml:space="preserve">1d9f8913cb4ccffffa611513be6ed9682622d342b0397de09a12a28e60b6f88b</t>
  </si>
  <si>
    <t xml:space="preserve">d0ab7e3d180a89e786b690cf7cdb6fabd97f23eea678a14216a140ee8768e2a9</t>
  </si>
  <si>
    <t xml:space="preserve">0ef546d072aa7faf81e46d23bebff8ddbbbac7b6ea903bc798a77bae191b1c80</t>
  </si>
  <si>
    <t xml:space="preserve">fc07a2b207c93742ac2d9dcc22c3d24d63007074885456e26e1d2e95d5561ee4</t>
  </si>
  <si>
    <t xml:space="preserve">19a7ef0f667265e2494c0c8f9ce6a3c29339eaebe2e6377949f5c96a0586361c</t>
  </si>
  <si>
    <t xml:space="preserve">00839531e90ed170d307795d6606d4436a9fd963a9b9c9bcd2583ff5bb1f9cea</t>
  </si>
  <si>
    <t xml:space="preserve">08e17e989734feabb7d61c8bad968a5579dae056530961eaa8e21afde3601a08</t>
  </si>
  <si>
    <t xml:space="preserve">e15ff105f162d8b6dbe0063b6a1fac2de40daaeb80228cd6797adcd8c7c8f983</t>
  </si>
  <si>
    <t xml:space="preserve">17aee787fdd44b95596a7fa61a1969c204e53fe1fc7bcacb79a34d09dc57a937</t>
  </si>
  <si>
    <t xml:space="preserve">8d2707361f47185b508cfc250103972feac2198bdc6c5ce58a9ff406f57a2d0d</t>
  </si>
  <si>
    <t xml:space="preserve">0b5e35fe918658dea7abdc398e2dd0b155fc8fc04d498e009a405988e67d52e2</t>
  </si>
  <si>
    <t xml:space="preserve">Eligibility Exclusions</t>
  </si>
  <si>
    <t xml:space="preserve">Electronic-only audit table of READY-source rows rejected as overridden, officially annulled, unresolved, or otherwise not fully answerable.</t>
  </si>
  <si>
    <t xml:space="preserve">Exclusion reasons</t>
  </si>
  <si>
    <t xml:space="preserve">Named-case row</t>
  </si>
  <si>
    <t xml:space="preserve">officially_nullified, missing_or_invalid_correct_letter</t>
  </si>
  <si>
    <t xml:space="preserve">nullified</t>
  </si>
  <si>
    <t xml:space="preserve">(pregunta anulada por el tribunal)</t>
  </si>
  <si>
    <t xml:space="preserve">image_linked_excluded_for_no_image_release</t>
  </si>
  <si>
    <t xml:space="preserve">c</t>
  </si>
  <si>
    <t xml:space="preserve">El diagnóstico más probable es el de hepatocarcinoma y solicitaría inicialmente una determinación de alfafetoproteina sérica.</t>
  </si>
  <si>
    <t xml:space="preserve">d</t>
  </si>
  <si>
    <t xml:space="preserve">El hallazgo de trombosis portal limitada a un segmento de la rama intrahepática derecha de la vena porta en RM o TC dinámicos no modificaría los planes de un eventual trasplante hepático.</t>
  </si>
  <si>
    <t xml:space="preserve">A pesar del riesgo de recurrencia, el trasplante de hígado es la primera elección de tratamiento si los pacientes cumplen los criterios de Milán.</t>
  </si>
  <si>
    <t xml:space="preserve">clinical_case,nullified</t>
  </si>
  <si>
    <t xml:space="preserve">negated,nullified</t>
  </si>
  <si>
    <t xml:space="preserve">CPRE con litotricia intraductal con o sin inserción posterior de prótesis pancreática.</t>
  </si>
  <si>
    <t xml:space="preserve">a</t>
  </si>
  <si>
    <t xml:space="preserve">Espasmo esofágico distal.</t>
  </si>
  <si>
    <t xml:space="preserve">Trazodona.</t>
  </si>
  <si>
    <t xml:space="preserve">La dilatación neumática endoscópica mejora la disfagia pero no el dolor torácico.</t>
  </si>
  <si>
    <t xml:space="preserve">Se debe extender de forma craneal la miotomía para incluir la zona esofágica afecta de espasmos que causan el dolor torácico.</t>
  </si>
  <si>
    <t xml:space="preserve">b</t>
  </si>
  <si>
    <t xml:space="preserve">Podrían mejorar la latencia distal.</t>
  </si>
  <si>
    <t xml:space="preserve">Una prótesis metálica recubierta en el conducto biliar común como drenaje prequirúrgico.</t>
  </si>
  <si>
    <t xml:space="preserve">Perforación tipo II, tratamiento analgésico, antibiótico, fluidoterapia, sonda nasogástrica y consulta a cirugía de guardia, valorando insertar prótesis metálica recubierta para sellar perforación.</t>
  </si>
  <si>
    <t xml:space="preserve">Colopatía por AINE.</t>
  </si>
  <si>
    <t xml:space="preserve">Hemostasia con Hemospray®.</t>
  </si>
  <si>
    <t xml:space="preserve">Dilatación de la vía biliar por ecografía.</t>
  </si>
  <si>
    <t xml:space="preserve">Colangiografía por RMN o Ecoendoscopia digestiva alta.</t>
  </si>
  <si>
    <t xml:space="preserve">El tratamiento estándar mediante duodenopancreatectomía cefálica permite tasas de supervivencia aceptables a largo plazo en este tipo de tumores, y es el más adecuado en este caso.</t>
  </si>
  <si>
    <t xml:space="preserve">Dada la histología del tumor, debe realizarse una duodenopancreatectomía cefálica con linfadenectomía.</t>
  </si>
  <si>
    <t xml:space="preserve">PAAF de la lesión.</t>
  </si>
  <si>
    <t xml:space="preserve">Tratamiento paliativo.</t>
  </si>
  <si>
    <t xml:space="preserve">El tratamiento de este paciente debe realizarse con Infliximab o Ciclosporina, siendo preferencial el Infliximab de primera elección si se sospecha una enfermedad inflamatoria y se desconoce si se trata de colitis Crohn o colitis ulcerosa.</t>
  </si>
  <si>
    <t xml:space="preserve">depends_on_omitted_prior_question</t>
  </si>
  <si>
    <t xml:space="preserve">Dada la actividad leve de su colitis ulcerosa según el índice de Mayo parcial, podríamos valorar granulocitoaféresis.</t>
  </si>
  <si>
    <t xml:space="preserve">Flidoterapia, antobióticos, dieta absoluta y CPRE urgente/preferente.</t>
  </si>
  <si>
    <t xml:space="preserve">Cistogastrostomía endoscópica.</t>
  </si>
  <si>
    <t xml:space="preserve">Drenaje de la colección mediante drenajes plásticos que se dejarán a largo plazo.</t>
  </si>
  <si>
    <t xml:space="preserve">override_flag</t>
  </si>
  <si>
    <t xml:space="preserve">negated,override:option_d</t>
  </si>
  <si>
    <t xml:space="preserve">La biopsia duodenal suele mostrar un denso infiltrado de eosinófilos en los pacientes que cursan con crisis suboclusivas recurrentes.</t>
  </si>
  <si>
    <t xml:space="preserve">override:question_text</t>
  </si>
  <si>
    <t xml:space="preserve">Prostaglandina F2α</t>
  </si>
  <si>
    <t xml:space="preserve">En áreas de baja prevalencia de infección por Helicobacter Pylori el valor predictivo negativo de la serología es bajo.</t>
  </si>
  <si>
    <t xml:space="preserve">clinical_case,source_missing_option_a,override:option_a</t>
  </si>
  <si>
    <t xml:space="preserve">Se puede ofrecer tanto resección quirúrgica como resección endoscópica. El tratamiento de resección endoscópica (mucosectomía o DSE) sería una opción adecuada en centros especializados.</t>
  </si>
  <si>
    <t xml:space="preserve">negated,override:option_c</t>
  </si>
  <si>
    <t xml:space="preserve">Hasta un 40 por ciento de los pacientes colecistectomizados pueden presentar diarrea.</t>
  </si>
  <si>
    <t xml:space="preserve">Eritema necrolítico migratorio.</t>
  </si>
  <si>
    <t xml:space="preserve">source_missing_option_b,override:option_b</t>
  </si>
  <si>
    <t xml:space="preserve">La RMN es superior al TAC para determinar la cantidad líquido/sólido.</t>
  </si>
  <si>
    <t xml:space="preserve">override_flag, officially_nullified, missing_or_invalid_correct_letter</t>
  </si>
  <si>
    <t xml:space="preserve">clinical_case,nullified,override:option_d</t>
  </si>
  <si>
    <t xml:space="preserve">negated,override:option_b</t>
  </si>
  <si>
    <t xml:space="preserve">La cardiomiotomía. Los resultados son excelentes o buenos en el 80% de los pacientes. No se ha observado una disminución en la eficacia con el paso del tiempo.</t>
  </si>
  <si>
    <t xml:space="preserve">Un porcentaje muy pequeño (menos del 5%) de pacientes diagnosticados de cáncer de esófago presentan metástasis a distancia o son tumores irresecables en el momento del diagnóstico.</t>
  </si>
  <si>
    <t xml:space="preserve">El apoyo nutricional no es una parte integral de la atención médica para pacientes con cáncer de esófago en el entorno curativo y paliativo.</t>
  </si>
  <si>
    <t xml:space="preserve">override:option_b</t>
  </si>
  <si>
    <t xml:space="preserve">Para los pacientes con úlceras con hemorragia activa (FIa, FIb), ESGE recomienda combinar inyección de adrenalina con una segunda modalidad de hemostasia (térmica, mecánica, o agente esclerosante).</t>
  </si>
  <si>
    <t xml:space="preserve">En pacientes con hemorragia por angioectasias gastrointestinales superiores, la ESGE no recomienda hemostasia endoscópica.</t>
  </si>
  <si>
    <t xml:space="preserve">En pacientes que reciben doble antiagregación plaquetaria que desarrollan sangrado de úlcera péptica, ESGE (European Society of Gastrointestinal Endoscopy) recomienda continuar con una dosis baja de AAS y no volver a introducir más el segundo agente antiplaquetario.</t>
  </si>
  <si>
    <t xml:space="preserve">Los pacientes con PAFc tienen indicación de colectomía subtotal con anastomosis ileorrectal.</t>
  </si>
  <si>
    <t xml:space="preserve">El consumo de alcohol y tabaco, y mantener actividad física no son factores a tener en cuenta en la prevención del CCR.</t>
  </si>
  <si>
    <t xml:space="preserve">La rentabilidad diagnóstica en el sangrado diverticular se acerca al 90%.</t>
  </si>
  <si>
    <t xml:space="preserve">Hemoglobina menor de 14 g/dl en lactantes.</t>
  </si>
  <si>
    <t xml:space="preserve">La dosis de vitamina B12 oral oscila entre 3000 y 5000 unidades.</t>
  </si>
  <si>
    <t xml:space="preserve">negated,override:question_text</t>
  </si>
  <si>
    <t xml:space="preserve">Los inhibidores de la bomba de protones (IBP) mejoran la absorción.</t>
  </si>
  <si>
    <t xml:space="preserve">En la PA moderada la complicación local y/o el fallo orgánico es transitorio (&lt;72 horas).</t>
  </si>
  <si>
    <t xml:space="preserve">Hay datos de alta evidencia a favor del uso de quimioprofilaxis antibiótica en pancreatitis necrotizante.</t>
  </si>
  <si>
    <t xml:space="preserve">Los seudoquistes asintomáticos se deben drenar si tienen más de 6 cm.</t>
  </si>
  <si>
    <t xml:space="preserve">Necrosis pancreática encapsulada infectada (WON- walled-off-necrosis).</t>
  </si>
  <si>
    <t xml:space="preserve">Tumor papilar mucinoso intraductal.</t>
  </si>
  <si>
    <t xml:space="preserve">clinical_case,override:question_text</t>
  </si>
  <si>
    <t xml:space="preserve">El cólico biliar se debe a la obstrucción intermitente del cístico o del esfínter de Oddi.</t>
  </si>
  <si>
    <t xml:space="preserve">La palpación durante la inspiración profunda del hipocondrio derecho produce dolor y paro inspiratorio.</t>
  </si>
  <si>
    <t xml:space="preserve">Ante bacteriemias el tratamiento debe prolongarse 7 días.</t>
  </si>
  <si>
    <t xml:space="preserve">Es coste-efectiva en el algoritmo diagnóstico de la hemorragia digestiva de origen oscuro.</t>
  </si>
  <si>
    <t xml:space="preserve">En algunos casos puede estar indicada la terapia múltiple (micofenolato mofetil + tacrólimus + corticoides).</t>
  </si>
  <si>
    <t xml:space="preserve">Las anastomosis de las hepaticoyeyunostomías en Y de Roux se estenosan más que las colédoco-coledocostomías.</t>
  </si>
  <si>
    <t xml:space="preserve">Ganciclovir iv 5 mg/kg/12 horas durante 2-3 semanas.</t>
  </si>
  <si>
    <t xml:space="preserve">El VHB es un virus RNA, cuya vía de transmisión es parenteral.</t>
  </si>
  <si>
    <t xml:space="preserve">override:option_c</t>
  </si>
  <si>
    <t xml:space="preserve">La causa más frecuente en España es la infección por virus hepatotropo.</t>
  </si>
  <si>
    <t xml:space="preserve">clinical_case,override:option_a</t>
  </si>
  <si>
    <t xml:space="preserve">Las opciones A y B son correctas.</t>
  </si>
  <si>
    <t xml:space="preserve">La biopsia hepática resulta muy útil en determinados escenarios para llegar a un diagnóstico en esta enfermedad.</t>
  </si>
  <si>
    <t xml:space="preserve">Los pacientes con cirrosis compensada por VHB no deben ser tratados en ningún escenario por el peligro de descompensación hepática.</t>
  </si>
  <si>
    <t xml:space="preserve">clinical_case,override:option_b</t>
  </si>
  <si>
    <t xml:space="preserve">Se debe plantear tratamiento con Tenofovir o Entecavir.</t>
  </si>
  <si>
    <t xml:space="preserve">Methodology and Data Dictionary</t>
  </si>
  <si>
    <t xml:space="preserve">Deterministic selection rules, audit definitions, and limitations for rebuilding or reviewing this questionnaire.</t>
  </si>
  <si>
    <t xml:space="preserve">Topic</t>
  </si>
  <si>
    <t xml:space="preserve">Rule / definition</t>
  </si>
  <si>
    <t xml:space="preserve">Value</t>
  </si>
  <si>
    <t xml:space="preserve">Audit note</t>
  </si>
  <si>
    <t xml:space="preserve">Scope</t>
  </si>
  <si>
    <t xml:space="preserve">Only exam pairs marked READY in publication-status.csv</t>
  </si>
  <si>
    <t xml:space="preserve">18 exam workbooks; 11 regions</t>
  </si>
  <si>
    <t xml:space="preserve">SOURCE_LIMITED and EXCLUDED pairs are not candidates.</t>
  </si>
  <si>
    <t xml:space="preserve">Named case definition</t>
  </si>
  <si>
    <t xml:space="preserve">exam_part matches caso-N, caso-clinico-N, or reserva-casos-clinicos</t>
  </si>
  <si>
    <t xml:space="preserve">189 source rows; 186 valid rows selected</t>
  </si>
  <si>
    <t xml:space="preserve">Three official annulments are excluded and replaced with valid questions.</t>
  </si>
  <si>
    <t xml:space="preserve">Override rule</t>
  </si>
  <si>
    <t xml:space="preserve">Any flags token beginning override: makes the row ineligible</t>
  </si>
  <si>
    <t xml:space="preserve">0 selected override rows</t>
  </si>
  <si>
    <t xml:space="preserve">PDF-source repair comments are provenance, not override flags.</t>
  </si>
  <si>
    <t xml:space="preserve">Answerability</t>
  </si>
  <si>
    <t xml:space="preserve">Every selected row has a valid official answer and populated controlling option</t>
  </si>
  <si>
    <t xml:space="preserve">500 scored; 0 annulled / unscored</t>
  </si>
  <si>
    <t xml:space="preserve">No answer is invented. Three-option source questions remain three-option questions.</t>
  </si>
  <si>
    <t xml:space="preserve">Regional balance</t>
  </si>
  <si>
    <t xml:space="preserve">Frozen lexicographic integer quotas minimize final regional imbalance first</t>
  </si>
  <si>
    <t xml:space="preserve">Illes 165; five other regions 34; five other regions 33</t>
  </si>
  <si>
    <t xml:space="preserve">The 165 valid Illes named-case rows make equal final regional totals impossible.</t>
  </si>
  <si>
    <t xml:space="preserve">Formal-type balance</t>
  </si>
  <si>
    <t xml:space="preserve">Among region-optimal allocations, minimize deviation across five filler formal types</t>
  </si>
  <si>
    <t xml:space="preserve">Frozen pair/type quota matrix in qa/no-image-replacement-design.json</t>
  </si>
  <si>
    <t xml:space="preserve">Theory/practical exist only in Andalucía; mixed exists only in Navarra.</t>
  </si>
  <si>
    <t xml:space="preserve">Ordering</t>
  </si>
  <si>
    <t xml:space="preserve">Filler eligibility uses a frozen SHA-256 rank; predecessor item slots are preserved</t>
  </si>
  <si>
    <t xml:space="preserve">balanced-questionnaire-500-v1</t>
  </si>
  <si>
    <t xml:space="preserve">Q138 is explicitly excluded because its wording depends on omitted Q137 events.</t>
  </si>
  <si>
    <t xml:space="preserve">Three reader-facing groups</t>
  </si>
  <si>
    <t xml:space="preserve">Named case 186; standard/main 164; other structured types 150</t>
  </si>
  <si>
    <t xml:space="preserve">The exact six-way formal type remains visible.</t>
  </si>
  <si>
    <t xml:space="preserve">Each row is linked to its ordered effective context chain</t>
  </si>
  <si>
    <t xml:space="preserve">33 logical records; 75 visible continuation rows</t>
  </si>
  <si>
    <t xml:space="preserve">The Questionnaire print view renders every context chunk in full.</t>
  </si>
  <si>
    <t xml:space="preserve">Visuals</t>
  </si>
  <si>
    <t xml:space="preserve">Any READY row with a nonblank visual_id is excluded before selection</t>
  </si>
  <si>
    <t xml:space="preserve">0 selected visual assets</t>
  </si>
  <si>
    <t xml:space="preserve">26 READY image-linked rows were excluded; the retained sheet confirms zero selected visuals.</t>
  </si>
  <si>
    <t xml:space="preserve">Source workbook</t>
  </si>
  <si>
    <t xml:space="preserve">workbook-repairs-2026-07-30/outputs/all-regions-aparato-digestivo.corrected.xlsx</t>
  </si>
  <si>
    <t xml:space="preserve">18f6becd4e51f1b9ef6a5a8ab68421e905cfe2584ec32a0e303b76f3cacf1e46</t>
  </si>
  <si>
    <t xml:space="preserve">Corrected aggregate verified by the prior repair project.</t>
  </si>
  <si>
    <t xml:space="preserve">Publication ledger</t>
  </si>
  <si>
    <t xml:space="preserve">workbook-repairs-2026-07-30/reports/publication-status.csv</t>
  </si>
  <si>
    <t xml:space="preserve">296f027f102fef1d919cb342ea848f3d2a941c7c3837fa42ba62ce92c7fc55e2</t>
  </si>
  <si>
    <t xml:space="preserve">Controls READY eligibility.</t>
  </si>
  <si>
    <t xml:space="preserve">Field</t>
  </si>
  <si>
    <t xml:space="preserve">Meaning</t>
  </si>
  <si>
    <t xml:space="preserve">Used for</t>
  </si>
  <si>
    <t xml:space="preserve">Notes</t>
  </si>
  <si>
    <t xml:space="preserve">Broad balanced grouping</t>
  </si>
  <si>
    <t xml:space="preserve">Composition reporting</t>
  </si>
  <si>
    <t xml:space="preserve">Three mutually exclusive values.</t>
  </si>
  <si>
    <t xml:space="preserve">Six-way exam_part taxonomy</t>
  </si>
  <si>
    <t xml:space="preserve">Frozen quota optimization</t>
  </si>
  <si>
    <t xml:space="preserve">Mutually exclusive and exhaustive.</t>
  </si>
  <si>
    <t xml:space="preserve">region|year|exam_part|question_number</t>
  </si>
  <si>
    <t xml:space="preserve">Uniqueness and traceability</t>
  </si>
  <si>
    <t xml:space="preserve">Exactly one per selected item.</t>
  </si>
  <si>
    <t xml:space="preserve">Ordered base and transition context chain</t>
  </si>
  <si>
    <t xml:space="preserve">Self-contained clinical cases</t>
  </si>
  <si>
    <t xml:space="preserve">Every Illes named-case row has a base context.</t>
  </si>
  <si>
    <t xml:space="preserve">Link to official source image</t>
  </si>
  <si>
    <t xml:space="preserve">Image-free eligibility</t>
  </si>
  <si>
    <t xml:space="preserve">Blank for every selected question.</t>
  </si>
  <si>
    <t xml:space="preserve">Parser/source provenance markers</t>
  </si>
  <si>
    <t xml:space="preserve">Eligibility and wording</t>
  </si>
  <si>
    <t xml:space="preserve">No selected override or nullified token.</t>
  </si>
  <si>
    <t xml:space="preserve">PDF-verified repair provenance copied from source cells</t>
  </si>
  <si>
    <t xml:space="preserve">Audit trail</t>
  </si>
  <si>
    <t xml:space="preserve">Not an override or uncertainty marker.</t>
  </si>
</sst>
</file>

<file path=xl/styles.xml><?xml version="1.0" encoding="utf-8"?>
<styleSheet xmlns="http://schemas.openxmlformats.org/spreadsheetml/2006/main">
  <numFmts count="2">
    <numFmt numFmtId="164" formatCode="General"/>
    <numFmt numFmtId="165" formatCode="0.0%"/>
  </numFmts>
  <fonts count="1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5B6573"/>
      <name val="Arial"/>
      <family val="0"/>
      <charset val="1"/>
    </font>
    <font>
      <b val="true"/>
      <sz val="10"/>
      <color rgb="FFFFFFFF"/>
      <name val="Arial"/>
      <family val="0"/>
      <charset val="1"/>
    </font>
    <font>
      <b val="true"/>
      <sz val="22"/>
      <color rgb="FF17324D"/>
      <name val="Arial"/>
      <family val="0"/>
      <charset val="1"/>
    </font>
    <font>
      <sz val="9"/>
      <color rgb="FF1D2733"/>
      <name val="Arial"/>
      <family val="0"/>
      <charset val="1"/>
    </font>
    <font>
      <b val="true"/>
      <sz val="11"/>
      <color rgb="FF1D2733"/>
      <name val="Arial"/>
      <family val="0"/>
      <charset val="1"/>
    </font>
    <font>
      <i val="true"/>
      <sz val="8"/>
      <color rgb="FF5B6573"/>
      <name val="Arial"/>
      <family val="0"/>
      <charset val="1"/>
    </font>
    <font>
      <sz val="10"/>
      <name val="Arial"/>
      <family val="2"/>
    </font>
    <font>
      <b val="true"/>
      <sz val="11"/>
      <color rgb="FF1F6E78"/>
      <name val="Arial"/>
      <family val="0"/>
      <charset val="1"/>
    </font>
    <font>
      <b val="true"/>
      <sz val="11"/>
      <color rgb="FF17324D"/>
      <name val="Arial"/>
      <family val="0"/>
      <charset val="1"/>
    </font>
    <font>
      <sz val="8"/>
      <color rgb="FF1D2733"/>
      <name val="Arial"/>
      <family val="0"/>
      <charset val="1"/>
    </font>
  </fonts>
  <fills count="9">
    <fill>
      <patternFill patternType="none"/>
    </fill>
    <fill>
      <patternFill patternType="gray125"/>
    </fill>
    <fill>
      <patternFill patternType="solid">
        <fgColor rgb="FF17324D"/>
        <bgColor rgb="FF1D2733"/>
      </patternFill>
    </fill>
    <fill>
      <patternFill patternType="solid">
        <fgColor rgb="FFEAF3F5"/>
        <bgColor rgb="FFE8F5EE"/>
      </patternFill>
    </fill>
    <fill>
      <patternFill patternType="solid">
        <fgColor rgb="FF1F6E78"/>
        <bgColor rgb="FF2F6690"/>
      </patternFill>
    </fill>
    <fill>
      <patternFill patternType="solid">
        <fgColor rgb="FFFFF4CC"/>
        <bgColor rgb="FFFDECEC"/>
      </patternFill>
    </fill>
    <fill>
      <patternFill patternType="solid">
        <fgColor rgb="FFFFFFFF"/>
        <bgColor rgb="FFF3F6F8"/>
      </patternFill>
    </fill>
    <fill>
      <patternFill patternType="solid">
        <fgColor rgb="FFF3F6F8"/>
        <bgColor rgb="FFEAF3F5"/>
      </patternFill>
    </fill>
    <fill>
      <patternFill patternType="solid">
        <fgColor rgb="FFE8F5EE"/>
        <bgColor rgb="FFEAF3F5"/>
      </patternFill>
    </fill>
  </fills>
  <borders count="3">
    <border diagonalUp="false" diagonalDown="false">
      <left/>
      <right/>
      <top/>
      <bottom/>
      <diagonal/>
    </border>
    <border diagonalUp="false" diagonalDown="false">
      <left/>
      <right/>
      <top/>
      <bottom style="medium">
        <color rgb="FFD6A84B"/>
      </bottom>
      <diagonal/>
    </border>
    <border diagonalUp="false" diagonalDown="false">
      <left/>
      <right/>
      <top/>
      <bottom style="thin">
        <color rgb="FFCAD6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center" vertical="bottom" textRotation="0" wrapText="false" indent="0" shrinkToFit="false"/>
      <protection locked="true" hidden="false"/>
    </xf>
    <xf numFmtId="164" fontId="7" fillId="3" borderId="0"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5" fontId="8" fillId="0" borderId="2" xfId="0" applyFont="true" applyBorder="true" applyAlignment="true" applyProtection="false">
      <alignment horizontal="general" vertical="top" textRotation="0" wrapText="true" indent="0" shrinkToFit="false"/>
      <protection locked="true" hidden="false"/>
    </xf>
    <xf numFmtId="164" fontId="6" fillId="2" borderId="2" xfId="0" applyFont="true" applyBorder="true" applyAlignment="true" applyProtection="false">
      <alignment horizontal="general" vertical="top" textRotation="0" wrapText="tru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8" fillId="6" borderId="2" xfId="0" applyFont="true" applyBorder="true" applyAlignment="true" applyProtection="false">
      <alignment horizontal="general" vertical="top" textRotation="0" wrapText="true" indent="0" shrinkToFit="false"/>
      <protection locked="true" hidden="false"/>
    </xf>
    <xf numFmtId="164" fontId="10" fillId="7" borderId="2"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8" fillId="8" borderId="2" xfId="0" applyFont="true" applyBorder="true" applyAlignment="true" applyProtection="false">
      <alignment horizontal="general" vertical="top" textRotation="0" wrapText="true" indent="0" shrinkToFit="false"/>
      <protection locked="true" hidden="false"/>
    </xf>
    <xf numFmtId="164" fontId="12" fillId="8" borderId="2" xfId="0" applyFont="true" applyBorder="true" applyAlignment="true" applyProtection="false">
      <alignment horizontal="general" vertical="top" textRotation="0" wrapText="true" indent="0" shrinkToFit="false"/>
      <protection locked="true" hidden="false"/>
    </xf>
    <xf numFmtId="164" fontId="13" fillId="8" borderId="0"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bgColor rgb="FFE8F5EE"/>
        </patternFill>
      </fill>
    </dxf>
    <dxf>
      <fill>
        <patternFill>
          <bgColor rgb="FFFDECEC"/>
        </patternFill>
      </fill>
    </dxf>
    <dxf>
      <fill>
        <patternFill patternType="solid">
          <fgColor rgb="FF1F6E78"/>
          <bgColor rgb="FF000000"/>
        </patternFill>
      </fill>
    </dxf>
    <dxf>
      <fill>
        <patternFill patternType="solid">
          <bgColor rgb="FF000000"/>
        </patternFill>
      </fill>
    </dxf>
    <dxf>
      <fill>
        <patternFill patternType="solid">
          <fgColor rgb="FF1D2733"/>
          <bgColor rgb="FF000000"/>
        </patternFill>
      </fill>
    </dxf>
    <dxf>
      <fill>
        <patternFill patternType="solid">
          <fgColor rgb="FFFFFFFF"/>
          <bgColor rgb="FF000000"/>
        </patternFill>
      </fill>
    </dxf>
    <dxf>
      <fill>
        <patternFill patternType="solid">
          <fgColor rgb="FFE8F5EE"/>
          <bgColor rgb="FF000000"/>
        </patternFill>
      </fill>
    </dxf>
    <dxf>
      <fill>
        <patternFill patternType="solid">
          <fgColor rgb="FFEAF3F5"/>
          <bgColor rgb="FF000000"/>
        </patternFill>
      </fill>
    </dxf>
    <dxf>
      <fill>
        <patternFill patternType="solid">
          <fgColor rgb="FFFFF4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6D3B"/>
      <rgbColor rgb="FF800080"/>
      <rgbColor rgb="FF1F6E78"/>
      <rgbColor rgb="FFC0C0C0"/>
      <rgbColor rgb="FF6B8E73"/>
      <rgbColor rgb="FF9999FF"/>
      <rgbColor rgb="FFA94442"/>
      <rgbColor rgb="FFFFF4CC"/>
      <rgbColor rgb="FFE8F5EE"/>
      <rgbColor rgb="FF660066"/>
      <rgbColor rgb="FFFF8080"/>
      <rgbColor rgb="FF2F6690"/>
      <rgbColor rgb="FFCAD6DF"/>
      <rgbColor rgb="FF000080"/>
      <rgbColor rgb="FFFF00FF"/>
      <rgbColor rgb="FFFFFF00"/>
      <rgbColor rgb="FF00FFFF"/>
      <rgbColor rgb="FF800080"/>
      <rgbColor rgb="FF800000"/>
      <rgbColor rgb="FF008080"/>
      <rgbColor rgb="FF0000FF"/>
      <rgbColor rgb="FF00CCFF"/>
      <rgbColor rgb="FFEAF3F5"/>
      <rgbColor rgb="FFF3F6F8"/>
      <rgbColor rgb="FFFDECEC"/>
      <rgbColor rgb="FF99CCFF"/>
      <rgbColor rgb="FFFF99CC"/>
      <rgbColor rgb="FFCC99FF"/>
      <rgbColor rgb="FFFFCC99"/>
      <rgbColor rgb="FF3366FF"/>
      <rgbColor rgb="FF33CCCC"/>
      <rgbColor rgb="FF99CC00"/>
      <rgbColor rgb="FFFFCC00"/>
      <rgbColor rgb="FFD6A84B"/>
      <rgbColor rgb="FFFF6600"/>
      <rgbColor rgb="FF5B6573"/>
      <rgbColor rgb="FF969696"/>
      <rgbColor rgb="FF17324D"/>
      <rgbColor rgb="FF3A7CA5"/>
      <rgbColor rgb="FF003300"/>
      <rgbColor rgb="FF333300"/>
      <rgbColor rgb="FF993300"/>
      <rgbColor rgb="FF993366"/>
      <rgbColor rgb="FF333399"/>
      <rgbColor rgb="FF1D27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nswerKeyTable" displayName="AnswerKeyTable" ref="A4:K504" headerRowCount="1" totalsRowCount="0" totalsRowShown="0">
  <autoFilter ref="A4:K504"/>
  <tableColumns count="11">
    <tableColumn id="1" name="Item"/>
    <tableColumn id="2" name="Correct letter"/>
    <tableColumn id="3" name="Correct option text"/>
    <tableColumn id="4" name="Region"/>
    <tableColumn id="5" name="Year"/>
    <tableColumn id="6" name="Source exam"/>
    <tableColumn id="7" name="Source Q"/>
    <tableColumn id="8" name="Primary type"/>
    <tableColumn id="9" name="Flags"/>
    <tableColumn id="10" name="Source answer-key PDF"/>
    <tableColumn id="11" name="Source key"/>
  </tableColumns>
</table>
</file>

<file path=xl/tables/table2.xml><?xml version="1.0" encoding="utf-8"?>
<table xmlns="http://schemas.openxmlformats.org/spreadsheetml/2006/main" id="2" name="EligibilityExclusionsTable" displayName="EligibilityExclusionsTable" ref="A3:L115" headerRowCount="1" totalsRowCount="0" totalsRowShown="0">
  <autoFilter ref="A3:L115"/>
  <tableColumns count="12">
    <tableColumn id="1" name="Region"/>
    <tableColumn id="2" name="Year"/>
    <tableColumn id="3" name="Source pair"/>
    <tableColumn id="4" name="Exam part"/>
    <tableColumn id="5" name="Source Q"/>
    <tableColumn id="6" name="Exclusion reasons"/>
    <tableColumn id="7" name="Named-case row"/>
    <tableColumn id="8" name="Flags"/>
    <tableColumn id="9" name="Correct letter"/>
    <tableColumn id="10" name="Correct option text"/>
    <tableColumn id="11" name="Needs attention"/>
    <tableColumn id="12" name="Source exam PDF"/>
  </tableColumns>
</table>
</file>

<file path=xl/tables/table3.xml><?xml version="1.0" encoding="utf-8"?>
<table xmlns="http://schemas.openxmlformats.org/spreadsheetml/2006/main" id="3" name="QuestionnaireTable" displayName="QuestionnaireTable" ref="A4:Q504" headerRowCount="1" totalsRowCount="0" totalsRowShown="0">
  <autoFilter ref="A4:Q504"/>
  <tableColumns count="17">
    <tableColumn id="1" name="Item"/>
    <tableColumn id="2" name="Region"/>
    <tableColumn id="3" name="Year"/>
    <tableColumn id="4" name="Source exam"/>
    <tableColumn id="5" name="Exam part"/>
    <tableColumn id="6" name="Source Q"/>
    <tableColumn id="7" name="Primary type"/>
    <tableColumn id="8" name="Formal question type"/>
    <tableColumn id="9" name="Clinical context"/>
    <tableColumn id="10" name="Question"/>
    <tableColumn id="11" name="Option A"/>
    <tableColumn id="12" name="Option B"/>
    <tableColumn id="13" name="Option C"/>
    <tableColumn id="14" name="Option D"/>
    <tableColumn id="15" name="Context IDs"/>
    <tableColumn id="16" name="Visual ID"/>
    <tableColumn id="17" name="PDF page"/>
  </tableColumns>
</table>
</file>

<file path=xl/tables/table4.xml><?xml version="1.0" encoding="utf-8"?>
<table xmlns="http://schemas.openxmlformats.org/spreadsheetml/2006/main" id="4" name="SelectedCaseContextsTable" displayName="SelectedCaseContextsTable" ref="A4:I79" headerRowCount="1" totalsRowCount="0" totalsRowShown="0">
  <autoFilter ref="A4:I79"/>
  <tableColumns count="9">
    <tableColumn id="1" name="Context ID"/>
    <tableColumn id="2" name="Kind / part"/>
    <tableColumn id="3" name="Clinical context"/>
    <tableColumn id="4" name="Questionnaire items"/>
    <tableColumn id="5" name="Source pair"/>
    <tableColumn id="6" name="Source question numbers"/>
    <tableColumn id="7" name="PDF pages"/>
    <tableColumn id="8" name="Source exam PDF"/>
    <tableColumn id="9" name="Source PDF SHA256"/>
  </tableColumns>
</table>
</file>

<file path=xl/tables/table5.xml><?xml version="1.0" encoding="utf-8"?>
<table xmlns="http://schemas.openxmlformats.org/spreadsheetml/2006/main" id="5" name="SelectionLedgerTable" displayName="SelectionLedgerTable" ref="A3:AB503" headerRowCount="1" totalsRowCount="0" totalsRowShown="0">
  <autoFilter ref="A3:AB503"/>
  <tableColumns count="28">
    <tableColumn id="1" name="Item"/>
    <tableColumn id="2" name="Source row"/>
    <tableColumn id="3" name="Source key"/>
    <tableColumn id="4" name="Region"/>
    <tableColumn id="5" name="Year"/>
    <tableColumn id="6" name="Source pair"/>
    <tableColumn id="7" name="Exam part"/>
    <tableColumn id="8" name="Source Q"/>
    <tableColumn id="9" name="Primary type"/>
    <tableColumn id="10" name="Formal question type"/>
    <tableColumn id="11" name="Selection reason"/>
    <tableColumn id="12" name="Mandatory"/>
    <tableColumn id="13" name="Wording"/>
    <tableColumn id="14" name="Flags"/>
    <tableColumn id="15" name="Needs attention"/>
    <tableColumn id="16" name="Correct letter"/>
    <tableColumn id="17" name="Correct option text"/>
    <tableColumn id="18" name="Effective context IDs"/>
    <tableColumn id="19" name="Visual ID"/>
    <tableColumn id="20" name="PDF page"/>
    <tableColumn id="21" name="Source exam PDF"/>
    <tableColumn id="22" name="Source answer-key PDF"/>
    <tableColumn id="23" name="Content SHA256"/>
    <tableColumn id="24" name="Selection score"/>
    <tableColumn id="25" name="Source repair comments"/>
    <tableColumn id="26" name="Source case ID"/>
    <tableColumn id="27" name="Clinical format"/>
    <tableColumn id="28" name="Scor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Relationship Id="rId3"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_rels/sheet8.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A84B"/>
    <pageSetUpPr fitToPage="true"/>
  </sheetPr>
  <dimension ref="A1:L32"/>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28"/>
    <col collapsed="false" customWidth="true" hidden="false" outlineLevel="0" max="2" min="2" style="0" width="15"/>
    <col collapsed="false" customWidth="true" hidden="false" outlineLevel="0" max="3" min="3" style="0" width="13"/>
    <col collapsed="false" customWidth="true" hidden="false" outlineLevel="0" max="4" min="4" style="0" width="14"/>
    <col collapsed="false" customWidth="true" hidden="false" outlineLevel="0" max="5" min="5" style="0" width="15"/>
    <col collapsed="false" customWidth="true" hidden="false" outlineLevel="0" max="6" min="6" style="0" width="12"/>
    <col collapsed="false" customWidth="true" hidden="false" outlineLevel="0" max="7" min="7" style="0" width="3"/>
    <col collapsed="false" customWidth="true" hidden="false" outlineLevel="0" max="8" min="8" style="0" width="34"/>
    <col collapsed="false" customWidth="true" hidden="false" outlineLevel="0" max="10" min="9" style="0" width="12"/>
    <col collapsed="false" customWidth="true" hidden="false" outlineLevel="0" max="11" min="11" style="0" width="15"/>
    <col collapsed="false" customWidth="true" hidden="false" outlineLevel="0" max="12" min="12" style="0" width="3"/>
  </cols>
  <sheetData>
    <row r="1" customFormat="false" ht="30" hidden="false" customHeight="true" outlineLevel="0" collapsed="false">
      <c r="A1" s="1" t="s">
        <v>0</v>
      </c>
      <c r="B1" s="1"/>
      <c r="C1" s="1"/>
      <c r="D1" s="1"/>
      <c r="E1" s="1"/>
      <c r="F1" s="1"/>
      <c r="G1" s="1"/>
      <c r="H1" s="1"/>
      <c r="I1" s="1"/>
      <c r="J1" s="1"/>
      <c r="K1" s="1"/>
      <c r="L1" s="1"/>
    </row>
    <row r="2" customFormat="false" ht="31.5" hidden="false" customHeight="true" outlineLevel="0" collapsed="false">
      <c r="A2" s="2" t="s">
        <v>1</v>
      </c>
      <c r="B2" s="2"/>
      <c r="C2" s="2"/>
      <c r="D2" s="2"/>
      <c r="E2" s="2"/>
      <c r="F2" s="2"/>
      <c r="G2" s="2"/>
      <c r="H2" s="2"/>
      <c r="I2" s="2"/>
      <c r="J2" s="2"/>
      <c r="K2" s="2"/>
      <c r="L2" s="2"/>
    </row>
    <row r="4" customFormat="false" ht="18" hidden="false" customHeight="false" outlineLevel="0" collapsed="false">
      <c r="A4" s="3" t="s">
        <v>2</v>
      </c>
      <c r="B4" s="3"/>
      <c r="D4" s="3" t="s">
        <v>3</v>
      </c>
      <c r="E4" s="3"/>
      <c r="G4" s="3" t="s">
        <v>4</v>
      </c>
      <c r="H4" s="3"/>
      <c r="J4" s="3" t="s">
        <v>5</v>
      </c>
      <c r="K4" s="3"/>
    </row>
    <row r="5" customFormat="false" ht="18" hidden="false" customHeight="false" outlineLevel="0" collapsed="false">
      <c r="A5" s="4" t="n">
        <f aca="false">COUNT('Selection Ledger'!$A$4:$A$503)</f>
        <v>500</v>
      </c>
      <c r="B5" s="4"/>
      <c r="D5" s="4" t="n">
        <f aca="false">COUNTIF('Selection Ledger'!$L$4:$L$503,"Yes")</f>
        <v>186</v>
      </c>
      <c r="E5" s="4"/>
      <c r="G5" s="4" t="n">
        <f aca="false">COUNTIF('Selection Ledger'!$N$4:$N$503,"*override:*")</f>
        <v>0</v>
      </c>
      <c r="H5" s="4"/>
      <c r="J5" s="4" t="n">
        <f aca="false">COUNTIF('Selection Ledger'!$AB$4:$AB$503,"Yes")</f>
        <v>500</v>
      </c>
      <c r="K5" s="4"/>
    </row>
    <row r="6" customFormat="false" ht="18" hidden="false" customHeight="false" outlineLevel="0" collapsed="false">
      <c r="A6" s="4"/>
      <c r="B6" s="4"/>
      <c r="D6" s="4"/>
      <c r="E6" s="4"/>
      <c r="G6" s="4"/>
      <c r="H6" s="4"/>
      <c r="J6" s="4"/>
      <c r="K6" s="4"/>
    </row>
    <row r="8" customFormat="false" ht="30" hidden="false" customHeight="true" outlineLevel="0" collapsed="false">
      <c r="A8" s="5" t="s">
        <v>6</v>
      </c>
      <c r="B8" s="5"/>
      <c r="C8" s="5"/>
      <c r="D8" s="5"/>
      <c r="E8" s="5"/>
      <c r="F8" s="5"/>
      <c r="G8" s="5"/>
      <c r="H8" s="5"/>
      <c r="I8" s="5"/>
      <c r="J8" s="5"/>
      <c r="K8" s="5"/>
      <c r="L8" s="5"/>
    </row>
    <row r="10" customFormat="false" ht="18" hidden="false" customHeight="false" outlineLevel="0" collapsed="false">
      <c r="A10" s="6" t="s">
        <v>7</v>
      </c>
      <c r="B10" s="6" t="s">
        <v>8</v>
      </c>
      <c r="C10" s="6" t="s">
        <v>9</v>
      </c>
      <c r="D10" s="6" t="s">
        <v>10</v>
      </c>
      <c r="E10" s="6" t="s">
        <v>11</v>
      </c>
      <c r="F10" s="6" t="s">
        <v>12</v>
      </c>
      <c r="H10" s="6" t="s">
        <v>13</v>
      </c>
      <c r="I10" s="6" t="s">
        <v>9</v>
      </c>
      <c r="J10" s="6" t="s">
        <v>14</v>
      </c>
    </row>
    <row r="11" customFormat="false" ht="18" hidden="false" customHeight="false" outlineLevel="0" collapsed="false">
      <c r="A11" s="7" t="s">
        <v>15</v>
      </c>
      <c r="B11" s="7" t="n">
        <v>34</v>
      </c>
      <c r="C11" s="7" t="n">
        <f aca="false">COUNTIF('Selection Ledger'!$D$4:$D$503,A11)</f>
        <v>34</v>
      </c>
      <c r="D11" s="7" t="n">
        <f aca="false">COUNTIFS('Selection Ledger'!$D$4:$D$503,A11,'Selection Ledger'!$L$4:$L$503,"Yes")</f>
        <v>0</v>
      </c>
      <c r="E11" s="7" t="n">
        <f aca="false">C11-D11</f>
        <v>34</v>
      </c>
      <c r="F11" s="7" t="n">
        <f aca="false">C11-B11</f>
        <v>0</v>
      </c>
      <c r="H11" s="7" t="s">
        <v>16</v>
      </c>
      <c r="I11" s="7" t="n">
        <f aca="false">COUNTIF('Selection Ledger'!$I$4:$I$503,H11)</f>
        <v>186</v>
      </c>
      <c r="J11" s="8" t="n">
        <f aca="false">I11/$A$5</f>
        <v>0.372</v>
      </c>
    </row>
    <row r="12" customFormat="false" ht="18" hidden="false" customHeight="false" outlineLevel="0" collapsed="false">
      <c r="A12" s="7" t="s">
        <v>17</v>
      </c>
      <c r="B12" s="7" t="n">
        <v>34</v>
      </c>
      <c r="C12" s="7" t="n">
        <f aca="false">COUNTIF('Selection Ledger'!$D$4:$D$503,A12)</f>
        <v>34</v>
      </c>
      <c r="D12" s="7" t="n">
        <f aca="false">COUNTIFS('Selection Ledger'!$D$4:$D$503,A12,'Selection Ledger'!$L$4:$L$503,"Yes")</f>
        <v>0</v>
      </c>
      <c r="E12" s="7" t="n">
        <f aca="false">C12-D12</f>
        <v>34</v>
      </c>
      <c r="F12" s="7" t="n">
        <f aca="false">C12-B12</f>
        <v>0</v>
      </c>
      <c r="H12" s="7" t="s">
        <v>18</v>
      </c>
      <c r="I12" s="7" t="n">
        <f aca="false">COUNTIF('Selection Ledger'!$I$4:$I$503,H12)</f>
        <v>164</v>
      </c>
      <c r="J12" s="8" t="n">
        <f aca="false">I12/$A$5</f>
        <v>0.328</v>
      </c>
    </row>
    <row r="13" customFormat="false" ht="18" hidden="false" customHeight="false" outlineLevel="0" collapsed="false">
      <c r="A13" s="7" t="s">
        <v>19</v>
      </c>
      <c r="B13" s="7" t="n">
        <v>34</v>
      </c>
      <c r="C13" s="7" t="n">
        <f aca="false">COUNTIF('Selection Ledger'!$D$4:$D$503,A13)</f>
        <v>34</v>
      </c>
      <c r="D13" s="7" t="n">
        <f aca="false">COUNTIFS('Selection Ledger'!$D$4:$D$503,A13,'Selection Ledger'!$L$4:$L$503,"Yes")</f>
        <v>0</v>
      </c>
      <c r="E13" s="7" t="n">
        <f aca="false">C13-D13</f>
        <v>34</v>
      </c>
      <c r="F13" s="7" t="n">
        <f aca="false">C13-B13</f>
        <v>0</v>
      </c>
      <c r="H13" s="7" t="s">
        <v>20</v>
      </c>
      <c r="I13" s="7" t="n">
        <f aca="false">COUNTIF('Selection Ledger'!$I$4:$I$503,H13)</f>
        <v>150</v>
      </c>
      <c r="J13" s="8" t="n">
        <f aca="false">I13/$A$5</f>
        <v>0.3</v>
      </c>
    </row>
    <row r="14" customFormat="false" ht="18" hidden="false" customHeight="false" outlineLevel="0" collapsed="false">
      <c r="A14" s="7" t="s">
        <v>21</v>
      </c>
      <c r="B14" s="7" t="n">
        <v>34</v>
      </c>
      <c r="C14" s="7" t="n">
        <f aca="false">COUNTIF('Selection Ledger'!$D$4:$D$503,A14)</f>
        <v>34</v>
      </c>
      <c r="D14" s="7" t="n">
        <f aca="false">COUNTIFS('Selection Ledger'!$D$4:$D$503,A14,'Selection Ledger'!$L$4:$L$503,"Yes")</f>
        <v>0</v>
      </c>
      <c r="E14" s="7" t="n">
        <f aca="false">C14-D14</f>
        <v>34</v>
      </c>
      <c r="F14" s="7" t="n">
        <f aca="false">C14-B14</f>
        <v>0</v>
      </c>
    </row>
    <row r="15" customFormat="false" ht="18" hidden="false" customHeight="false" outlineLevel="0" collapsed="false">
      <c r="A15" s="7" t="s">
        <v>22</v>
      </c>
      <c r="B15" s="7" t="n">
        <v>33</v>
      </c>
      <c r="C15" s="7" t="n">
        <f aca="false">COUNTIF('Selection Ledger'!$D$4:$D$503,A15)</f>
        <v>33</v>
      </c>
      <c r="D15" s="7" t="n">
        <f aca="false">COUNTIFS('Selection Ledger'!$D$4:$D$503,A15,'Selection Ledger'!$L$4:$L$503,"Yes")</f>
        <v>0</v>
      </c>
      <c r="E15" s="7" t="n">
        <f aca="false">C15-D15</f>
        <v>33</v>
      </c>
      <c r="F15" s="7" t="n">
        <f aca="false">C15-B15</f>
        <v>0</v>
      </c>
    </row>
    <row r="16" customFormat="false" ht="18" hidden="false" customHeight="false" outlineLevel="0" collapsed="false">
      <c r="A16" s="7" t="s">
        <v>23</v>
      </c>
      <c r="B16" s="7" t="n">
        <v>33</v>
      </c>
      <c r="C16" s="7" t="n">
        <f aca="false">COUNTIF('Selection Ledger'!$D$4:$D$503,A16)</f>
        <v>33</v>
      </c>
      <c r="D16" s="7" t="n">
        <f aca="false">COUNTIFS('Selection Ledger'!$D$4:$D$503,A16,'Selection Ledger'!$L$4:$L$503,"Yes")</f>
        <v>0</v>
      </c>
      <c r="E16" s="7" t="n">
        <f aca="false">C16-D16</f>
        <v>33</v>
      </c>
      <c r="F16" s="7" t="n">
        <f aca="false">C16-B16</f>
        <v>0</v>
      </c>
      <c r="H16" s="6" t="s">
        <v>24</v>
      </c>
      <c r="I16" s="6" t="s">
        <v>9</v>
      </c>
      <c r="J16" s="6" t="s">
        <v>14</v>
      </c>
    </row>
    <row r="17" customFormat="false" ht="18" hidden="false" customHeight="false" outlineLevel="0" collapsed="false">
      <c r="A17" s="7" t="s">
        <v>25</v>
      </c>
      <c r="B17" s="7" t="n">
        <v>33</v>
      </c>
      <c r="C17" s="7" t="n">
        <f aca="false">COUNTIF('Selection Ledger'!$D$4:$D$503,A17)</f>
        <v>33</v>
      </c>
      <c r="D17" s="7" t="n">
        <f aca="false">COUNTIFS('Selection Ledger'!$D$4:$D$503,A17,'Selection Ledger'!$L$4:$L$503,"Yes")</f>
        <v>0</v>
      </c>
      <c r="E17" s="7" t="n">
        <f aca="false">C17-D17</f>
        <v>33</v>
      </c>
      <c r="F17" s="7" t="n">
        <f aca="false">C17-B17</f>
        <v>0</v>
      </c>
      <c r="H17" s="7" t="s">
        <v>16</v>
      </c>
      <c r="I17" s="7" t="n">
        <f aca="false">COUNTIF('Selection Ledger'!$J$4:$J$503,H17)</f>
        <v>186</v>
      </c>
      <c r="J17" s="8" t="n">
        <f aca="false">I17/$A$5</f>
        <v>0.372</v>
      </c>
    </row>
    <row r="18" customFormat="false" ht="18" hidden="false" customHeight="false" outlineLevel="0" collapsed="false">
      <c r="A18" s="7" t="s">
        <v>26</v>
      </c>
      <c r="B18" s="7" t="n">
        <v>165</v>
      </c>
      <c r="C18" s="7" t="n">
        <f aca="false">COUNTIF('Selection Ledger'!$D$4:$D$503,A18)</f>
        <v>165</v>
      </c>
      <c r="D18" s="7" t="n">
        <f aca="false">COUNTIFS('Selection Ledger'!$D$4:$D$503,A18,'Selection Ledger'!$L$4:$L$503,"Yes")</f>
        <v>165</v>
      </c>
      <c r="E18" s="7" t="n">
        <f aca="false">C18-D18</f>
        <v>0</v>
      </c>
      <c r="F18" s="7" t="n">
        <f aca="false">C18-B18</f>
        <v>0</v>
      </c>
      <c r="H18" s="7" t="s">
        <v>18</v>
      </c>
      <c r="I18" s="7" t="n">
        <f aca="false">COUNTIF('Selection Ledger'!$J$4:$J$503,H18)</f>
        <v>164</v>
      </c>
      <c r="J18" s="8" t="n">
        <f aca="false">I18/$A$5</f>
        <v>0.328</v>
      </c>
    </row>
    <row r="19" customFormat="false" ht="18" hidden="false" customHeight="false" outlineLevel="0" collapsed="false">
      <c r="A19" s="7" t="s">
        <v>27</v>
      </c>
      <c r="B19" s="7" t="n">
        <v>33</v>
      </c>
      <c r="C19" s="7" t="n">
        <f aca="false">COUNTIF('Selection Ledger'!$D$4:$D$503,A19)</f>
        <v>33</v>
      </c>
      <c r="D19" s="7" t="n">
        <f aca="false">COUNTIFS('Selection Ledger'!$D$4:$D$503,A19,'Selection Ledger'!$L$4:$L$503,"Yes")</f>
        <v>0</v>
      </c>
      <c r="E19" s="7" t="n">
        <f aca="false">C19-D19</f>
        <v>33</v>
      </c>
      <c r="F19" s="7" t="n">
        <f aca="false">C19-B19</f>
        <v>0</v>
      </c>
      <c r="H19" s="7" t="s">
        <v>28</v>
      </c>
      <c r="I19" s="7" t="n">
        <f aca="false">COUNTIF('Selection Ledger'!$J$4:$J$503,H19)</f>
        <v>103</v>
      </c>
      <c r="J19" s="8" t="n">
        <f aca="false">I19/$A$5</f>
        <v>0.206</v>
      </c>
    </row>
    <row r="20" customFormat="false" ht="18" hidden="false" customHeight="false" outlineLevel="0" collapsed="false">
      <c r="A20" s="7" t="s">
        <v>29</v>
      </c>
      <c r="B20" s="7" t="n">
        <v>34</v>
      </c>
      <c r="C20" s="7" t="n">
        <f aca="false">COUNTIF('Selection Ledger'!$D$4:$D$503,A20)</f>
        <v>34</v>
      </c>
      <c r="D20" s="7" t="n">
        <f aca="false">COUNTIFS('Selection Ledger'!$D$4:$D$503,A20,'Selection Ledger'!$L$4:$L$503,"Yes")</f>
        <v>21</v>
      </c>
      <c r="E20" s="7" t="n">
        <f aca="false">C20-D20</f>
        <v>13</v>
      </c>
      <c r="F20" s="7" t="n">
        <f aca="false">C20-B20</f>
        <v>0</v>
      </c>
      <c r="H20" s="7" t="s">
        <v>30</v>
      </c>
      <c r="I20" s="7" t="n">
        <f aca="false">COUNTIF('Selection Ledger'!$J$4:$J$503,H20)</f>
        <v>17</v>
      </c>
      <c r="J20" s="8" t="n">
        <f aca="false">I20/$A$5</f>
        <v>0.034</v>
      </c>
    </row>
    <row r="21" customFormat="false" ht="18" hidden="false" customHeight="false" outlineLevel="0" collapsed="false">
      <c r="A21" s="7" t="s">
        <v>31</v>
      </c>
      <c r="B21" s="7" t="n">
        <v>33</v>
      </c>
      <c r="C21" s="7" t="n">
        <f aca="false">COUNTIF('Selection Ledger'!$D$4:$D$503,A21)</f>
        <v>33</v>
      </c>
      <c r="D21" s="7" t="n">
        <f aca="false">COUNTIFS('Selection Ledger'!$D$4:$D$503,A21,'Selection Ledger'!$L$4:$L$503,"Yes")</f>
        <v>0</v>
      </c>
      <c r="E21" s="7" t="n">
        <f aca="false">C21-D21</f>
        <v>33</v>
      </c>
      <c r="F21" s="7" t="n">
        <f aca="false">C21-B21</f>
        <v>0</v>
      </c>
      <c r="H21" s="7" t="s">
        <v>32</v>
      </c>
      <c r="I21" s="7" t="n">
        <f aca="false">COUNTIF('Selection Ledger'!$J$4:$J$503,H21)</f>
        <v>17</v>
      </c>
      <c r="J21" s="8" t="n">
        <f aca="false">I21/$A$5</f>
        <v>0.034</v>
      </c>
    </row>
    <row r="22" customFormat="false" ht="18" hidden="false" customHeight="false" outlineLevel="0" collapsed="false">
      <c r="H22" s="7" t="s">
        <v>33</v>
      </c>
      <c r="I22" s="7" t="n">
        <f aca="false">COUNTIF('Selection Ledger'!$J$4:$J$503,H22)</f>
        <v>13</v>
      </c>
      <c r="J22" s="8" t="n">
        <f aca="false">I22/$A$5</f>
        <v>0.026</v>
      </c>
    </row>
    <row r="25" customFormat="false" ht="18" hidden="false" customHeight="false" outlineLevel="0" collapsed="false">
      <c r="A25" s="6" t="s">
        <v>34</v>
      </c>
      <c r="B25" s="6" t="s">
        <v>35</v>
      </c>
      <c r="C25" s="6" t="s">
        <v>36</v>
      </c>
      <c r="D25" s="6" t="s">
        <v>37</v>
      </c>
    </row>
    <row r="26" customFormat="false" ht="18" hidden="false" customHeight="false" outlineLevel="0" collapsed="false">
      <c r="A26" s="7" t="s">
        <v>38</v>
      </c>
      <c r="B26" s="7" t="n">
        <f aca="false">A5</f>
        <v>500</v>
      </c>
      <c r="C26" s="7" t="n">
        <v>500</v>
      </c>
      <c r="D26" s="7" t="str">
        <f aca="false">IF(B26=C26,"PASS","FAIL")</f>
        <v>PASS</v>
      </c>
    </row>
    <row r="27" customFormat="false" ht="18" hidden="false" customHeight="false" outlineLevel="0" collapsed="false">
      <c r="A27" s="7" t="s">
        <v>39</v>
      </c>
      <c r="B27" s="7" t="n">
        <f aca="false">COUNTIF('Selection Ledger'!$N$4:$N$503,"*override:*")</f>
        <v>0</v>
      </c>
      <c r="C27" s="7" t="n">
        <v>0</v>
      </c>
      <c r="D27" s="7" t="str">
        <f aca="false">IF(B27=C27,"PASS","FAIL")</f>
        <v>PASS</v>
      </c>
    </row>
    <row r="28" customFormat="false" ht="18" hidden="false" customHeight="false" outlineLevel="0" collapsed="false">
      <c r="A28" s="7" t="s">
        <v>40</v>
      </c>
      <c r="B28" s="7" t="n">
        <f aca="false">COUNTIF('Selection Ledger'!$N$4:$N$503,"*nullified*")</f>
        <v>0</v>
      </c>
      <c r="C28" s="7" t="n">
        <v>0</v>
      </c>
      <c r="D28" s="7" t="str">
        <f aca="false">IF(B28=C28,"PASS","FAIL")</f>
        <v>PASS</v>
      </c>
    </row>
    <row r="29" customFormat="false" ht="18" hidden="false" customHeight="false" outlineLevel="0" collapsed="false">
      <c r="A29" s="7" t="s">
        <v>41</v>
      </c>
      <c r="B29" s="7" t="n">
        <f aca="false">COUNTBLANK('Answer Key'!$B$5:$B$504)</f>
        <v>0</v>
      </c>
      <c r="C29" s="7" t="n">
        <v>0</v>
      </c>
      <c r="D29" s="7" t="str">
        <f aca="false">IF(B29=C29,"PASS","FAIL")</f>
        <v>PASS</v>
      </c>
    </row>
    <row r="30" customFormat="false" ht="18" hidden="false" customHeight="false" outlineLevel="0" collapsed="false">
      <c r="A30" s="7" t="s">
        <v>42</v>
      </c>
      <c r="B30" s="7" t="n">
        <f aca="false">SUMPRODUCT(--(COUNTIF('Selection Ledger'!$C$4:$C$503,'Selection Ledger'!$C$4:$C$503)&gt;1))</f>
        <v>0</v>
      </c>
      <c r="C30" s="7" t="n">
        <v>0</v>
      </c>
      <c r="D30" s="7" t="str">
        <f aca="false">IF(B30=C30,"PASS","FAIL")</f>
        <v>PASS</v>
      </c>
    </row>
    <row r="31" customFormat="false" ht="18" hidden="false" customHeight="false" outlineLevel="0" collapsed="false">
      <c r="A31" s="7" t="s">
        <v>43</v>
      </c>
      <c r="B31" s="7" t="n">
        <f aca="false">SUMPRODUCT(--(UPPER('Answer Key'!$B$5:$B$504)&lt;&gt;UPPER('Selection Ledger'!$P$4:$P$503)))</f>
        <v>0</v>
      </c>
      <c r="C31" s="7" t="n">
        <v>0</v>
      </c>
      <c r="D31" s="7" t="str">
        <f aca="false">IF(B31=C31,"PASS","FAIL")</f>
        <v>PASS</v>
      </c>
    </row>
    <row r="32" customFormat="false" ht="18" hidden="false" customHeight="false" outlineLevel="0" collapsed="false">
      <c r="A32" s="7" t="s">
        <v>44</v>
      </c>
      <c r="B32" s="7" t="n">
        <f aca="false">COUNTIFS('Selection Ledger'!$I$4:$I$503,"Named clinical-case section",'Selection Ledger'!$R$4:$R$503,"")</f>
        <v>0</v>
      </c>
      <c r="C32" s="7" t="n">
        <v>0</v>
      </c>
      <c r="D32" s="7" t="str">
        <f aca="false">IF(B32=C32,"PASS","FAIL")</f>
        <v>PASS</v>
      </c>
    </row>
  </sheetData>
  <mergeCells count="11">
    <mergeCell ref="A1:L1"/>
    <mergeCell ref="A2:L2"/>
    <mergeCell ref="A4:B4"/>
    <mergeCell ref="D4:E4"/>
    <mergeCell ref="G4:H4"/>
    <mergeCell ref="J4:K4"/>
    <mergeCell ref="A5:B6"/>
    <mergeCell ref="D5:E6"/>
    <mergeCell ref="G5:H6"/>
    <mergeCell ref="J5:K6"/>
    <mergeCell ref="A8:L8"/>
  </mergeCells>
  <conditionalFormatting sqref="D26:D32">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78"/>
    <pageSetUpPr fitToPage="true"/>
  </sheetPr>
  <dimension ref="A1:H32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2" topLeftCell="A3"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8" min="1" style="0" width="18"/>
  </cols>
  <sheetData>
    <row r="1" customFormat="false" ht="30" hidden="false" customHeight="true" outlineLevel="0" collapsed="false">
      <c r="A1" s="1" t="s">
        <v>45</v>
      </c>
      <c r="B1" s="1"/>
      <c r="C1" s="1"/>
      <c r="D1" s="1"/>
      <c r="E1" s="1"/>
      <c r="F1" s="1"/>
      <c r="G1" s="1"/>
      <c r="H1" s="1"/>
    </row>
    <row r="2" customFormat="false" ht="31.5" hidden="false" customHeight="true" outlineLevel="0" collapsed="false">
      <c r="A2" s="2" t="s">
        <v>46</v>
      </c>
      <c r="B2" s="2"/>
      <c r="C2" s="2"/>
      <c r="D2" s="2"/>
      <c r="E2" s="2"/>
      <c r="F2" s="2"/>
      <c r="G2" s="2"/>
      <c r="H2" s="2"/>
    </row>
    <row r="3" customFormat="false" ht="24" hidden="false" customHeight="true" outlineLevel="0" collapsed="false">
      <c r="A3" s="9" t="s">
        <v>47</v>
      </c>
      <c r="B3" s="9"/>
      <c r="C3" s="9"/>
      <c r="D3" s="9"/>
      <c r="E3" s="9"/>
      <c r="F3" s="9"/>
      <c r="G3" s="9"/>
      <c r="H3" s="9"/>
    </row>
    <row r="4" customFormat="false" ht="73.5" hidden="false" customHeight="true" outlineLevel="0" collapsed="false">
      <c r="A4" s="10" t="s">
        <v>48</v>
      </c>
      <c r="B4" s="10"/>
      <c r="C4" s="10"/>
      <c r="D4" s="10"/>
      <c r="E4" s="10"/>
      <c r="F4" s="10"/>
      <c r="G4" s="10"/>
      <c r="H4" s="10"/>
    </row>
    <row r="5" customFormat="false" ht="42" hidden="false" customHeight="true" outlineLevel="0" collapsed="false">
      <c r="A5" s="11" t="s">
        <v>49</v>
      </c>
      <c r="B5" s="11"/>
      <c r="C5" s="11"/>
      <c r="D5" s="11"/>
      <c r="E5" s="11"/>
      <c r="F5" s="11"/>
      <c r="G5" s="11"/>
      <c r="H5" s="11"/>
    </row>
    <row r="6" customFormat="false" ht="33.75" hidden="false" customHeight="true" outlineLevel="0" collapsed="false">
      <c r="A6" s="12" t="s">
        <v>50</v>
      </c>
      <c r="B6" s="12"/>
      <c r="C6" s="12"/>
      <c r="D6" s="12"/>
      <c r="E6" s="12" t="s">
        <v>51</v>
      </c>
      <c r="F6" s="12"/>
      <c r="G6" s="12"/>
      <c r="H6" s="12"/>
    </row>
    <row r="7" customFormat="false" ht="42" hidden="false" customHeight="true" outlineLevel="0" collapsed="false">
      <c r="A7" s="12" t="s">
        <v>52</v>
      </c>
      <c r="B7" s="12"/>
      <c r="C7" s="12"/>
      <c r="D7" s="12"/>
      <c r="E7" s="12" t="s">
        <v>53</v>
      </c>
      <c r="F7" s="12"/>
      <c r="G7" s="12"/>
      <c r="H7" s="12"/>
    </row>
    <row r="8" customFormat="false" ht="24" hidden="false" customHeight="true" outlineLevel="0" collapsed="false">
      <c r="A8" s="13" t="s">
        <v>54</v>
      </c>
      <c r="B8" s="13"/>
      <c r="C8" s="13"/>
      <c r="D8" s="13"/>
      <c r="E8" s="13"/>
      <c r="F8" s="13"/>
      <c r="G8" s="13"/>
      <c r="H8" s="13"/>
    </row>
    <row r="9" customFormat="false" ht="7.5" hidden="false" customHeight="true" outlineLevel="0" collapsed="false"/>
    <row r="10" customFormat="false" ht="24" hidden="false" customHeight="true" outlineLevel="0" collapsed="false">
      <c r="A10" s="9" t="s">
        <v>55</v>
      </c>
      <c r="B10" s="9"/>
      <c r="C10" s="9"/>
      <c r="D10" s="9"/>
      <c r="E10" s="9"/>
      <c r="F10" s="9"/>
      <c r="G10" s="9"/>
      <c r="H10" s="9"/>
    </row>
    <row r="11" customFormat="false" ht="42" hidden="false" customHeight="true" outlineLevel="0" collapsed="false">
      <c r="A11" s="10" t="s">
        <v>56</v>
      </c>
      <c r="B11" s="10"/>
      <c r="C11" s="10"/>
      <c r="D11" s="10"/>
      <c r="E11" s="10"/>
      <c r="F11" s="10"/>
      <c r="G11" s="10"/>
      <c r="H11" s="10"/>
    </row>
    <row r="12" customFormat="false" ht="42" hidden="false" customHeight="true" outlineLevel="0" collapsed="false">
      <c r="A12" s="11" t="s">
        <v>57</v>
      </c>
      <c r="B12" s="11"/>
      <c r="C12" s="11"/>
      <c r="D12" s="11"/>
      <c r="E12" s="11"/>
      <c r="F12" s="11"/>
      <c r="G12" s="11"/>
      <c r="H12" s="11"/>
    </row>
    <row r="13" customFormat="false" ht="42" hidden="false" customHeight="true" outlineLevel="0" collapsed="false">
      <c r="A13" s="12" t="s">
        <v>58</v>
      </c>
      <c r="B13" s="12"/>
      <c r="C13" s="12"/>
      <c r="D13" s="12"/>
      <c r="E13" s="12" t="s">
        <v>59</v>
      </c>
      <c r="F13" s="12"/>
      <c r="G13" s="12"/>
      <c r="H13" s="12"/>
    </row>
    <row r="14" customFormat="false" ht="42" hidden="false" customHeight="true" outlineLevel="0" collapsed="false">
      <c r="A14" s="12" t="s">
        <v>60</v>
      </c>
      <c r="B14" s="12"/>
      <c r="C14" s="12"/>
      <c r="D14" s="12"/>
      <c r="E14" s="12" t="s">
        <v>61</v>
      </c>
      <c r="F14" s="12"/>
      <c r="G14" s="12"/>
      <c r="H14" s="12"/>
    </row>
    <row r="15" customFormat="false" ht="24" hidden="false" customHeight="true" outlineLevel="0" collapsed="false">
      <c r="A15" s="13" t="s">
        <v>54</v>
      </c>
      <c r="B15" s="13"/>
      <c r="C15" s="13"/>
      <c r="D15" s="13"/>
      <c r="E15" s="13"/>
      <c r="F15" s="13"/>
      <c r="G15" s="13"/>
      <c r="H15" s="13"/>
    </row>
    <row r="16" customFormat="false" ht="7.5" hidden="false" customHeight="true" outlineLevel="0" collapsed="false"/>
    <row r="17" customFormat="false" ht="24" hidden="false" customHeight="true" outlineLevel="0" collapsed="false">
      <c r="A17" s="9" t="s">
        <v>62</v>
      </c>
      <c r="B17" s="9"/>
      <c r="C17" s="9"/>
      <c r="D17" s="9"/>
      <c r="E17" s="9"/>
      <c r="F17" s="9"/>
      <c r="G17" s="9"/>
      <c r="H17" s="9"/>
    </row>
    <row r="18" customFormat="false" ht="42" hidden="false" customHeight="true" outlineLevel="0" collapsed="false">
      <c r="A18" s="10" t="s">
        <v>56</v>
      </c>
      <c r="B18" s="10"/>
      <c r="C18" s="10"/>
      <c r="D18" s="10"/>
      <c r="E18" s="10"/>
      <c r="F18" s="10"/>
      <c r="G18" s="10"/>
      <c r="H18" s="10"/>
    </row>
    <row r="19" customFormat="false" ht="42" hidden="false" customHeight="true" outlineLevel="0" collapsed="false">
      <c r="A19" s="11" t="s">
        <v>63</v>
      </c>
      <c r="B19" s="11"/>
      <c r="C19" s="11"/>
      <c r="D19" s="11"/>
      <c r="E19" s="11"/>
      <c r="F19" s="11"/>
      <c r="G19" s="11"/>
      <c r="H19" s="11"/>
    </row>
    <row r="20" customFormat="false" ht="42" hidden="false" customHeight="true" outlineLevel="0" collapsed="false">
      <c r="A20" s="12" t="s">
        <v>64</v>
      </c>
      <c r="B20" s="12"/>
      <c r="C20" s="12"/>
      <c r="D20" s="12"/>
      <c r="E20" s="12" t="s">
        <v>65</v>
      </c>
      <c r="F20" s="12"/>
      <c r="G20" s="12"/>
      <c r="H20" s="12"/>
    </row>
    <row r="21" customFormat="false" ht="54.75" hidden="false" customHeight="true" outlineLevel="0" collapsed="false">
      <c r="A21" s="12" t="s">
        <v>66</v>
      </c>
      <c r="B21" s="12"/>
      <c r="C21" s="12"/>
      <c r="D21" s="12"/>
      <c r="E21" s="12" t="s">
        <v>67</v>
      </c>
      <c r="F21" s="12"/>
      <c r="G21" s="12"/>
      <c r="H21" s="12"/>
    </row>
    <row r="22" customFormat="false" ht="24" hidden="false" customHeight="true" outlineLevel="0" collapsed="false">
      <c r="A22" s="13" t="s">
        <v>54</v>
      </c>
      <c r="B22" s="13"/>
      <c r="C22" s="13"/>
      <c r="D22" s="13"/>
      <c r="E22" s="13"/>
      <c r="F22" s="13"/>
      <c r="G22" s="13"/>
      <c r="H22" s="13"/>
    </row>
    <row r="23" customFormat="false" ht="7.5" hidden="false" customHeight="true" outlineLevel="0" collapsed="false"/>
    <row r="24" customFormat="false" ht="24" hidden="false" customHeight="true" outlineLevel="0" collapsed="false">
      <c r="A24" s="9" t="s">
        <v>68</v>
      </c>
      <c r="B24" s="9"/>
      <c r="C24" s="9"/>
      <c r="D24" s="9"/>
      <c r="E24" s="9"/>
      <c r="F24" s="9"/>
      <c r="G24" s="9"/>
      <c r="H24" s="9"/>
    </row>
    <row r="25" customFormat="false" ht="42" hidden="false" customHeight="true" outlineLevel="0" collapsed="false">
      <c r="A25" s="10" t="s">
        <v>56</v>
      </c>
      <c r="B25" s="10"/>
      <c r="C25" s="10"/>
      <c r="D25" s="10"/>
      <c r="E25" s="10"/>
      <c r="F25" s="10"/>
      <c r="G25" s="10"/>
      <c r="H25" s="10"/>
    </row>
    <row r="26" customFormat="false" ht="42" hidden="false" customHeight="true" outlineLevel="0" collapsed="false">
      <c r="A26" s="11" t="s">
        <v>69</v>
      </c>
      <c r="B26" s="11"/>
      <c r="C26" s="11"/>
      <c r="D26" s="11"/>
      <c r="E26" s="11"/>
      <c r="F26" s="11"/>
      <c r="G26" s="11"/>
      <c r="H26" s="11"/>
    </row>
    <row r="27" customFormat="false" ht="42" hidden="false" customHeight="true" outlineLevel="0" collapsed="false">
      <c r="A27" s="12" t="s">
        <v>70</v>
      </c>
      <c r="B27" s="12"/>
      <c r="C27" s="12"/>
      <c r="D27" s="12"/>
      <c r="E27" s="12" t="s">
        <v>71</v>
      </c>
      <c r="F27" s="12"/>
      <c r="G27" s="12"/>
      <c r="H27" s="12"/>
    </row>
    <row r="28" customFormat="false" ht="42" hidden="false" customHeight="true" outlineLevel="0" collapsed="false">
      <c r="A28" s="12" t="s">
        <v>72</v>
      </c>
      <c r="B28" s="12"/>
      <c r="C28" s="12"/>
      <c r="D28" s="12"/>
      <c r="E28" s="12" t="s">
        <v>73</v>
      </c>
      <c r="F28" s="12"/>
      <c r="G28" s="12"/>
      <c r="H28" s="12"/>
    </row>
    <row r="29" customFormat="false" ht="24" hidden="false" customHeight="true" outlineLevel="0" collapsed="false">
      <c r="A29" s="13" t="s">
        <v>74</v>
      </c>
      <c r="B29" s="13"/>
      <c r="C29" s="13"/>
      <c r="D29" s="13"/>
      <c r="E29" s="13"/>
      <c r="F29" s="13"/>
      <c r="G29" s="13"/>
      <c r="H29" s="13"/>
    </row>
    <row r="30" customFormat="false" ht="7.5" hidden="false" customHeight="true" outlineLevel="0" collapsed="false"/>
    <row r="31" customFormat="false" ht="24" hidden="false" customHeight="true" outlineLevel="0" collapsed="false">
      <c r="A31" s="9" t="s">
        <v>75</v>
      </c>
      <c r="B31" s="9"/>
      <c r="C31" s="9"/>
      <c r="D31" s="9"/>
      <c r="E31" s="9"/>
      <c r="F31" s="9"/>
      <c r="G31" s="9"/>
      <c r="H31" s="9"/>
    </row>
    <row r="32" customFormat="false" ht="42" hidden="false" customHeight="true" outlineLevel="0" collapsed="false">
      <c r="A32" s="10" t="s">
        <v>56</v>
      </c>
      <c r="B32" s="10"/>
      <c r="C32" s="10"/>
      <c r="D32" s="10"/>
      <c r="E32" s="10"/>
      <c r="F32" s="10"/>
      <c r="G32" s="10"/>
      <c r="H32" s="10"/>
    </row>
    <row r="33" customFormat="false" ht="45.75" hidden="false" customHeight="true" outlineLevel="0" collapsed="false">
      <c r="A33" s="11" t="s">
        <v>76</v>
      </c>
      <c r="B33" s="11"/>
      <c r="C33" s="11"/>
      <c r="D33" s="11"/>
      <c r="E33" s="11"/>
      <c r="F33" s="11"/>
      <c r="G33" s="11"/>
      <c r="H33" s="11"/>
    </row>
    <row r="34" customFormat="false" ht="42" hidden="false" customHeight="true" outlineLevel="0" collapsed="false">
      <c r="A34" s="12" t="s">
        <v>77</v>
      </c>
      <c r="B34" s="12"/>
      <c r="C34" s="12"/>
      <c r="D34" s="12"/>
      <c r="E34" s="12" t="s">
        <v>78</v>
      </c>
      <c r="F34" s="12"/>
      <c r="G34" s="12"/>
      <c r="H34" s="12"/>
    </row>
    <row r="35" customFormat="false" ht="42" hidden="false" customHeight="true" outlineLevel="0" collapsed="false">
      <c r="A35" s="12" t="s">
        <v>79</v>
      </c>
      <c r="B35" s="12"/>
      <c r="C35" s="12"/>
      <c r="D35" s="12"/>
      <c r="E35" s="12" t="s">
        <v>80</v>
      </c>
      <c r="F35" s="12"/>
      <c r="G35" s="12"/>
      <c r="H35" s="12"/>
    </row>
    <row r="36" customFormat="false" ht="24" hidden="false" customHeight="true" outlineLevel="0" collapsed="false">
      <c r="A36" s="13" t="s">
        <v>74</v>
      </c>
      <c r="B36" s="13"/>
      <c r="C36" s="13"/>
      <c r="D36" s="13"/>
      <c r="E36" s="13"/>
      <c r="F36" s="13"/>
      <c r="G36" s="13"/>
      <c r="H36" s="13"/>
    </row>
    <row r="37" customFormat="false" ht="7.5" hidden="false" customHeight="true" outlineLevel="0" collapsed="false"/>
    <row r="38" customFormat="false" ht="24" hidden="false" customHeight="true" outlineLevel="0" collapsed="false">
      <c r="A38" s="9" t="s">
        <v>81</v>
      </c>
      <c r="B38" s="9"/>
      <c r="C38" s="9"/>
      <c r="D38" s="9"/>
      <c r="E38" s="9"/>
      <c r="F38" s="9"/>
      <c r="G38" s="9"/>
      <c r="H38" s="9"/>
    </row>
    <row r="39" customFormat="false" ht="42" hidden="false" customHeight="true" outlineLevel="0" collapsed="false">
      <c r="A39" s="10" t="s">
        <v>56</v>
      </c>
      <c r="B39" s="10"/>
      <c r="C39" s="10"/>
      <c r="D39" s="10"/>
      <c r="E39" s="10"/>
      <c r="F39" s="10"/>
      <c r="G39" s="10"/>
      <c r="H39" s="10"/>
    </row>
    <row r="40" customFormat="false" ht="45.75" hidden="false" customHeight="true" outlineLevel="0" collapsed="false">
      <c r="A40" s="11" t="s">
        <v>82</v>
      </c>
      <c r="B40" s="11"/>
      <c r="C40" s="11"/>
      <c r="D40" s="11"/>
      <c r="E40" s="11"/>
      <c r="F40" s="11"/>
      <c r="G40" s="11"/>
      <c r="H40" s="11"/>
    </row>
    <row r="41" customFormat="false" ht="42" hidden="false" customHeight="true" outlineLevel="0" collapsed="false">
      <c r="A41" s="12" t="s">
        <v>83</v>
      </c>
      <c r="B41" s="12"/>
      <c r="C41" s="12"/>
      <c r="D41" s="12"/>
      <c r="E41" s="12" t="s">
        <v>84</v>
      </c>
      <c r="F41" s="12"/>
      <c r="G41" s="12"/>
      <c r="H41" s="12"/>
    </row>
    <row r="42" customFormat="false" ht="42" hidden="false" customHeight="true" outlineLevel="0" collapsed="false">
      <c r="A42" s="12" t="s">
        <v>85</v>
      </c>
      <c r="B42" s="12"/>
      <c r="C42" s="12"/>
      <c r="D42" s="12"/>
      <c r="E42" s="12" t="s">
        <v>86</v>
      </c>
      <c r="F42" s="12"/>
      <c r="G42" s="12"/>
      <c r="H42" s="12"/>
    </row>
    <row r="43" customFormat="false" ht="24" hidden="false" customHeight="true" outlineLevel="0" collapsed="false">
      <c r="A43" s="13" t="s">
        <v>74</v>
      </c>
      <c r="B43" s="13"/>
      <c r="C43" s="13"/>
      <c r="D43" s="13"/>
      <c r="E43" s="13"/>
      <c r="F43" s="13"/>
      <c r="G43" s="13"/>
      <c r="H43" s="13"/>
    </row>
    <row r="44" customFormat="false" ht="7.5" hidden="false" customHeight="true" outlineLevel="0" collapsed="false"/>
    <row r="45" customFormat="false" ht="24" hidden="false" customHeight="true" outlineLevel="0" collapsed="false">
      <c r="A45" s="9" t="s">
        <v>87</v>
      </c>
      <c r="B45" s="9"/>
      <c r="C45" s="9"/>
      <c r="D45" s="9"/>
      <c r="E45" s="9"/>
      <c r="F45" s="9"/>
      <c r="G45" s="9"/>
      <c r="H45" s="9"/>
    </row>
    <row r="46" customFormat="false" ht="42" hidden="false" customHeight="true" outlineLevel="0" collapsed="false">
      <c r="A46" s="10" t="s">
        <v>56</v>
      </c>
      <c r="B46" s="10"/>
      <c r="C46" s="10"/>
      <c r="D46" s="10"/>
      <c r="E46" s="10"/>
      <c r="F46" s="10"/>
      <c r="G46" s="10"/>
      <c r="H46" s="10"/>
    </row>
    <row r="47" customFormat="false" ht="42" hidden="false" customHeight="true" outlineLevel="0" collapsed="false">
      <c r="A47" s="11" t="s">
        <v>88</v>
      </c>
      <c r="B47" s="11"/>
      <c r="C47" s="11"/>
      <c r="D47" s="11"/>
      <c r="E47" s="11"/>
      <c r="F47" s="11"/>
      <c r="G47" s="11"/>
      <c r="H47" s="11"/>
    </row>
    <row r="48" customFormat="false" ht="54.75" hidden="false" customHeight="true" outlineLevel="0" collapsed="false">
      <c r="A48" s="12" t="s">
        <v>89</v>
      </c>
      <c r="B48" s="12"/>
      <c r="C48" s="12"/>
      <c r="D48" s="12"/>
      <c r="E48" s="12" t="s">
        <v>90</v>
      </c>
      <c r="F48" s="12"/>
      <c r="G48" s="12"/>
      <c r="H48" s="12"/>
    </row>
    <row r="49" customFormat="false" ht="54.75" hidden="false" customHeight="true" outlineLevel="0" collapsed="false">
      <c r="A49" s="12" t="s">
        <v>91</v>
      </c>
      <c r="B49" s="12"/>
      <c r="C49" s="12"/>
      <c r="D49" s="12"/>
      <c r="E49" s="12" t="s">
        <v>92</v>
      </c>
      <c r="F49" s="12"/>
      <c r="G49" s="12"/>
      <c r="H49" s="12"/>
    </row>
    <row r="50" customFormat="false" ht="24" hidden="false" customHeight="true" outlineLevel="0" collapsed="false">
      <c r="A50" s="13" t="s">
        <v>93</v>
      </c>
      <c r="B50" s="13"/>
      <c r="C50" s="13"/>
      <c r="D50" s="13"/>
      <c r="E50" s="13"/>
      <c r="F50" s="13"/>
      <c r="G50" s="13"/>
      <c r="H50" s="13"/>
    </row>
    <row r="51" customFormat="false" ht="7.5" hidden="false" customHeight="true" outlineLevel="0" collapsed="false"/>
    <row r="52" customFormat="false" ht="24" hidden="false" customHeight="true" outlineLevel="0" collapsed="false">
      <c r="A52" s="9" t="s">
        <v>94</v>
      </c>
      <c r="B52" s="9"/>
      <c r="C52" s="9"/>
      <c r="D52" s="9"/>
      <c r="E52" s="9"/>
      <c r="F52" s="9"/>
      <c r="G52" s="9"/>
      <c r="H52" s="9"/>
    </row>
    <row r="53" customFormat="false" ht="42" hidden="false" customHeight="true" outlineLevel="0" collapsed="false">
      <c r="A53" s="10" t="s">
        <v>56</v>
      </c>
      <c r="B53" s="10"/>
      <c r="C53" s="10"/>
      <c r="D53" s="10"/>
      <c r="E53" s="10"/>
      <c r="F53" s="10"/>
      <c r="G53" s="10"/>
      <c r="H53" s="10"/>
    </row>
    <row r="54" customFormat="false" ht="60" hidden="false" customHeight="true" outlineLevel="0" collapsed="false">
      <c r="A54" s="11" t="s">
        <v>95</v>
      </c>
      <c r="B54" s="11"/>
      <c r="C54" s="11"/>
      <c r="D54" s="11"/>
      <c r="E54" s="11"/>
      <c r="F54" s="11"/>
      <c r="G54" s="11"/>
      <c r="H54" s="11"/>
    </row>
    <row r="55" customFormat="false" ht="54.75" hidden="false" customHeight="true" outlineLevel="0" collapsed="false">
      <c r="A55" s="12" t="s">
        <v>96</v>
      </c>
      <c r="B55" s="12"/>
      <c r="C55" s="12"/>
      <c r="D55" s="12"/>
      <c r="E55" s="12" t="s">
        <v>97</v>
      </c>
      <c r="F55" s="12"/>
      <c r="G55" s="12"/>
      <c r="H55" s="12"/>
    </row>
    <row r="56" customFormat="false" ht="54.75" hidden="false" customHeight="true" outlineLevel="0" collapsed="false">
      <c r="A56" s="12" t="s">
        <v>98</v>
      </c>
      <c r="B56" s="12"/>
      <c r="C56" s="12"/>
      <c r="D56" s="12"/>
      <c r="E56" s="12" t="s">
        <v>99</v>
      </c>
      <c r="F56" s="12"/>
      <c r="G56" s="12"/>
      <c r="H56" s="12"/>
    </row>
    <row r="57" customFormat="false" ht="24" hidden="false" customHeight="true" outlineLevel="0" collapsed="false">
      <c r="A57" s="13" t="s">
        <v>93</v>
      </c>
      <c r="B57" s="13"/>
      <c r="C57" s="13"/>
      <c r="D57" s="13"/>
      <c r="E57" s="13"/>
      <c r="F57" s="13"/>
      <c r="G57" s="13"/>
      <c r="H57" s="13"/>
    </row>
    <row r="58" customFormat="false" ht="7.5" hidden="false" customHeight="true" outlineLevel="0" collapsed="false"/>
    <row r="59" customFormat="false" ht="24" hidden="false" customHeight="true" outlineLevel="0" collapsed="false">
      <c r="A59" s="9" t="s">
        <v>100</v>
      </c>
      <c r="B59" s="9"/>
      <c r="C59" s="9"/>
      <c r="D59" s="9"/>
      <c r="E59" s="9"/>
      <c r="F59" s="9"/>
      <c r="G59" s="9"/>
      <c r="H59" s="9"/>
    </row>
    <row r="60" customFormat="false" ht="42" hidden="false" customHeight="true" outlineLevel="0" collapsed="false">
      <c r="A60" s="10" t="s">
        <v>56</v>
      </c>
      <c r="B60" s="10"/>
      <c r="C60" s="10"/>
      <c r="D60" s="10"/>
      <c r="E60" s="10"/>
      <c r="F60" s="10"/>
      <c r="G60" s="10"/>
      <c r="H60" s="10"/>
    </row>
    <row r="61" customFormat="false" ht="87.75" hidden="false" customHeight="true" outlineLevel="0" collapsed="false">
      <c r="A61" s="11" t="s">
        <v>101</v>
      </c>
      <c r="B61" s="11"/>
      <c r="C61" s="11"/>
      <c r="D61" s="11"/>
      <c r="E61" s="11"/>
      <c r="F61" s="11"/>
      <c r="G61" s="11"/>
      <c r="H61" s="11"/>
    </row>
    <row r="62" customFormat="false" ht="42" hidden="false" customHeight="true" outlineLevel="0" collapsed="false">
      <c r="A62" s="12" t="s">
        <v>102</v>
      </c>
      <c r="B62" s="12"/>
      <c r="C62" s="12"/>
      <c r="D62" s="12"/>
      <c r="E62" s="12" t="s">
        <v>103</v>
      </c>
      <c r="F62" s="12"/>
      <c r="G62" s="12"/>
      <c r="H62" s="12"/>
    </row>
    <row r="63" customFormat="false" ht="54.75" hidden="false" customHeight="true" outlineLevel="0" collapsed="false">
      <c r="A63" s="12" t="s">
        <v>104</v>
      </c>
      <c r="B63" s="12"/>
      <c r="C63" s="12"/>
      <c r="D63" s="12"/>
      <c r="E63" s="12" t="s">
        <v>105</v>
      </c>
      <c r="F63" s="12"/>
      <c r="G63" s="12"/>
      <c r="H63" s="12"/>
    </row>
    <row r="64" customFormat="false" ht="24" hidden="false" customHeight="true" outlineLevel="0" collapsed="false">
      <c r="A64" s="13" t="s">
        <v>106</v>
      </c>
      <c r="B64" s="13"/>
      <c r="C64" s="13"/>
      <c r="D64" s="13"/>
      <c r="E64" s="13"/>
      <c r="F64" s="13"/>
      <c r="G64" s="13"/>
      <c r="H64" s="13"/>
    </row>
    <row r="65" customFormat="false" ht="7.5" hidden="false" customHeight="true" outlineLevel="0" collapsed="false"/>
    <row r="66" customFormat="false" ht="24" hidden="false" customHeight="true" outlineLevel="0" collapsed="false">
      <c r="A66" s="9" t="s">
        <v>107</v>
      </c>
      <c r="B66" s="9"/>
      <c r="C66" s="9"/>
      <c r="D66" s="9"/>
      <c r="E66" s="9"/>
      <c r="F66" s="9"/>
      <c r="G66" s="9"/>
      <c r="H66" s="9"/>
    </row>
    <row r="67" customFormat="false" ht="42" hidden="false" customHeight="true" outlineLevel="0" collapsed="false">
      <c r="A67" s="10" t="s">
        <v>56</v>
      </c>
      <c r="B67" s="10"/>
      <c r="C67" s="10"/>
      <c r="D67" s="10"/>
      <c r="E67" s="10"/>
      <c r="F67" s="10"/>
      <c r="G67" s="10"/>
      <c r="H67" s="10"/>
    </row>
    <row r="68" customFormat="false" ht="42" hidden="false" customHeight="true" outlineLevel="0" collapsed="false">
      <c r="A68" s="11" t="s">
        <v>108</v>
      </c>
      <c r="B68" s="11"/>
      <c r="C68" s="11"/>
      <c r="D68" s="11"/>
      <c r="E68" s="11"/>
      <c r="F68" s="11"/>
      <c r="G68" s="11"/>
      <c r="H68" s="11"/>
    </row>
    <row r="69" customFormat="false" ht="42" hidden="false" customHeight="true" outlineLevel="0" collapsed="false">
      <c r="A69" s="12" t="s">
        <v>109</v>
      </c>
      <c r="B69" s="12"/>
      <c r="C69" s="12"/>
      <c r="D69" s="12"/>
      <c r="E69" s="12" t="s">
        <v>110</v>
      </c>
      <c r="F69" s="12"/>
      <c r="G69" s="12"/>
      <c r="H69" s="12"/>
    </row>
    <row r="70" customFormat="false" ht="42" hidden="false" customHeight="true" outlineLevel="0" collapsed="false">
      <c r="A70" s="12" t="s">
        <v>111</v>
      </c>
      <c r="B70" s="12"/>
      <c r="C70" s="12"/>
      <c r="D70" s="12"/>
      <c r="E70" s="12" t="s">
        <v>112</v>
      </c>
      <c r="F70" s="12"/>
      <c r="G70" s="12"/>
      <c r="H70" s="12"/>
    </row>
    <row r="71" customFormat="false" ht="24" hidden="false" customHeight="true" outlineLevel="0" collapsed="false">
      <c r="A71" s="13" t="s">
        <v>106</v>
      </c>
      <c r="B71" s="13"/>
      <c r="C71" s="13"/>
      <c r="D71" s="13"/>
      <c r="E71" s="13"/>
      <c r="F71" s="13"/>
      <c r="G71" s="13"/>
      <c r="H71" s="13"/>
    </row>
    <row r="72" customFormat="false" ht="7.5" hidden="false" customHeight="true" outlineLevel="0" collapsed="false"/>
    <row r="73" customFormat="false" ht="24" hidden="false" customHeight="true" outlineLevel="0" collapsed="false">
      <c r="A73" s="9" t="s">
        <v>113</v>
      </c>
      <c r="B73" s="9"/>
      <c r="C73" s="9"/>
      <c r="D73" s="9"/>
      <c r="E73" s="9"/>
      <c r="F73" s="9"/>
      <c r="G73" s="9"/>
      <c r="H73" s="9"/>
    </row>
    <row r="74" customFormat="false" ht="42" hidden="false" customHeight="true" outlineLevel="0" collapsed="false">
      <c r="A74" s="10" t="s">
        <v>56</v>
      </c>
      <c r="B74" s="10"/>
      <c r="C74" s="10"/>
      <c r="D74" s="10"/>
      <c r="E74" s="10"/>
      <c r="F74" s="10"/>
      <c r="G74" s="10"/>
      <c r="H74" s="10"/>
    </row>
    <row r="75" customFormat="false" ht="45.75" hidden="false" customHeight="true" outlineLevel="0" collapsed="false">
      <c r="A75" s="11" t="s">
        <v>114</v>
      </c>
      <c r="B75" s="11"/>
      <c r="C75" s="11"/>
      <c r="D75" s="11"/>
      <c r="E75" s="11"/>
      <c r="F75" s="11"/>
      <c r="G75" s="11"/>
      <c r="H75" s="11"/>
    </row>
    <row r="76" customFormat="false" ht="42" hidden="false" customHeight="true" outlineLevel="0" collapsed="false">
      <c r="A76" s="12" t="s">
        <v>115</v>
      </c>
      <c r="B76" s="12"/>
      <c r="C76" s="12"/>
      <c r="D76" s="12"/>
      <c r="E76" s="12" t="s">
        <v>116</v>
      </c>
      <c r="F76" s="12"/>
      <c r="G76" s="12"/>
      <c r="H76" s="12"/>
    </row>
    <row r="77" customFormat="false" ht="42" hidden="false" customHeight="true" outlineLevel="0" collapsed="false">
      <c r="A77" s="12" t="s">
        <v>117</v>
      </c>
      <c r="B77" s="12"/>
      <c r="C77" s="12"/>
      <c r="D77" s="12"/>
      <c r="E77" s="12" t="s">
        <v>118</v>
      </c>
      <c r="F77" s="12"/>
      <c r="G77" s="12"/>
      <c r="H77" s="12"/>
    </row>
    <row r="78" customFormat="false" ht="24" hidden="false" customHeight="true" outlineLevel="0" collapsed="false">
      <c r="A78" s="13" t="s">
        <v>106</v>
      </c>
      <c r="B78" s="13"/>
      <c r="C78" s="13"/>
      <c r="D78" s="13"/>
      <c r="E78" s="13"/>
      <c r="F78" s="13"/>
      <c r="G78" s="13"/>
      <c r="H78" s="13"/>
    </row>
    <row r="79" customFormat="false" ht="7.5" hidden="false" customHeight="true" outlineLevel="0" collapsed="false"/>
    <row r="80" customFormat="false" ht="24" hidden="false" customHeight="true" outlineLevel="0" collapsed="false">
      <c r="A80" s="9" t="s">
        <v>119</v>
      </c>
      <c r="B80" s="9"/>
      <c r="C80" s="9"/>
      <c r="D80" s="9"/>
      <c r="E80" s="9"/>
      <c r="F80" s="9"/>
      <c r="G80" s="9"/>
      <c r="H80" s="9"/>
    </row>
    <row r="81" customFormat="false" ht="42" hidden="false" customHeight="true" outlineLevel="0" collapsed="false">
      <c r="A81" s="10" t="s">
        <v>56</v>
      </c>
      <c r="B81" s="10"/>
      <c r="C81" s="10"/>
      <c r="D81" s="10"/>
      <c r="E81" s="10"/>
      <c r="F81" s="10"/>
      <c r="G81" s="10"/>
      <c r="H81" s="10"/>
    </row>
    <row r="82" customFormat="false" ht="45.75" hidden="false" customHeight="true" outlineLevel="0" collapsed="false">
      <c r="A82" s="11" t="s">
        <v>120</v>
      </c>
      <c r="B82" s="11"/>
      <c r="C82" s="11"/>
      <c r="D82" s="11"/>
      <c r="E82" s="11"/>
      <c r="F82" s="11"/>
      <c r="G82" s="11"/>
      <c r="H82" s="11"/>
    </row>
    <row r="83" customFormat="false" ht="42" hidden="false" customHeight="true" outlineLevel="0" collapsed="false">
      <c r="A83" s="12" t="s">
        <v>121</v>
      </c>
      <c r="B83" s="12"/>
      <c r="C83" s="12"/>
      <c r="D83" s="12"/>
      <c r="E83" s="12" t="s">
        <v>122</v>
      </c>
      <c r="F83" s="12"/>
      <c r="G83" s="12"/>
      <c r="H83" s="12"/>
    </row>
    <row r="84" customFormat="false" ht="42" hidden="false" customHeight="true" outlineLevel="0" collapsed="false">
      <c r="A84" s="12" t="s">
        <v>123</v>
      </c>
      <c r="B84" s="12"/>
      <c r="C84" s="12"/>
      <c r="D84" s="12"/>
      <c r="E84" s="12" t="s">
        <v>124</v>
      </c>
      <c r="F84" s="12"/>
      <c r="G84" s="12"/>
      <c r="H84" s="12"/>
    </row>
    <row r="85" customFormat="false" ht="24" hidden="false" customHeight="true" outlineLevel="0" collapsed="false">
      <c r="A85" s="13" t="s">
        <v>125</v>
      </c>
      <c r="B85" s="13"/>
      <c r="C85" s="13"/>
      <c r="D85" s="13"/>
      <c r="E85" s="13"/>
      <c r="F85" s="13"/>
      <c r="G85" s="13"/>
      <c r="H85" s="13"/>
    </row>
    <row r="86" customFormat="false" ht="7.5" hidden="false" customHeight="true" outlineLevel="0" collapsed="false"/>
    <row r="87" customFormat="false" ht="24" hidden="false" customHeight="true" outlineLevel="0" collapsed="false">
      <c r="A87" s="9" t="s">
        <v>126</v>
      </c>
      <c r="B87" s="9"/>
      <c r="C87" s="9"/>
      <c r="D87" s="9"/>
      <c r="E87" s="9"/>
      <c r="F87" s="9"/>
      <c r="G87" s="9"/>
      <c r="H87" s="9"/>
    </row>
    <row r="88" customFormat="false" ht="42" hidden="false" customHeight="true" outlineLevel="0" collapsed="false">
      <c r="A88" s="10" t="s">
        <v>56</v>
      </c>
      <c r="B88" s="10"/>
      <c r="C88" s="10"/>
      <c r="D88" s="10"/>
      <c r="E88" s="10"/>
      <c r="F88" s="10"/>
      <c r="G88" s="10"/>
      <c r="H88" s="10"/>
    </row>
    <row r="89" customFormat="false" ht="60" hidden="false" customHeight="true" outlineLevel="0" collapsed="false">
      <c r="A89" s="11" t="s">
        <v>127</v>
      </c>
      <c r="B89" s="11"/>
      <c r="C89" s="11"/>
      <c r="D89" s="11"/>
      <c r="E89" s="11"/>
      <c r="F89" s="11"/>
      <c r="G89" s="11"/>
      <c r="H89" s="11"/>
    </row>
    <row r="90" customFormat="false" ht="33.75" hidden="false" customHeight="true" outlineLevel="0" collapsed="false">
      <c r="A90" s="12" t="s">
        <v>128</v>
      </c>
      <c r="B90" s="12"/>
      <c r="C90" s="12"/>
      <c r="D90" s="12"/>
      <c r="E90" s="12" t="s">
        <v>129</v>
      </c>
      <c r="F90" s="12"/>
      <c r="G90" s="12"/>
      <c r="H90" s="12"/>
    </row>
    <row r="91" customFormat="false" ht="33.75" hidden="false" customHeight="true" outlineLevel="0" collapsed="false">
      <c r="A91" s="12" t="s">
        <v>130</v>
      </c>
      <c r="B91" s="12"/>
      <c r="C91" s="12"/>
      <c r="D91" s="12"/>
      <c r="E91" s="12" t="s">
        <v>131</v>
      </c>
      <c r="F91" s="12"/>
      <c r="G91" s="12"/>
      <c r="H91" s="12"/>
    </row>
    <row r="92" customFormat="false" ht="24" hidden="false" customHeight="true" outlineLevel="0" collapsed="false">
      <c r="A92" s="13" t="s">
        <v>125</v>
      </c>
      <c r="B92" s="13"/>
      <c r="C92" s="13"/>
      <c r="D92" s="13"/>
      <c r="E92" s="13"/>
      <c r="F92" s="13"/>
      <c r="G92" s="13"/>
      <c r="H92" s="13"/>
    </row>
    <row r="93" customFormat="false" ht="7.5" hidden="false" customHeight="true" outlineLevel="0" collapsed="false"/>
    <row r="94" customFormat="false" ht="24" hidden="false" customHeight="true" outlineLevel="0" collapsed="false">
      <c r="A94" s="9" t="s">
        <v>132</v>
      </c>
      <c r="B94" s="9"/>
      <c r="C94" s="9"/>
      <c r="D94" s="9"/>
      <c r="E94" s="9"/>
      <c r="F94" s="9"/>
      <c r="G94" s="9"/>
      <c r="H94" s="9"/>
    </row>
    <row r="95" customFormat="false" ht="42" hidden="false" customHeight="true" outlineLevel="0" collapsed="false">
      <c r="A95" s="10" t="s">
        <v>56</v>
      </c>
      <c r="B95" s="10"/>
      <c r="C95" s="10"/>
      <c r="D95" s="10"/>
      <c r="E95" s="10"/>
      <c r="F95" s="10"/>
      <c r="G95" s="10"/>
      <c r="H95" s="10"/>
    </row>
    <row r="96" customFormat="false" ht="42" hidden="false" customHeight="true" outlineLevel="0" collapsed="false">
      <c r="A96" s="11" t="s">
        <v>133</v>
      </c>
      <c r="B96" s="11"/>
      <c r="C96" s="11"/>
      <c r="D96" s="11"/>
      <c r="E96" s="11"/>
      <c r="F96" s="11"/>
      <c r="G96" s="11"/>
      <c r="H96" s="11"/>
    </row>
    <row r="97" customFormat="false" ht="42" hidden="false" customHeight="true" outlineLevel="0" collapsed="false">
      <c r="A97" s="12" t="s">
        <v>134</v>
      </c>
      <c r="B97" s="12"/>
      <c r="C97" s="12"/>
      <c r="D97" s="12"/>
      <c r="E97" s="12" t="s">
        <v>135</v>
      </c>
      <c r="F97" s="12"/>
      <c r="G97" s="12"/>
      <c r="H97" s="12"/>
    </row>
    <row r="98" customFormat="false" ht="42" hidden="false" customHeight="true" outlineLevel="0" collapsed="false">
      <c r="A98" s="12" t="s">
        <v>136</v>
      </c>
      <c r="B98" s="12"/>
      <c r="C98" s="12"/>
      <c r="D98" s="12"/>
      <c r="E98" s="12" t="s">
        <v>137</v>
      </c>
      <c r="F98" s="12"/>
      <c r="G98" s="12"/>
      <c r="H98" s="12"/>
    </row>
    <row r="99" customFormat="false" ht="24" hidden="false" customHeight="true" outlineLevel="0" collapsed="false">
      <c r="A99" s="13" t="s">
        <v>138</v>
      </c>
      <c r="B99" s="13"/>
      <c r="C99" s="13"/>
      <c r="D99" s="13"/>
      <c r="E99" s="13"/>
      <c r="F99" s="13"/>
      <c r="G99" s="13"/>
      <c r="H99" s="13"/>
    </row>
    <row r="100" customFormat="false" ht="7.5" hidden="false" customHeight="true" outlineLevel="0" collapsed="false"/>
    <row r="101" customFormat="false" ht="24" hidden="false" customHeight="true" outlineLevel="0" collapsed="false">
      <c r="A101" s="9" t="s">
        <v>139</v>
      </c>
      <c r="B101" s="9"/>
      <c r="C101" s="9"/>
      <c r="D101" s="9"/>
      <c r="E101" s="9"/>
      <c r="F101" s="9"/>
      <c r="G101" s="9"/>
      <c r="H101" s="9"/>
    </row>
    <row r="102" customFormat="false" ht="42" hidden="false" customHeight="true" outlineLevel="0" collapsed="false">
      <c r="A102" s="10" t="s">
        <v>56</v>
      </c>
      <c r="B102" s="10"/>
      <c r="C102" s="10"/>
      <c r="D102" s="10"/>
      <c r="E102" s="10"/>
      <c r="F102" s="10"/>
      <c r="G102" s="10"/>
      <c r="H102" s="10"/>
    </row>
    <row r="103" customFormat="false" ht="73.5" hidden="false" customHeight="true" outlineLevel="0" collapsed="false">
      <c r="A103" s="11" t="s">
        <v>140</v>
      </c>
      <c r="B103" s="11"/>
      <c r="C103" s="11"/>
      <c r="D103" s="11"/>
      <c r="E103" s="11"/>
      <c r="F103" s="11"/>
      <c r="G103" s="11"/>
      <c r="H103" s="11"/>
    </row>
    <row r="104" customFormat="false" ht="42" hidden="false" customHeight="true" outlineLevel="0" collapsed="false">
      <c r="A104" s="12" t="s">
        <v>141</v>
      </c>
      <c r="B104" s="12"/>
      <c r="C104" s="12"/>
      <c r="D104" s="12"/>
      <c r="E104" s="12" t="s">
        <v>142</v>
      </c>
      <c r="F104" s="12"/>
      <c r="G104" s="12"/>
      <c r="H104" s="12"/>
    </row>
    <row r="105" customFormat="false" ht="42" hidden="false" customHeight="true" outlineLevel="0" collapsed="false">
      <c r="A105" s="12" t="s">
        <v>143</v>
      </c>
      <c r="B105" s="12"/>
      <c r="C105" s="12"/>
      <c r="D105" s="12"/>
      <c r="E105" s="12" t="s">
        <v>144</v>
      </c>
      <c r="F105" s="12"/>
      <c r="G105" s="12"/>
      <c r="H105" s="12"/>
    </row>
    <row r="106" customFormat="false" ht="24" hidden="false" customHeight="true" outlineLevel="0" collapsed="false">
      <c r="A106" s="13" t="s">
        <v>138</v>
      </c>
      <c r="B106" s="13"/>
      <c r="C106" s="13"/>
      <c r="D106" s="13"/>
      <c r="E106" s="13"/>
      <c r="F106" s="13"/>
      <c r="G106" s="13"/>
      <c r="H106" s="13"/>
    </row>
    <row r="107" customFormat="false" ht="7.5" hidden="false" customHeight="true" outlineLevel="0" collapsed="false"/>
    <row r="108" customFormat="false" ht="24" hidden="false" customHeight="true" outlineLevel="0" collapsed="false">
      <c r="A108" s="9" t="s">
        <v>145</v>
      </c>
      <c r="B108" s="9"/>
      <c r="C108" s="9"/>
      <c r="D108" s="9"/>
      <c r="E108" s="9"/>
      <c r="F108" s="9"/>
      <c r="G108" s="9"/>
      <c r="H108" s="9"/>
    </row>
    <row r="109" customFormat="false" ht="42" hidden="false" customHeight="true" outlineLevel="0" collapsed="false">
      <c r="A109" s="10" t="s">
        <v>56</v>
      </c>
      <c r="B109" s="10"/>
      <c r="C109" s="10"/>
      <c r="D109" s="10"/>
      <c r="E109" s="10"/>
      <c r="F109" s="10"/>
      <c r="G109" s="10"/>
      <c r="H109" s="10"/>
    </row>
    <row r="110" customFormat="false" ht="42" hidden="false" customHeight="true" outlineLevel="0" collapsed="false">
      <c r="A110" s="11" t="s">
        <v>146</v>
      </c>
      <c r="B110" s="11"/>
      <c r="C110" s="11"/>
      <c r="D110" s="11"/>
      <c r="E110" s="11"/>
      <c r="F110" s="11"/>
      <c r="G110" s="11"/>
      <c r="H110" s="11"/>
    </row>
    <row r="111" customFormat="false" ht="42" hidden="false" customHeight="true" outlineLevel="0" collapsed="false">
      <c r="A111" s="12" t="s">
        <v>147</v>
      </c>
      <c r="B111" s="12"/>
      <c r="C111" s="12"/>
      <c r="D111" s="12"/>
      <c r="E111" s="12" t="s">
        <v>148</v>
      </c>
      <c r="F111" s="12"/>
      <c r="G111" s="12"/>
      <c r="H111" s="12"/>
    </row>
    <row r="112" customFormat="false" ht="42" hidden="false" customHeight="true" outlineLevel="0" collapsed="false">
      <c r="A112" s="12" t="s">
        <v>149</v>
      </c>
      <c r="B112" s="12"/>
      <c r="C112" s="12"/>
      <c r="D112" s="12"/>
      <c r="E112" s="12" t="s">
        <v>150</v>
      </c>
      <c r="F112" s="12"/>
      <c r="G112" s="12"/>
      <c r="H112" s="12"/>
    </row>
    <row r="113" customFormat="false" ht="24" hidden="false" customHeight="true" outlineLevel="0" collapsed="false">
      <c r="A113" s="13" t="s">
        <v>138</v>
      </c>
      <c r="B113" s="13"/>
      <c r="C113" s="13"/>
      <c r="D113" s="13"/>
      <c r="E113" s="13"/>
      <c r="F113" s="13"/>
      <c r="G113" s="13"/>
      <c r="H113" s="13"/>
    </row>
    <row r="114" customFormat="false" ht="7.5" hidden="false" customHeight="true" outlineLevel="0" collapsed="false"/>
    <row r="115" customFormat="false" ht="24" hidden="false" customHeight="true" outlineLevel="0" collapsed="false">
      <c r="A115" s="9" t="s">
        <v>151</v>
      </c>
      <c r="B115" s="9"/>
      <c r="C115" s="9"/>
      <c r="D115" s="9"/>
      <c r="E115" s="9"/>
      <c r="F115" s="9"/>
      <c r="G115" s="9"/>
      <c r="H115" s="9"/>
    </row>
    <row r="116" customFormat="false" ht="42" hidden="false" customHeight="true" outlineLevel="0" collapsed="false">
      <c r="A116" s="10" t="s">
        <v>56</v>
      </c>
      <c r="B116" s="10"/>
      <c r="C116" s="10"/>
      <c r="D116" s="10"/>
      <c r="E116" s="10"/>
      <c r="F116" s="10"/>
      <c r="G116" s="10"/>
      <c r="H116" s="10"/>
    </row>
    <row r="117" customFormat="false" ht="60" hidden="false" customHeight="true" outlineLevel="0" collapsed="false">
      <c r="A117" s="11" t="s">
        <v>152</v>
      </c>
      <c r="B117" s="11"/>
      <c r="C117" s="11"/>
      <c r="D117" s="11"/>
      <c r="E117" s="11"/>
      <c r="F117" s="11"/>
      <c r="G117" s="11"/>
      <c r="H117" s="11"/>
    </row>
    <row r="118" customFormat="false" ht="42" hidden="false" customHeight="true" outlineLevel="0" collapsed="false">
      <c r="A118" s="12" t="s">
        <v>153</v>
      </c>
      <c r="B118" s="12"/>
      <c r="C118" s="12"/>
      <c r="D118" s="12"/>
      <c r="E118" s="12" t="s">
        <v>154</v>
      </c>
      <c r="F118" s="12"/>
      <c r="G118" s="12"/>
      <c r="H118" s="12"/>
    </row>
    <row r="119" customFormat="false" ht="42" hidden="false" customHeight="true" outlineLevel="0" collapsed="false">
      <c r="A119" s="12" t="s">
        <v>155</v>
      </c>
      <c r="B119" s="12"/>
      <c r="C119" s="12"/>
      <c r="D119" s="12"/>
      <c r="E119" s="12" t="s">
        <v>156</v>
      </c>
      <c r="F119" s="12"/>
      <c r="G119" s="12"/>
      <c r="H119" s="12"/>
    </row>
    <row r="120" customFormat="false" ht="24" hidden="false" customHeight="true" outlineLevel="0" collapsed="false">
      <c r="A120" s="13" t="s">
        <v>157</v>
      </c>
      <c r="B120" s="13"/>
      <c r="C120" s="13"/>
      <c r="D120" s="13"/>
      <c r="E120" s="13"/>
      <c r="F120" s="13"/>
      <c r="G120" s="13"/>
      <c r="H120" s="13"/>
    </row>
    <row r="121" customFormat="false" ht="7.5" hidden="false" customHeight="true" outlineLevel="0" collapsed="false"/>
    <row r="122" customFormat="false" ht="24" hidden="false" customHeight="true" outlineLevel="0" collapsed="false">
      <c r="A122" s="9" t="s">
        <v>158</v>
      </c>
      <c r="B122" s="9"/>
      <c r="C122" s="9"/>
      <c r="D122" s="9"/>
      <c r="E122" s="9"/>
      <c r="F122" s="9"/>
      <c r="G122" s="9"/>
      <c r="H122" s="9"/>
    </row>
    <row r="123" customFormat="false" ht="42" hidden="false" customHeight="true" outlineLevel="0" collapsed="false">
      <c r="A123" s="10" t="s">
        <v>56</v>
      </c>
      <c r="B123" s="10"/>
      <c r="C123" s="10"/>
      <c r="D123" s="10"/>
      <c r="E123" s="10"/>
      <c r="F123" s="10"/>
      <c r="G123" s="10"/>
      <c r="H123" s="10"/>
    </row>
    <row r="124" customFormat="false" ht="42" hidden="false" customHeight="true" outlineLevel="0" collapsed="false">
      <c r="A124" s="11" t="s">
        <v>159</v>
      </c>
      <c r="B124" s="11"/>
      <c r="C124" s="11"/>
      <c r="D124" s="11"/>
      <c r="E124" s="11"/>
      <c r="F124" s="11"/>
      <c r="G124" s="11"/>
      <c r="H124" s="11"/>
    </row>
    <row r="125" customFormat="false" ht="42" hidden="false" customHeight="true" outlineLevel="0" collapsed="false">
      <c r="A125" s="12" t="s">
        <v>160</v>
      </c>
      <c r="B125" s="12"/>
      <c r="C125" s="12"/>
      <c r="D125" s="12"/>
      <c r="E125" s="12" t="s">
        <v>161</v>
      </c>
      <c r="F125" s="12"/>
      <c r="G125" s="12"/>
      <c r="H125" s="12"/>
    </row>
    <row r="126" customFormat="false" ht="42" hidden="false" customHeight="true" outlineLevel="0" collapsed="false">
      <c r="A126" s="12" t="s">
        <v>162</v>
      </c>
      <c r="B126" s="12"/>
      <c r="C126" s="12"/>
      <c r="D126" s="12"/>
      <c r="E126" s="12" t="s">
        <v>163</v>
      </c>
      <c r="F126" s="12"/>
      <c r="G126" s="12"/>
      <c r="H126" s="12"/>
    </row>
    <row r="127" customFormat="false" ht="24" hidden="false" customHeight="true" outlineLevel="0" collapsed="false">
      <c r="A127" s="13" t="s">
        <v>157</v>
      </c>
      <c r="B127" s="13"/>
      <c r="C127" s="13"/>
      <c r="D127" s="13"/>
      <c r="E127" s="13"/>
      <c r="F127" s="13"/>
      <c r="G127" s="13"/>
      <c r="H127" s="13"/>
    </row>
    <row r="128" customFormat="false" ht="7.5" hidden="false" customHeight="true" outlineLevel="0" collapsed="false"/>
    <row r="129" customFormat="false" ht="24" hidden="false" customHeight="true" outlineLevel="0" collapsed="false">
      <c r="A129" s="9" t="s">
        <v>164</v>
      </c>
      <c r="B129" s="9"/>
      <c r="C129" s="9"/>
      <c r="D129" s="9"/>
      <c r="E129" s="9"/>
      <c r="F129" s="9"/>
      <c r="G129" s="9"/>
      <c r="H129" s="9"/>
    </row>
    <row r="130" customFormat="false" ht="42" hidden="false" customHeight="true" outlineLevel="0" collapsed="false">
      <c r="A130" s="10" t="s">
        <v>56</v>
      </c>
      <c r="B130" s="10"/>
      <c r="C130" s="10"/>
      <c r="D130" s="10"/>
      <c r="E130" s="10"/>
      <c r="F130" s="10"/>
      <c r="G130" s="10"/>
      <c r="H130" s="10"/>
    </row>
    <row r="131" customFormat="false" ht="42" hidden="false" customHeight="true" outlineLevel="0" collapsed="false">
      <c r="A131" s="11" t="s">
        <v>165</v>
      </c>
      <c r="B131" s="11"/>
      <c r="C131" s="11"/>
      <c r="D131" s="11"/>
      <c r="E131" s="11"/>
      <c r="F131" s="11"/>
      <c r="G131" s="11"/>
      <c r="H131" s="11"/>
    </row>
    <row r="132" customFormat="false" ht="33.75" hidden="false" customHeight="true" outlineLevel="0" collapsed="false">
      <c r="A132" s="12" t="s">
        <v>166</v>
      </c>
      <c r="B132" s="12"/>
      <c r="C132" s="12"/>
      <c r="D132" s="12"/>
      <c r="E132" s="12" t="s">
        <v>167</v>
      </c>
      <c r="F132" s="12"/>
      <c r="G132" s="12"/>
      <c r="H132" s="12"/>
    </row>
    <row r="133" customFormat="false" ht="33.75" hidden="false" customHeight="true" outlineLevel="0" collapsed="false">
      <c r="A133" s="12" t="s">
        <v>168</v>
      </c>
      <c r="B133" s="12"/>
      <c r="C133" s="12"/>
      <c r="D133" s="12"/>
      <c r="E133" s="12" t="s">
        <v>169</v>
      </c>
      <c r="F133" s="12"/>
      <c r="G133" s="12"/>
      <c r="H133" s="12"/>
    </row>
    <row r="134" customFormat="false" ht="24" hidden="false" customHeight="true" outlineLevel="0" collapsed="false">
      <c r="A134" s="13" t="s">
        <v>157</v>
      </c>
      <c r="B134" s="13"/>
      <c r="C134" s="13"/>
      <c r="D134" s="13"/>
      <c r="E134" s="13"/>
      <c r="F134" s="13"/>
      <c r="G134" s="13"/>
      <c r="H134" s="13"/>
    </row>
    <row r="135" customFormat="false" ht="7.5" hidden="false" customHeight="true" outlineLevel="0" collapsed="false"/>
    <row r="136" customFormat="false" ht="24" hidden="false" customHeight="true" outlineLevel="0" collapsed="false">
      <c r="A136" s="9" t="s">
        <v>170</v>
      </c>
      <c r="B136" s="9"/>
      <c r="C136" s="9"/>
      <c r="D136" s="9"/>
      <c r="E136" s="9"/>
      <c r="F136" s="9"/>
      <c r="G136" s="9"/>
      <c r="H136" s="9"/>
    </row>
    <row r="137" customFormat="false" ht="42" hidden="false" customHeight="true" outlineLevel="0" collapsed="false">
      <c r="A137" s="10" t="s">
        <v>56</v>
      </c>
      <c r="B137" s="10"/>
      <c r="C137" s="10"/>
      <c r="D137" s="10"/>
      <c r="E137" s="10"/>
      <c r="F137" s="10"/>
      <c r="G137" s="10"/>
      <c r="H137" s="10"/>
    </row>
    <row r="138" customFormat="false" ht="42" hidden="false" customHeight="true" outlineLevel="0" collapsed="false">
      <c r="A138" s="11" t="s">
        <v>171</v>
      </c>
      <c r="B138" s="11"/>
      <c r="C138" s="11"/>
      <c r="D138" s="11"/>
      <c r="E138" s="11"/>
      <c r="F138" s="11"/>
      <c r="G138" s="11"/>
      <c r="H138" s="11"/>
    </row>
    <row r="139" customFormat="false" ht="42" hidden="false" customHeight="true" outlineLevel="0" collapsed="false">
      <c r="A139" s="12" t="s">
        <v>172</v>
      </c>
      <c r="B139" s="12"/>
      <c r="C139" s="12"/>
      <c r="D139" s="12"/>
      <c r="E139" s="12" t="s">
        <v>173</v>
      </c>
      <c r="F139" s="12"/>
      <c r="G139" s="12"/>
      <c r="H139" s="12"/>
    </row>
    <row r="140" customFormat="false" ht="42" hidden="false" customHeight="true" outlineLevel="0" collapsed="false">
      <c r="A140" s="12" t="s">
        <v>174</v>
      </c>
      <c r="B140" s="12"/>
      <c r="C140" s="12"/>
      <c r="D140" s="12"/>
      <c r="E140" s="12" t="s">
        <v>175</v>
      </c>
      <c r="F140" s="12"/>
      <c r="G140" s="12"/>
      <c r="H140" s="12"/>
    </row>
    <row r="141" customFormat="false" ht="24" hidden="false" customHeight="true" outlineLevel="0" collapsed="false">
      <c r="A141" s="13" t="s">
        <v>157</v>
      </c>
      <c r="B141" s="13"/>
      <c r="C141" s="13"/>
      <c r="D141" s="13"/>
      <c r="E141" s="13"/>
      <c r="F141" s="13"/>
      <c r="G141" s="13"/>
      <c r="H141" s="13"/>
    </row>
    <row r="142" customFormat="false" ht="7.5" hidden="false" customHeight="true" outlineLevel="0" collapsed="false"/>
    <row r="143" customFormat="false" ht="24" hidden="false" customHeight="true" outlineLevel="0" collapsed="false">
      <c r="A143" s="9" t="s">
        <v>176</v>
      </c>
      <c r="B143" s="9"/>
      <c r="C143" s="9"/>
      <c r="D143" s="9"/>
      <c r="E143" s="9"/>
      <c r="F143" s="9"/>
      <c r="G143" s="9"/>
      <c r="H143" s="9"/>
    </row>
    <row r="144" customFormat="false" ht="42" hidden="false" customHeight="true" outlineLevel="0" collapsed="false">
      <c r="A144" s="10" t="s">
        <v>56</v>
      </c>
      <c r="B144" s="10"/>
      <c r="C144" s="10"/>
      <c r="D144" s="10"/>
      <c r="E144" s="10"/>
      <c r="F144" s="10"/>
      <c r="G144" s="10"/>
      <c r="H144" s="10"/>
    </row>
    <row r="145" customFormat="false" ht="60" hidden="false" customHeight="true" outlineLevel="0" collapsed="false">
      <c r="A145" s="11" t="s">
        <v>177</v>
      </c>
      <c r="B145" s="11"/>
      <c r="C145" s="11"/>
      <c r="D145" s="11"/>
      <c r="E145" s="11"/>
      <c r="F145" s="11"/>
      <c r="G145" s="11"/>
      <c r="H145" s="11"/>
    </row>
    <row r="146" customFormat="false" ht="54.75" hidden="false" customHeight="true" outlineLevel="0" collapsed="false">
      <c r="A146" s="12" t="s">
        <v>178</v>
      </c>
      <c r="B146" s="12"/>
      <c r="C146" s="12"/>
      <c r="D146" s="12"/>
      <c r="E146" s="12" t="s">
        <v>179</v>
      </c>
      <c r="F146" s="12"/>
      <c r="G146" s="12"/>
      <c r="H146" s="12"/>
    </row>
    <row r="147" customFormat="false" ht="42" hidden="false" customHeight="true" outlineLevel="0" collapsed="false">
      <c r="A147" s="12" t="s">
        <v>180</v>
      </c>
      <c r="B147" s="12"/>
      <c r="C147" s="12"/>
      <c r="D147" s="12"/>
      <c r="E147" s="12" t="s">
        <v>181</v>
      </c>
      <c r="F147" s="12"/>
      <c r="G147" s="12"/>
      <c r="H147" s="12"/>
    </row>
    <row r="148" customFormat="false" ht="24" hidden="false" customHeight="true" outlineLevel="0" collapsed="false">
      <c r="A148" s="13" t="s">
        <v>182</v>
      </c>
      <c r="B148" s="13"/>
      <c r="C148" s="13"/>
      <c r="D148" s="13"/>
      <c r="E148" s="13"/>
      <c r="F148" s="13"/>
      <c r="G148" s="13"/>
      <c r="H148" s="13"/>
    </row>
    <row r="149" customFormat="false" ht="7.5" hidden="false" customHeight="true" outlineLevel="0" collapsed="false"/>
    <row r="150" customFormat="false" ht="24" hidden="false" customHeight="true" outlineLevel="0" collapsed="false">
      <c r="A150" s="9" t="s">
        <v>183</v>
      </c>
      <c r="B150" s="9"/>
      <c r="C150" s="9"/>
      <c r="D150" s="9"/>
      <c r="E150" s="9"/>
      <c r="F150" s="9"/>
      <c r="G150" s="9"/>
      <c r="H150" s="9"/>
    </row>
    <row r="151" customFormat="false" ht="42" hidden="false" customHeight="true" outlineLevel="0" collapsed="false">
      <c r="A151" s="10" t="s">
        <v>56</v>
      </c>
      <c r="B151" s="10"/>
      <c r="C151" s="10"/>
      <c r="D151" s="10"/>
      <c r="E151" s="10"/>
      <c r="F151" s="10"/>
      <c r="G151" s="10"/>
      <c r="H151" s="10"/>
    </row>
    <row r="152" customFormat="false" ht="73.5" hidden="false" customHeight="true" outlineLevel="0" collapsed="false">
      <c r="A152" s="11" t="s">
        <v>184</v>
      </c>
      <c r="B152" s="11"/>
      <c r="C152" s="11"/>
      <c r="D152" s="11"/>
      <c r="E152" s="11"/>
      <c r="F152" s="11"/>
      <c r="G152" s="11"/>
      <c r="H152" s="11"/>
    </row>
    <row r="153" customFormat="false" ht="33.75" hidden="false" customHeight="true" outlineLevel="0" collapsed="false">
      <c r="A153" s="12" t="s">
        <v>185</v>
      </c>
      <c r="B153" s="12"/>
      <c r="C153" s="12"/>
      <c r="D153" s="12"/>
      <c r="E153" s="12" t="s">
        <v>186</v>
      </c>
      <c r="F153" s="12"/>
      <c r="G153" s="12"/>
      <c r="H153" s="12"/>
    </row>
    <row r="154" customFormat="false" ht="33.75" hidden="false" customHeight="true" outlineLevel="0" collapsed="false">
      <c r="A154" s="12" t="s">
        <v>187</v>
      </c>
      <c r="B154" s="12"/>
      <c r="C154" s="12"/>
      <c r="D154" s="12"/>
      <c r="E154" s="12" t="s">
        <v>169</v>
      </c>
      <c r="F154" s="12"/>
      <c r="G154" s="12"/>
      <c r="H154" s="12"/>
    </row>
    <row r="155" customFormat="false" ht="24" hidden="false" customHeight="true" outlineLevel="0" collapsed="false">
      <c r="A155" s="13" t="s">
        <v>182</v>
      </c>
      <c r="B155" s="13"/>
      <c r="C155" s="13"/>
      <c r="D155" s="13"/>
      <c r="E155" s="13"/>
      <c r="F155" s="13"/>
      <c r="G155" s="13"/>
      <c r="H155" s="13"/>
    </row>
    <row r="156" customFormat="false" ht="7.5" hidden="false" customHeight="true" outlineLevel="0" collapsed="false"/>
    <row r="157" customFormat="false" ht="24" hidden="false" customHeight="true" outlineLevel="0" collapsed="false">
      <c r="A157" s="9" t="s">
        <v>188</v>
      </c>
      <c r="B157" s="9"/>
      <c r="C157" s="9"/>
      <c r="D157" s="9"/>
      <c r="E157" s="9"/>
      <c r="F157" s="9"/>
      <c r="G157" s="9"/>
      <c r="H157" s="9"/>
    </row>
    <row r="158" customFormat="false" ht="42" hidden="false" customHeight="true" outlineLevel="0" collapsed="false">
      <c r="A158" s="10" t="s">
        <v>56</v>
      </c>
      <c r="B158" s="10"/>
      <c r="C158" s="10"/>
      <c r="D158" s="10"/>
      <c r="E158" s="10"/>
      <c r="F158" s="10"/>
      <c r="G158" s="10"/>
      <c r="H158" s="10"/>
    </row>
    <row r="159" customFormat="false" ht="42" hidden="false" customHeight="true" outlineLevel="0" collapsed="false">
      <c r="A159" s="11" t="s">
        <v>189</v>
      </c>
      <c r="B159" s="11"/>
      <c r="C159" s="11"/>
      <c r="D159" s="11"/>
      <c r="E159" s="11"/>
      <c r="F159" s="11"/>
      <c r="G159" s="11"/>
      <c r="H159" s="11"/>
    </row>
    <row r="160" customFormat="false" ht="42" hidden="false" customHeight="true" outlineLevel="0" collapsed="false">
      <c r="A160" s="12" t="s">
        <v>190</v>
      </c>
      <c r="B160" s="12"/>
      <c r="C160" s="12"/>
      <c r="D160" s="12"/>
      <c r="E160" s="12" t="s">
        <v>191</v>
      </c>
      <c r="F160" s="12"/>
      <c r="G160" s="12"/>
      <c r="H160" s="12"/>
    </row>
    <row r="161" customFormat="false" ht="54.75" hidden="false" customHeight="true" outlineLevel="0" collapsed="false">
      <c r="A161" s="12" t="s">
        <v>192</v>
      </c>
      <c r="B161" s="12"/>
      <c r="C161" s="12"/>
      <c r="D161" s="12"/>
      <c r="E161" s="12" t="s">
        <v>193</v>
      </c>
      <c r="F161" s="12"/>
      <c r="G161" s="12"/>
      <c r="H161" s="12"/>
    </row>
    <row r="162" customFormat="false" ht="24" hidden="false" customHeight="true" outlineLevel="0" collapsed="false">
      <c r="A162" s="13" t="s">
        <v>182</v>
      </c>
      <c r="B162" s="13"/>
      <c r="C162" s="13"/>
      <c r="D162" s="13"/>
      <c r="E162" s="13"/>
      <c r="F162" s="13"/>
      <c r="G162" s="13"/>
      <c r="H162" s="13"/>
    </row>
    <row r="163" customFormat="false" ht="7.5" hidden="false" customHeight="true" outlineLevel="0" collapsed="false"/>
    <row r="164" customFormat="false" ht="24" hidden="false" customHeight="true" outlineLevel="0" collapsed="false">
      <c r="A164" s="9" t="s">
        <v>194</v>
      </c>
      <c r="B164" s="9"/>
      <c r="C164" s="9"/>
      <c r="D164" s="9"/>
      <c r="E164" s="9"/>
      <c r="F164" s="9"/>
      <c r="G164" s="9"/>
      <c r="H164" s="9"/>
    </row>
    <row r="165" customFormat="false" ht="99.75" hidden="false" customHeight="true" outlineLevel="0" collapsed="false">
      <c r="A165" s="10" t="s">
        <v>195</v>
      </c>
      <c r="B165" s="10"/>
      <c r="C165" s="10"/>
      <c r="D165" s="10"/>
      <c r="E165" s="10"/>
      <c r="F165" s="10"/>
      <c r="G165" s="10"/>
      <c r="H165" s="10"/>
    </row>
    <row r="166" customFormat="false" ht="99.75" hidden="false" customHeight="true" outlineLevel="0" collapsed="false">
      <c r="A166" s="10" t="s">
        <v>196</v>
      </c>
      <c r="B166" s="10"/>
      <c r="C166" s="10"/>
      <c r="D166" s="10"/>
      <c r="E166" s="10"/>
      <c r="F166" s="10"/>
      <c r="G166" s="10"/>
      <c r="H166" s="10"/>
    </row>
    <row r="167" customFormat="false" ht="48" hidden="false" customHeight="true" outlineLevel="0" collapsed="false">
      <c r="A167" s="10" t="s">
        <v>197</v>
      </c>
      <c r="B167" s="10"/>
      <c r="C167" s="10"/>
      <c r="D167" s="10"/>
      <c r="E167" s="10"/>
      <c r="F167" s="10"/>
      <c r="G167" s="10"/>
      <c r="H167" s="10"/>
    </row>
    <row r="168" customFormat="false" ht="42" hidden="false" customHeight="true" outlineLevel="0" collapsed="false">
      <c r="A168" s="11" t="s">
        <v>198</v>
      </c>
      <c r="B168" s="11"/>
      <c r="C168" s="11"/>
      <c r="D168" s="11"/>
      <c r="E168" s="11"/>
      <c r="F168" s="11"/>
      <c r="G168" s="11"/>
      <c r="H168" s="11"/>
    </row>
    <row r="169" customFormat="false" ht="54.75" hidden="false" customHeight="true" outlineLevel="0" collapsed="false">
      <c r="A169" s="12" t="s">
        <v>199</v>
      </c>
      <c r="B169" s="12"/>
      <c r="C169" s="12"/>
      <c r="D169" s="12"/>
      <c r="E169" s="12" t="s">
        <v>200</v>
      </c>
      <c r="F169" s="12"/>
      <c r="G169" s="12"/>
      <c r="H169" s="12"/>
    </row>
    <row r="170" customFormat="false" ht="54.75" hidden="false" customHeight="true" outlineLevel="0" collapsed="false">
      <c r="A170" s="12" t="s">
        <v>201</v>
      </c>
      <c r="B170" s="12"/>
      <c r="C170" s="12"/>
      <c r="D170" s="12"/>
      <c r="E170" s="12" t="s">
        <v>202</v>
      </c>
      <c r="F170" s="12"/>
      <c r="G170" s="12"/>
      <c r="H170" s="12"/>
    </row>
    <row r="171" customFormat="false" ht="24" hidden="false" customHeight="true" outlineLevel="0" collapsed="false">
      <c r="A171" s="13" t="s">
        <v>203</v>
      </c>
      <c r="B171" s="13"/>
      <c r="C171" s="13"/>
      <c r="D171" s="13"/>
      <c r="E171" s="13"/>
      <c r="F171" s="13"/>
      <c r="G171" s="13"/>
      <c r="H171" s="13"/>
    </row>
    <row r="172" customFormat="false" ht="7.5" hidden="false" customHeight="true" outlineLevel="0" collapsed="false"/>
    <row r="173" customFormat="false" ht="24" hidden="false" customHeight="true" outlineLevel="0" collapsed="false">
      <c r="A173" s="9" t="s">
        <v>204</v>
      </c>
      <c r="B173" s="9"/>
      <c r="C173" s="9"/>
      <c r="D173" s="9"/>
      <c r="E173" s="9"/>
      <c r="F173" s="9"/>
      <c r="G173" s="9"/>
      <c r="H173" s="9"/>
    </row>
    <row r="174" customFormat="false" ht="42" hidden="false" customHeight="true" outlineLevel="0" collapsed="false">
      <c r="A174" s="10" t="s">
        <v>205</v>
      </c>
      <c r="B174" s="10"/>
      <c r="C174" s="10"/>
      <c r="D174" s="10"/>
      <c r="E174" s="10"/>
      <c r="F174" s="10"/>
      <c r="G174" s="10"/>
      <c r="H174" s="10"/>
    </row>
    <row r="175" customFormat="false" ht="42" hidden="false" customHeight="true" outlineLevel="0" collapsed="false">
      <c r="A175" s="11" t="s">
        <v>206</v>
      </c>
      <c r="B175" s="11"/>
      <c r="C175" s="11"/>
      <c r="D175" s="11"/>
      <c r="E175" s="11"/>
      <c r="F175" s="11"/>
      <c r="G175" s="11"/>
      <c r="H175" s="11"/>
    </row>
    <row r="176" customFormat="false" ht="54.75" hidden="false" customHeight="true" outlineLevel="0" collapsed="false">
      <c r="A176" s="12" t="s">
        <v>207</v>
      </c>
      <c r="B176" s="12"/>
      <c r="C176" s="12"/>
      <c r="D176" s="12"/>
      <c r="E176" s="12" t="s">
        <v>208</v>
      </c>
      <c r="F176" s="12"/>
      <c r="G176" s="12"/>
      <c r="H176" s="12"/>
    </row>
    <row r="177" customFormat="false" ht="81" hidden="false" customHeight="true" outlineLevel="0" collapsed="false">
      <c r="A177" s="12" t="s">
        <v>209</v>
      </c>
      <c r="B177" s="12"/>
      <c r="C177" s="12"/>
      <c r="D177" s="12"/>
      <c r="E177" s="12" t="s">
        <v>210</v>
      </c>
      <c r="F177" s="12"/>
      <c r="G177" s="12"/>
      <c r="H177" s="12"/>
    </row>
    <row r="178" customFormat="false" ht="24" hidden="false" customHeight="true" outlineLevel="0" collapsed="false">
      <c r="A178" s="13" t="s">
        <v>211</v>
      </c>
      <c r="B178" s="13"/>
      <c r="C178" s="13"/>
      <c r="D178" s="13"/>
      <c r="E178" s="13"/>
      <c r="F178" s="13"/>
      <c r="G178" s="13"/>
      <c r="H178" s="13"/>
    </row>
    <row r="179" customFormat="false" ht="7.5" hidden="false" customHeight="true" outlineLevel="0" collapsed="false"/>
    <row r="180" customFormat="false" ht="24" hidden="false" customHeight="true" outlineLevel="0" collapsed="false">
      <c r="A180" s="9" t="s">
        <v>212</v>
      </c>
      <c r="B180" s="9"/>
      <c r="C180" s="9"/>
      <c r="D180" s="9"/>
      <c r="E180" s="9"/>
      <c r="F180" s="9"/>
      <c r="G180" s="9"/>
      <c r="H180" s="9"/>
    </row>
    <row r="181" customFormat="false" ht="42" hidden="false" customHeight="true" outlineLevel="0" collapsed="false">
      <c r="A181" s="10" t="s">
        <v>205</v>
      </c>
      <c r="B181" s="10"/>
      <c r="C181" s="10"/>
      <c r="D181" s="10"/>
      <c r="E181" s="10"/>
      <c r="F181" s="10"/>
      <c r="G181" s="10"/>
      <c r="H181" s="10"/>
    </row>
    <row r="182" customFormat="false" ht="45.75" hidden="false" customHeight="true" outlineLevel="0" collapsed="false">
      <c r="A182" s="11" t="s">
        <v>213</v>
      </c>
      <c r="B182" s="11"/>
      <c r="C182" s="11"/>
      <c r="D182" s="11"/>
      <c r="E182" s="11"/>
      <c r="F182" s="11"/>
      <c r="G182" s="11"/>
      <c r="H182" s="11"/>
    </row>
    <row r="183" customFormat="false" ht="54.75" hidden="false" customHeight="true" outlineLevel="0" collapsed="false">
      <c r="A183" s="12" t="s">
        <v>214</v>
      </c>
      <c r="B183" s="12"/>
      <c r="C183" s="12"/>
      <c r="D183" s="12"/>
      <c r="E183" s="12" t="s">
        <v>215</v>
      </c>
      <c r="F183" s="12"/>
      <c r="G183" s="12"/>
      <c r="H183" s="12"/>
    </row>
    <row r="184" customFormat="false" ht="42" hidden="false" customHeight="true" outlineLevel="0" collapsed="false">
      <c r="A184" s="12" t="s">
        <v>216</v>
      </c>
      <c r="B184" s="12"/>
      <c r="C184" s="12"/>
      <c r="D184" s="12"/>
      <c r="E184" s="12" t="s">
        <v>217</v>
      </c>
      <c r="F184" s="12"/>
      <c r="G184" s="12"/>
      <c r="H184" s="12"/>
    </row>
    <row r="185" customFormat="false" ht="24" hidden="false" customHeight="true" outlineLevel="0" collapsed="false">
      <c r="A185" s="13" t="s">
        <v>211</v>
      </c>
      <c r="B185" s="13"/>
      <c r="C185" s="13"/>
      <c r="D185" s="13"/>
      <c r="E185" s="13"/>
      <c r="F185" s="13"/>
      <c r="G185" s="13"/>
      <c r="H185" s="13"/>
    </row>
    <row r="186" customFormat="false" ht="7.5" hidden="false" customHeight="true" outlineLevel="0" collapsed="false"/>
    <row r="187" customFormat="false" ht="24" hidden="false" customHeight="true" outlineLevel="0" collapsed="false">
      <c r="A187" s="9" t="s">
        <v>218</v>
      </c>
      <c r="B187" s="9"/>
      <c r="C187" s="9"/>
      <c r="D187" s="9"/>
      <c r="E187" s="9"/>
      <c r="F187" s="9"/>
      <c r="G187" s="9"/>
      <c r="H187" s="9"/>
    </row>
    <row r="188" customFormat="false" ht="42" hidden="false" customHeight="true" outlineLevel="0" collapsed="false">
      <c r="A188" s="10" t="s">
        <v>205</v>
      </c>
      <c r="B188" s="10"/>
      <c r="C188" s="10"/>
      <c r="D188" s="10"/>
      <c r="E188" s="10"/>
      <c r="F188" s="10"/>
      <c r="G188" s="10"/>
      <c r="H188" s="10"/>
    </row>
    <row r="189" customFormat="false" ht="45.75" hidden="false" customHeight="true" outlineLevel="0" collapsed="false">
      <c r="A189" s="11" t="s">
        <v>219</v>
      </c>
      <c r="B189" s="11"/>
      <c r="C189" s="11"/>
      <c r="D189" s="11"/>
      <c r="E189" s="11"/>
      <c r="F189" s="11"/>
      <c r="G189" s="11"/>
      <c r="H189" s="11"/>
    </row>
    <row r="190" customFormat="false" ht="42" hidden="false" customHeight="true" outlineLevel="0" collapsed="false">
      <c r="A190" s="12" t="s">
        <v>220</v>
      </c>
      <c r="B190" s="12"/>
      <c r="C190" s="12"/>
      <c r="D190" s="12"/>
      <c r="E190" s="12" t="s">
        <v>221</v>
      </c>
      <c r="F190" s="12"/>
      <c r="G190" s="12"/>
      <c r="H190" s="12"/>
    </row>
    <row r="191" customFormat="false" ht="54.75" hidden="false" customHeight="true" outlineLevel="0" collapsed="false">
      <c r="A191" s="12" t="s">
        <v>222</v>
      </c>
      <c r="B191" s="12"/>
      <c r="C191" s="12"/>
      <c r="D191" s="12"/>
      <c r="E191" s="12" t="s">
        <v>223</v>
      </c>
      <c r="F191" s="12"/>
      <c r="G191" s="12"/>
      <c r="H191" s="12"/>
    </row>
    <row r="192" customFormat="false" ht="24" hidden="false" customHeight="true" outlineLevel="0" collapsed="false">
      <c r="A192" s="13" t="s">
        <v>211</v>
      </c>
      <c r="B192" s="13"/>
      <c r="C192" s="13"/>
      <c r="D192" s="13"/>
      <c r="E192" s="13"/>
      <c r="F192" s="13"/>
      <c r="G192" s="13"/>
      <c r="H192" s="13"/>
    </row>
    <row r="193" customFormat="false" ht="7.5" hidden="false" customHeight="true" outlineLevel="0" collapsed="false"/>
    <row r="194" customFormat="false" ht="24" hidden="false" customHeight="true" outlineLevel="0" collapsed="false">
      <c r="A194" s="9" t="s">
        <v>224</v>
      </c>
      <c r="B194" s="9"/>
      <c r="C194" s="9"/>
      <c r="D194" s="9"/>
      <c r="E194" s="9"/>
      <c r="F194" s="9"/>
      <c r="G194" s="9"/>
      <c r="H194" s="9"/>
    </row>
    <row r="195" customFormat="false" ht="42" hidden="false" customHeight="true" outlineLevel="0" collapsed="false">
      <c r="A195" s="10" t="s">
        <v>205</v>
      </c>
      <c r="B195" s="10"/>
      <c r="C195" s="10"/>
      <c r="D195" s="10"/>
      <c r="E195" s="10"/>
      <c r="F195" s="10"/>
      <c r="G195" s="10"/>
      <c r="H195" s="10"/>
    </row>
    <row r="196" customFormat="false" ht="45.75" hidden="false" customHeight="true" outlineLevel="0" collapsed="false">
      <c r="A196" s="11" t="s">
        <v>225</v>
      </c>
      <c r="B196" s="11"/>
      <c r="C196" s="11"/>
      <c r="D196" s="11"/>
      <c r="E196" s="11"/>
      <c r="F196" s="11"/>
      <c r="G196" s="11"/>
      <c r="H196" s="11"/>
    </row>
    <row r="197" customFormat="false" ht="54.75" hidden="false" customHeight="true" outlineLevel="0" collapsed="false">
      <c r="A197" s="12" t="s">
        <v>226</v>
      </c>
      <c r="B197" s="12"/>
      <c r="C197" s="12"/>
      <c r="D197" s="12"/>
      <c r="E197" s="12" t="s">
        <v>227</v>
      </c>
      <c r="F197" s="12"/>
      <c r="G197" s="12"/>
      <c r="H197" s="12"/>
    </row>
    <row r="198" customFormat="false" ht="81" hidden="false" customHeight="true" outlineLevel="0" collapsed="false">
      <c r="A198" s="12" t="s">
        <v>228</v>
      </c>
      <c r="B198" s="12"/>
      <c r="C198" s="12"/>
      <c r="D198" s="12"/>
      <c r="E198" s="12" t="s">
        <v>229</v>
      </c>
      <c r="F198" s="12"/>
      <c r="G198" s="12"/>
      <c r="H198" s="12"/>
    </row>
    <row r="199" customFormat="false" ht="24" hidden="false" customHeight="true" outlineLevel="0" collapsed="false">
      <c r="A199" s="13" t="s">
        <v>230</v>
      </c>
      <c r="B199" s="13"/>
      <c r="C199" s="13"/>
      <c r="D199" s="13"/>
      <c r="E199" s="13"/>
      <c r="F199" s="13"/>
      <c r="G199" s="13"/>
      <c r="H199" s="13"/>
    </row>
    <row r="200" customFormat="false" ht="7.5" hidden="false" customHeight="true" outlineLevel="0" collapsed="false"/>
    <row r="201" customFormat="false" ht="24" hidden="false" customHeight="true" outlineLevel="0" collapsed="false">
      <c r="A201" s="9" t="s">
        <v>231</v>
      </c>
      <c r="B201" s="9"/>
      <c r="C201" s="9"/>
      <c r="D201" s="9"/>
      <c r="E201" s="9"/>
      <c r="F201" s="9"/>
      <c r="G201" s="9"/>
      <c r="H201" s="9"/>
    </row>
    <row r="202" customFormat="false" ht="42" hidden="false" customHeight="true" outlineLevel="0" collapsed="false">
      <c r="A202" s="10" t="s">
        <v>205</v>
      </c>
      <c r="B202" s="10"/>
      <c r="C202" s="10"/>
      <c r="D202" s="10"/>
      <c r="E202" s="10"/>
      <c r="F202" s="10"/>
      <c r="G202" s="10"/>
      <c r="H202" s="10"/>
    </row>
    <row r="203" customFormat="false" ht="45.75" hidden="false" customHeight="true" outlineLevel="0" collapsed="false">
      <c r="A203" s="11" t="s">
        <v>232</v>
      </c>
      <c r="B203" s="11"/>
      <c r="C203" s="11"/>
      <c r="D203" s="11"/>
      <c r="E203" s="11"/>
      <c r="F203" s="11"/>
      <c r="G203" s="11"/>
      <c r="H203" s="11"/>
    </row>
    <row r="204" customFormat="false" ht="54.75" hidden="false" customHeight="true" outlineLevel="0" collapsed="false">
      <c r="A204" s="12" t="s">
        <v>233</v>
      </c>
      <c r="B204" s="12"/>
      <c r="C204" s="12"/>
      <c r="D204" s="12"/>
      <c r="E204" s="12" t="s">
        <v>234</v>
      </c>
      <c r="F204" s="12"/>
      <c r="G204" s="12"/>
      <c r="H204" s="12"/>
    </row>
    <row r="205" customFormat="false" ht="54.75" hidden="false" customHeight="true" outlineLevel="0" collapsed="false">
      <c r="A205" s="12" t="s">
        <v>235</v>
      </c>
      <c r="B205" s="12"/>
      <c r="C205" s="12"/>
      <c r="D205" s="12"/>
      <c r="E205" s="12" t="s">
        <v>236</v>
      </c>
      <c r="F205" s="12"/>
      <c r="G205" s="12"/>
      <c r="H205" s="12"/>
    </row>
    <row r="206" customFormat="false" ht="24" hidden="false" customHeight="true" outlineLevel="0" collapsed="false">
      <c r="A206" s="13" t="s">
        <v>230</v>
      </c>
      <c r="B206" s="13"/>
      <c r="C206" s="13"/>
      <c r="D206" s="13"/>
      <c r="E206" s="13"/>
      <c r="F206" s="13"/>
      <c r="G206" s="13"/>
      <c r="H206" s="13"/>
    </row>
    <row r="207" customFormat="false" ht="7.5" hidden="false" customHeight="true" outlineLevel="0" collapsed="false"/>
    <row r="208" customFormat="false" ht="24" hidden="false" customHeight="true" outlineLevel="0" collapsed="false">
      <c r="A208" s="9" t="s">
        <v>237</v>
      </c>
      <c r="B208" s="9"/>
      <c r="C208" s="9"/>
      <c r="D208" s="9"/>
      <c r="E208" s="9"/>
      <c r="F208" s="9"/>
      <c r="G208" s="9"/>
      <c r="H208" s="9"/>
    </row>
    <row r="209" customFormat="false" ht="42" hidden="false" customHeight="true" outlineLevel="0" collapsed="false">
      <c r="A209" s="10" t="s">
        <v>205</v>
      </c>
      <c r="B209" s="10"/>
      <c r="C209" s="10"/>
      <c r="D209" s="10"/>
      <c r="E209" s="10"/>
      <c r="F209" s="10"/>
      <c r="G209" s="10"/>
      <c r="H209" s="10"/>
    </row>
    <row r="210" customFormat="false" ht="45.75" hidden="false" customHeight="true" outlineLevel="0" collapsed="false">
      <c r="A210" s="11" t="s">
        <v>238</v>
      </c>
      <c r="B210" s="11"/>
      <c r="C210" s="11"/>
      <c r="D210" s="11"/>
      <c r="E210" s="11"/>
      <c r="F210" s="11"/>
      <c r="G210" s="11"/>
      <c r="H210" s="11"/>
    </row>
    <row r="211" customFormat="false" ht="33.75" hidden="false" customHeight="true" outlineLevel="0" collapsed="false">
      <c r="A211" s="12" t="s">
        <v>239</v>
      </c>
      <c r="B211" s="12"/>
      <c r="C211" s="12"/>
      <c r="D211" s="12"/>
      <c r="E211" s="12" t="s">
        <v>240</v>
      </c>
      <c r="F211" s="12"/>
      <c r="G211" s="12"/>
      <c r="H211" s="12"/>
    </row>
    <row r="212" customFormat="false" ht="42" hidden="false" customHeight="true" outlineLevel="0" collapsed="false">
      <c r="A212" s="12" t="s">
        <v>241</v>
      </c>
      <c r="B212" s="12"/>
      <c r="C212" s="12"/>
      <c r="D212" s="12"/>
      <c r="E212" s="12" t="s">
        <v>242</v>
      </c>
      <c r="F212" s="12"/>
      <c r="G212" s="12"/>
      <c r="H212" s="12"/>
    </row>
    <row r="213" customFormat="false" ht="24" hidden="false" customHeight="true" outlineLevel="0" collapsed="false">
      <c r="A213" s="13" t="s">
        <v>230</v>
      </c>
      <c r="B213" s="13"/>
      <c r="C213" s="13"/>
      <c r="D213" s="13"/>
      <c r="E213" s="13"/>
      <c r="F213" s="13"/>
      <c r="G213" s="13"/>
      <c r="H213" s="13"/>
    </row>
    <row r="214" customFormat="false" ht="7.5" hidden="false" customHeight="true" outlineLevel="0" collapsed="false"/>
    <row r="215" customFormat="false" ht="24" hidden="false" customHeight="true" outlineLevel="0" collapsed="false">
      <c r="A215" s="9" t="s">
        <v>243</v>
      </c>
      <c r="B215" s="9"/>
      <c r="C215" s="9"/>
      <c r="D215" s="9"/>
      <c r="E215" s="9"/>
      <c r="F215" s="9"/>
      <c r="G215" s="9"/>
      <c r="H215" s="9"/>
    </row>
    <row r="216" customFormat="false" ht="42" hidden="false" customHeight="true" outlineLevel="0" collapsed="false">
      <c r="A216" s="10" t="s">
        <v>205</v>
      </c>
      <c r="B216" s="10"/>
      <c r="C216" s="10"/>
      <c r="D216" s="10"/>
      <c r="E216" s="10"/>
      <c r="F216" s="10"/>
      <c r="G216" s="10"/>
      <c r="H216" s="10"/>
    </row>
    <row r="217" customFormat="false" ht="45.75" hidden="false" customHeight="true" outlineLevel="0" collapsed="false">
      <c r="A217" s="11" t="s">
        <v>244</v>
      </c>
      <c r="B217" s="11"/>
      <c r="C217" s="11"/>
      <c r="D217" s="11"/>
      <c r="E217" s="11"/>
      <c r="F217" s="11"/>
      <c r="G217" s="11"/>
      <c r="H217" s="11"/>
    </row>
    <row r="218" customFormat="false" ht="67.5" hidden="false" customHeight="true" outlineLevel="0" collapsed="false">
      <c r="A218" s="12" t="s">
        <v>245</v>
      </c>
      <c r="B218" s="12"/>
      <c r="C218" s="12"/>
      <c r="D218" s="12"/>
      <c r="E218" s="12" t="s">
        <v>246</v>
      </c>
      <c r="F218" s="12"/>
      <c r="G218" s="12"/>
      <c r="H218" s="12"/>
    </row>
    <row r="219" customFormat="false" ht="42" hidden="false" customHeight="true" outlineLevel="0" collapsed="false">
      <c r="A219" s="12" t="s">
        <v>247</v>
      </c>
      <c r="B219" s="12"/>
      <c r="C219" s="12"/>
      <c r="D219" s="12"/>
      <c r="E219" s="12" t="s">
        <v>248</v>
      </c>
      <c r="F219" s="12"/>
      <c r="G219" s="12"/>
      <c r="H219" s="12"/>
    </row>
    <row r="220" customFormat="false" ht="24" hidden="false" customHeight="true" outlineLevel="0" collapsed="false">
      <c r="A220" s="13" t="s">
        <v>249</v>
      </c>
      <c r="B220" s="13"/>
      <c r="C220" s="13"/>
      <c r="D220" s="13"/>
      <c r="E220" s="13"/>
      <c r="F220" s="13"/>
      <c r="G220" s="13"/>
      <c r="H220" s="13"/>
    </row>
    <row r="221" customFormat="false" ht="7.5" hidden="false" customHeight="true" outlineLevel="0" collapsed="false"/>
    <row r="222" customFormat="false" ht="24" hidden="false" customHeight="true" outlineLevel="0" collapsed="false">
      <c r="A222" s="9" t="s">
        <v>250</v>
      </c>
      <c r="B222" s="9"/>
      <c r="C222" s="9"/>
      <c r="D222" s="9"/>
      <c r="E222" s="9"/>
      <c r="F222" s="9"/>
      <c r="G222" s="9"/>
      <c r="H222" s="9"/>
    </row>
    <row r="223" customFormat="false" ht="42" hidden="false" customHeight="true" outlineLevel="0" collapsed="false">
      <c r="A223" s="10" t="s">
        <v>205</v>
      </c>
      <c r="B223" s="10"/>
      <c r="C223" s="10"/>
      <c r="D223" s="10"/>
      <c r="E223" s="10"/>
      <c r="F223" s="10"/>
      <c r="G223" s="10"/>
      <c r="H223" s="10"/>
    </row>
    <row r="224" customFormat="false" ht="45.75" hidden="false" customHeight="true" outlineLevel="0" collapsed="false">
      <c r="A224" s="11" t="s">
        <v>251</v>
      </c>
      <c r="B224" s="11"/>
      <c r="C224" s="11"/>
      <c r="D224" s="11"/>
      <c r="E224" s="11"/>
      <c r="F224" s="11"/>
      <c r="G224" s="11"/>
      <c r="H224" s="11"/>
    </row>
    <row r="225" customFormat="false" ht="33.75" hidden="false" customHeight="true" outlineLevel="0" collapsed="false">
      <c r="A225" s="12" t="s">
        <v>252</v>
      </c>
      <c r="B225" s="12"/>
      <c r="C225" s="12"/>
      <c r="D225" s="12"/>
      <c r="E225" s="12" t="s">
        <v>253</v>
      </c>
      <c r="F225" s="12"/>
      <c r="G225" s="12"/>
      <c r="H225" s="12"/>
    </row>
    <row r="226" customFormat="false" ht="33.75" hidden="false" customHeight="true" outlineLevel="0" collapsed="false">
      <c r="A226" s="12" t="s">
        <v>254</v>
      </c>
      <c r="B226" s="12"/>
      <c r="C226" s="12"/>
      <c r="D226" s="12"/>
      <c r="E226" s="12" t="s">
        <v>255</v>
      </c>
      <c r="F226" s="12"/>
      <c r="G226" s="12"/>
      <c r="H226" s="12"/>
    </row>
    <row r="227" customFormat="false" ht="24" hidden="false" customHeight="true" outlineLevel="0" collapsed="false">
      <c r="A227" s="13" t="s">
        <v>249</v>
      </c>
      <c r="B227" s="13"/>
      <c r="C227" s="13"/>
      <c r="D227" s="13"/>
      <c r="E227" s="13"/>
      <c r="F227" s="13"/>
      <c r="G227" s="13"/>
      <c r="H227" s="13"/>
    </row>
    <row r="228" customFormat="false" ht="7.5" hidden="false" customHeight="true" outlineLevel="0" collapsed="false"/>
    <row r="229" customFormat="false" ht="24" hidden="false" customHeight="true" outlineLevel="0" collapsed="false">
      <c r="A229" s="9" t="s">
        <v>256</v>
      </c>
      <c r="B229" s="9"/>
      <c r="C229" s="9"/>
      <c r="D229" s="9"/>
      <c r="E229" s="9"/>
      <c r="F229" s="9"/>
      <c r="G229" s="9"/>
      <c r="H229" s="9"/>
    </row>
    <row r="230" customFormat="false" ht="42" hidden="false" customHeight="true" outlineLevel="0" collapsed="false">
      <c r="A230" s="10" t="s">
        <v>205</v>
      </c>
      <c r="B230" s="10"/>
      <c r="C230" s="10"/>
      <c r="D230" s="10"/>
      <c r="E230" s="10"/>
      <c r="F230" s="10"/>
      <c r="G230" s="10"/>
      <c r="H230" s="10"/>
    </row>
    <row r="231" customFormat="false" ht="45.75" hidden="false" customHeight="true" outlineLevel="0" collapsed="false">
      <c r="A231" s="11" t="s">
        <v>257</v>
      </c>
      <c r="B231" s="11"/>
      <c r="C231" s="11"/>
      <c r="D231" s="11"/>
      <c r="E231" s="11"/>
      <c r="F231" s="11"/>
      <c r="G231" s="11"/>
      <c r="H231" s="11"/>
    </row>
    <row r="232" customFormat="false" ht="54.75" hidden="false" customHeight="true" outlineLevel="0" collapsed="false">
      <c r="A232" s="12" t="s">
        <v>258</v>
      </c>
      <c r="B232" s="12"/>
      <c r="C232" s="12"/>
      <c r="D232" s="12"/>
      <c r="E232" s="12" t="s">
        <v>259</v>
      </c>
      <c r="F232" s="12"/>
      <c r="G232" s="12"/>
      <c r="H232" s="12"/>
    </row>
    <row r="233" customFormat="false" ht="54.75" hidden="false" customHeight="true" outlineLevel="0" collapsed="false">
      <c r="A233" s="12" t="s">
        <v>260</v>
      </c>
      <c r="B233" s="12"/>
      <c r="C233" s="12"/>
      <c r="D233" s="12"/>
      <c r="E233" s="12" t="s">
        <v>261</v>
      </c>
      <c r="F233" s="12"/>
      <c r="G233" s="12"/>
      <c r="H233" s="12"/>
    </row>
    <row r="234" customFormat="false" ht="24" hidden="false" customHeight="true" outlineLevel="0" collapsed="false">
      <c r="A234" s="13" t="s">
        <v>249</v>
      </c>
      <c r="B234" s="13"/>
      <c r="C234" s="13"/>
      <c r="D234" s="13"/>
      <c r="E234" s="13"/>
      <c r="F234" s="13"/>
      <c r="G234" s="13"/>
      <c r="H234" s="13"/>
    </row>
    <row r="235" customFormat="false" ht="7.5" hidden="false" customHeight="true" outlineLevel="0" collapsed="false"/>
    <row r="236" customFormat="false" ht="24" hidden="false" customHeight="true" outlineLevel="0" collapsed="false">
      <c r="A236" s="9" t="s">
        <v>262</v>
      </c>
      <c r="B236" s="9"/>
      <c r="C236" s="9"/>
      <c r="D236" s="9"/>
      <c r="E236" s="9"/>
      <c r="F236" s="9"/>
      <c r="G236" s="9"/>
      <c r="H236" s="9"/>
    </row>
    <row r="237" customFormat="false" ht="42" hidden="false" customHeight="true" outlineLevel="0" collapsed="false">
      <c r="A237" s="10" t="s">
        <v>205</v>
      </c>
      <c r="B237" s="10"/>
      <c r="C237" s="10"/>
      <c r="D237" s="10"/>
      <c r="E237" s="10"/>
      <c r="F237" s="10"/>
      <c r="G237" s="10"/>
      <c r="H237" s="10"/>
    </row>
    <row r="238" customFormat="false" ht="45.75" hidden="false" customHeight="true" outlineLevel="0" collapsed="false">
      <c r="A238" s="11" t="s">
        <v>263</v>
      </c>
      <c r="B238" s="11"/>
      <c r="C238" s="11"/>
      <c r="D238" s="11"/>
      <c r="E238" s="11"/>
      <c r="F238" s="11"/>
      <c r="G238" s="11"/>
      <c r="H238" s="11"/>
    </row>
    <row r="239" customFormat="false" ht="42" hidden="false" customHeight="true" outlineLevel="0" collapsed="false">
      <c r="A239" s="12" t="s">
        <v>264</v>
      </c>
      <c r="B239" s="12"/>
      <c r="C239" s="12"/>
      <c r="D239" s="12"/>
      <c r="E239" s="12" t="s">
        <v>265</v>
      </c>
      <c r="F239" s="12"/>
      <c r="G239" s="12"/>
      <c r="H239" s="12"/>
    </row>
    <row r="240" customFormat="false" ht="33.75" hidden="false" customHeight="true" outlineLevel="0" collapsed="false">
      <c r="A240" s="12" t="s">
        <v>266</v>
      </c>
      <c r="B240" s="12"/>
      <c r="C240" s="12"/>
      <c r="D240" s="12"/>
      <c r="E240" s="12" t="s">
        <v>267</v>
      </c>
      <c r="F240" s="12"/>
      <c r="G240" s="12"/>
      <c r="H240" s="12"/>
    </row>
    <row r="241" customFormat="false" ht="24" hidden="false" customHeight="true" outlineLevel="0" collapsed="false">
      <c r="A241" s="13" t="s">
        <v>268</v>
      </c>
      <c r="B241" s="13"/>
      <c r="C241" s="13"/>
      <c r="D241" s="13"/>
      <c r="E241" s="13"/>
      <c r="F241" s="13"/>
      <c r="G241" s="13"/>
      <c r="H241" s="13"/>
    </row>
    <row r="242" customFormat="false" ht="7.5" hidden="false" customHeight="true" outlineLevel="0" collapsed="false"/>
    <row r="243" customFormat="false" ht="24" hidden="false" customHeight="true" outlineLevel="0" collapsed="false">
      <c r="A243" s="9" t="s">
        <v>269</v>
      </c>
      <c r="B243" s="9"/>
      <c r="C243" s="9"/>
      <c r="D243" s="9"/>
      <c r="E243" s="9"/>
      <c r="F243" s="9"/>
      <c r="G243" s="9"/>
      <c r="H243" s="9"/>
    </row>
    <row r="244" customFormat="false" ht="42" hidden="false" customHeight="true" outlineLevel="0" collapsed="false">
      <c r="A244" s="10" t="s">
        <v>205</v>
      </c>
      <c r="B244" s="10"/>
      <c r="C244" s="10"/>
      <c r="D244" s="10"/>
      <c r="E244" s="10"/>
      <c r="F244" s="10"/>
      <c r="G244" s="10"/>
      <c r="H244" s="10"/>
    </row>
    <row r="245" customFormat="false" ht="42" hidden="false" customHeight="true" outlineLevel="0" collapsed="false">
      <c r="A245" s="11" t="s">
        <v>270</v>
      </c>
      <c r="B245" s="11"/>
      <c r="C245" s="11"/>
      <c r="D245" s="11"/>
      <c r="E245" s="11"/>
      <c r="F245" s="11"/>
      <c r="G245" s="11"/>
      <c r="H245" s="11"/>
    </row>
    <row r="246" customFormat="false" ht="42" hidden="false" customHeight="true" outlineLevel="0" collapsed="false">
      <c r="A246" s="12" t="s">
        <v>271</v>
      </c>
      <c r="B246" s="12"/>
      <c r="C246" s="12"/>
      <c r="D246" s="12"/>
      <c r="E246" s="12" t="s">
        <v>272</v>
      </c>
      <c r="F246" s="12"/>
      <c r="G246" s="12"/>
      <c r="H246" s="12"/>
    </row>
    <row r="247" customFormat="false" ht="33.75" hidden="false" customHeight="true" outlineLevel="0" collapsed="false">
      <c r="A247" s="12" t="s">
        <v>273</v>
      </c>
      <c r="B247" s="12"/>
      <c r="C247" s="12"/>
      <c r="D247" s="12"/>
      <c r="E247" s="12" t="s">
        <v>274</v>
      </c>
      <c r="F247" s="12"/>
      <c r="G247" s="12"/>
      <c r="H247" s="12"/>
    </row>
    <row r="248" customFormat="false" ht="24" hidden="false" customHeight="true" outlineLevel="0" collapsed="false">
      <c r="A248" s="13" t="s">
        <v>268</v>
      </c>
      <c r="B248" s="13"/>
      <c r="C248" s="13"/>
      <c r="D248" s="13"/>
      <c r="E248" s="13"/>
      <c r="F248" s="13"/>
      <c r="G248" s="13"/>
      <c r="H248" s="13"/>
    </row>
    <row r="249" customFormat="false" ht="7.5" hidden="false" customHeight="true" outlineLevel="0" collapsed="false"/>
    <row r="250" customFormat="false" ht="24" hidden="false" customHeight="true" outlineLevel="0" collapsed="false">
      <c r="A250" s="9" t="s">
        <v>275</v>
      </c>
      <c r="B250" s="9"/>
      <c r="C250" s="9"/>
      <c r="D250" s="9"/>
      <c r="E250" s="9"/>
      <c r="F250" s="9"/>
      <c r="G250" s="9"/>
      <c r="H250" s="9"/>
    </row>
    <row r="251" customFormat="false" ht="42" hidden="false" customHeight="true" outlineLevel="0" collapsed="false">
      <c r="A251" s="10" t="s">
        <v>205</v>
      </c>
      <c r="B251" s="10"/>
      <c r="C251" s="10"/>
      <c r="D251" s="10"/>
      <c r="E251" s="10"/>
      <c r="F251" s="10"/>
      <c r="G251" s="10"/>
      <c r="H251" s="10"/>
    </row>
    <row r="252" customFormat="false" ht="42" hidden="false" customHeight="true" outlineLevel="0" collapsed="false">
      <c r="A252" s="11" t="s">
        <v>276</v>
      </c>
      <c r="B252" s="11"/>
      <c r="C252" s="11"/>
      <c r="D252" s="11"/>
      <c r="E252" s="11"/>
      <c r="F252" s="11"/>
      <c r="G252" s="11"/>
      <c r="H252" s="11"/>
    </row>
    <row r="253" customFormat="false" ht="54.75" hidden="false" customHeight="true" outlineLevel="0" collapsed="false">
      <c r="A253" s="12" t="s">
        <v>277</v>
      </c>
      <c r="B253" s="12"/>
      <c r="C253" s="12"/>
      <c r="D253" s="12"/>
      <c r="E253" s="12" t="s">
        <v>278</v>
      </c>
      <c r="F253" s="12"/>
      <c r="G253" s="12"/>
      <c r="H253" s="12"/>
    </row>
    <row r="254" customFormat="false" ht="42" hidden="false" customHeight="true" outlineLevel="0" collapsed="false">
      <c r="A254" s="12" t="s">
        <v>279</v>
      </c>
      <c r="B254" s="12"/>
      <c r="C254" s="12"/>
      <c r="D254" s="12"/>
      <c r="E254" s="12" t="s">
        <v>280</v>
      </c>
      <c r="F254" s="12"/>
      <c r="G254" s="12"/>
      <c r="H254" s="12"/>
    </row>
    <row r="255" customFormat="false" ht="24" hidden="false" customHeight="true" outlineLevel="0" collapsed="false">
      <c r="A255" s="13" t="s">
        <v>268</v>
      </c>
      <c r="B255" s="13"/>
      <c r="C255" s="13"/>
      <c r="D255" s="13"/>
      <c r="E255" s="13"/>
      <c r="F255" s="13"/>
      <c r="G255" s="13"/>
      <c r="H255" s="13"/>
    </row>
    <row r="256" customFormat="false" ht="7.5" hidden="false" customHeight="true" outlineLevel="0" collapsed="false"/>
    <row r="257" customFormat="false" ht="24" hidden="false" customHeight="true" outlineLevel="0" collapsed="false">
      <c r="A257" s="9" t="s">
        <v>281</v>
      </c>
      <c r="B257" s="9"/>
      <c r="C257" s="9"/>
      <c r="D257" s="9"/>
      <c r="E257" s="9"/>
      <c r="F257" s="9"/>
      <c r="G257" s="9"/>
      <c r="H257" s="9"/>
    </row>
    <row r="258" customFormat="false" ht="42" hidden="false" customHeight="true" outlineLevel="0" collapsed="false">
      <c r="A258" s="10" t="s">
        <v>205</v>
      </c>
      <c r="B258" s="10"/>
      <c r="C258" s="10"/>
      <c r="D258" s="10"/>
      <c r="E258" s="10"/>
      <c r="F258" s="10"/>
      <c r="G258" s="10"/>
      <c r="H258" s="10"/>
    </row>
    <row r="259" customFormat="false" ht="42" hidden="false" customHeight="true" outlineLevel="0" collapsed="false">
      <c r="A259" s="11" t="s">
        <v>282</v>
      </c>
      <c r="B259" s="11"/>
      <c r="C259" s="11"/>
      <c r="D259" s="11"/>
      <c r="E259" s="11"/>
      <c r="F259" s="11"/>
      <c r="G259" s="11"/>
      <c r="H259" s="11"/>
    </row>
    <row r="260" customFormat="false" ht="54.75" hidden="false" customHeight="true" outlineLevel="0" collapsed="false">
      <c r="A260" s="12" t="s">
        <v>283</v>
      </c>
      <c r="B260" s="12"/>
      <c r="C260" s="12"/>
      <c r="D260" s="12"/>
      <c r="E260" s="12" t="s">
        <v>284</v>
      </c>
      <c r="F260" s="12"/>
      <c r="G260" s="12"/>
      <c r="H260" s="12"/>
    </row>
    <row r="261" customFormat="false" ht="54.75" hidden="false" customHeight="true" outlineLevel="0" collapsed="false">
      <c r="A261" s="12" t="s">
        <v>285</v>
      </c>
      <c r="B261" s="12"/>
      <c r="C261" s="12"/>
      <c r="D261" s="12"/>
      <c r="E261" s="12" t="s">
        <v>286</v>
      </c>
      <c r="F261" s="12"/>
      <c r="G261" s="12"/>
      <c r="H261" s="12"/>
    </row>
    <row r="262" customFormat="false" ht="24" hidden="false" customHeight="true" outlineLevel="0" collapsed="false">
      <c r="A262" s="13" t="s">
        <v>268</v>
      </c>
      <c r="B262" s="13"/>
      <c r="C262" s="13"/>
      <c r="D262" s="13"/>
      <c r="E262" s="13"/>
      <c r="F262" s="13"/>
      <c r="G262" s="13"/>
      <c r="H262" s="13"/>
    </row>
    <row r="263" customFormat="false" ht="7.5" hidden="false" customHeight="true" outlineLevel="0" collapsed="false"/>
    <row r="264" customFormat="false" ht="24" hidden="false" customHeight="true" outlineLevel="0" collapsed="false">
      <c r="A264" s="9" t="s">
        <v>287</v>
      </c>
      <c r="B264" s="9"/>
      <c r="C264" s="9"/>
      <c r="D264" s="9"/>
      <c r="E264" s="9"/>
      <c r="F264" s="9"/>
      <c r="G264" s="9"/>
      <c r="H264" s="9"/>
    </row>
    <row r="265" customFormat="false" ht="42" hidden="false" customHeight="true" outlineLevel="0" collapsed="false">
      <c r="A265" s="10" t="s">
        <v>205</v>
      </c>
      <c r="B265" s="10"/>
      <c r="C265" s="10"/>
      <c r="D265" s="10"/>
      <c r="E265" s="10"/>
      <c r="F265" s="10"/>
      <c r="G265" s="10"/>
      <c r="H265" s="10"/>
    </row>
    <row r="266" customFormat="false" ht="42" hidden="false" customHeight="true" outlineLevel="0" collapsed="false">
      <c r="A266" s="11" t="s">
        <v>288</v>
      </c>
      <c r="B266" s="11"/>
      <c r="C266" s="11"/>
      <c r="D266" s="11"/>
      <c r="E266" s="11"/>
      <c r="F266" s="11"/>
      <c r="G266" s="11"/>
      <c r="H266" s="11"/>
    </row>
    <row r="267" customFormat="false" ht="54.75" hidden="false" customHeight="true" outlineLevel="0" collapsed="false">
      <c r="A267" s="12" t="s">
        <v>289</v>
      </c>
      <c r="B267" s="12"/>
      <c r="C267" s="12"/>
      <c r="D267" s="12"/>
      <c r="E267" s="12" t="s">
        <v>290</v>
      </c>
      <c r="F267" s="12"/>
      <c r="G267" s="12"/>
      <c r="H267" s="12"/>
    </row>
    <row r="268" customFormat="false" ht="67.5" hidden="false" customHeight="true" outlineLevel="0" collapsed="false">
      <c r="A268" s="12" t="s">
        <v>291</v>
      </c>
      <c r="B268" s="12"/>
      <c r="C268" s="12"/>
      <c r="D268" s="12"/>
      <c r="E268" s="12" t="s">
        <v>292</v>
      </c>
      <c r="F268" s="12"/>
      <c r="G268" s="12"/>
      <c r="H268" s="12"/>
    </row>
    <row r="269" customFormat="false" ht="24" hidden="false" customHeight="true" outlineLevel="0" collapsed="false">
      <c r="A269" s="13" t="s">
        <v>293</v>
      </c>
      <c r="B269" s="13"/>
      <c r="C269" s="13"/>
      <c r="D269" s="13"/>
      <c r="E269" s="13"/>
      <c r="F269" s="13"/>
      <c r="G269" s="13"/>
      <c r="H269" s="13"/>
    </row>
    <row r="270" customFormat="false" ht="7.5" hidden="false" customHeight="true" outlineLevel="0" collapsed="false"/>
    <row r="271" customFormat="false" ht="24" hidden="false" customHeight="true" outlineLevel="0" collapsed="false">
      <c r="A271" s="9" t="s">
        <v>294</v>
      </c>
      <c r="B271" s="9"/>
      <c r="C271" s="9"/>
      <c r="D271" s="9"/>
      <c r="E271" s="9"/>
      <c r="F271" s="9"/>
      <c r="G271" s="9"/>
      <c r="H271" s="9"/>
    </row>
    <row r="272" customFormat="false" ht="42" hidden="false" customHeight="true" outlineLevel="0" collapsed="false">
      <c r="A272" s="10" t="s">
        <v>205</v>
      </c>
      <c r="B272" s="10"/>
      <c r="C272" s="10"/>
      <c r="D272" s="10"/>
      <c r="E272" s="10"/>
      <c r="F272" s="10"/>
      <c r="G272" s="10"/>
      <c r="H272" s="10"/>
    </row>
    <row r="273" customFormat="false" ht="42" hidden="false" customHeight="true" outlineLevel="0" collapsed="false">
      <c r="A273" s="11" t="s">
        <v>295</v>
      </c>
      <c r="B273" s="11"/>
      <c r="C273" s="11"/>
      <c r="D273" s="11"/>
      <c r="E273" s="11"/>
      <c r="F273" s="11"/>
      <c r="G273" s="11"/>
      <c r="H273" s="11"/>
    </row>
    <row r="274" customFormat="false" ht="67.5" hidden="false" customHeight="true" outlineLevel="0" collapsed="false">
      <c r="A274" s="12" t="s">
        <v>296</v>
      </c>
      <c r="B274" s="12"/>
      <c r="C274" s="12"/>
      <c r="D274" s="12"/>
      <c r="E274" s="12" t="s">
        <v>297</v>
      </c>
      <c r="F274" s="12"/>
      <c r="G274" s="12"/>
      <c r="H274" s="12"/>
    </row>
    <row r="275" customFormat="false" ht="67.5" hidden="false" customHeight="true" outlineLevel="0" collapsed="false">
      <c r="A275" s="12" t="s">
        <v>298</v>
      </c>
      <c r="B275" s="12"/>
      <c r="C275" s="12"/>
      <c r="D275" s="12"/>
      <c r="E275" s="12" t="s">
        <v>299</v>
      </c>
      <c r="F275" s="12"/>
      <c r="G275" s="12"/>
      <c r="H275" s="12"/>
    </row>
    <row r="276" customFormat="false" ht="24" hidden="false" customHeight="true" outlineLevel="0" collapsed="false">
      <c r="A276" s="13" t="s">
        <v>293</v>
      </c>
      <c r="B276" s="13"/>
      <c r="C276" s="13"/>
      <c r="D276" s="13"/>
      <c r="E276" s="13"/>
      <c r="F276" s="13"/>
      <c r="G276" s="13"/>
      <c r="H276" s="13"/>
    </row>
    <row r="277" customFormat="false" ht="7.5" hidden="false" customHeight="true" outlineLevel="0" collapsed="false"/>
    <row r="278" customFormat="false" ht="24" hidden="false" customHeight="true" outlineLevel="0" collapsed="false">
      <c r="A278" s="9" t="s">
        <v>300</v>
      </c>
      <c r="B278" s="9"/>
      <c r="C278" s="9"/>
      <c r="D278" s="9"/>
      <c r="E278" s="9"/>
      <c r="F278" s="9"/>
      <c r="G278" s="9"/>
      <c r="H278" s="9"/>
    </row>
    <row r="279" customFormat="false" ht="42" hidden="false" customHeight="true" outlineLevel="0" collapsed="false">
      <c r="A279" s="10" t="s">
        <v>205</v>
      </c>
      <c r="B279" s="10"/>
      <c r="C279" s="10"/>
      <c r="D279" s="10"/>
      <c r="E279" s="10"/>
      <c r="F279" s="10"/>
      <c r="G279" s="10"/>
      <c r="H279" s="10"/>
    </row>
    <row r="280" customFormat="false" ht="42" hidden="false" customHeight="true" outlineLevel="0" collapsed="false">
      <c r="A280" s="11" t="s">
        <v>301</v>
      </c>
      <c r="B280" s="11"/>
      <c r="C280" s="11"/>
      <c r="D280" s="11"/>
      <c r="E280" s="11"/>
      <c r="F280" s="11"/>
      <c r="G280" s="11"/>
      <c r="H280" s="11"/>
    </row>
    <row r="281" customFormat="false" ht="54.75" hidden="false" customHeight="true" outlineLevel="0" collapsed="false">
      <c r="A281" s="12" t="s">
        <v>302</v>
      </c>
      <c r="B281" s="12"/>
      <c r="C281" s="12"/>
      <c r="D281" s="12"/>
      <c r="E281" s="12" t="s">
        <v>303</v>
      </c>
      <c r="F281" s="12"/>
      <c r="G281" s="12"/>
      <c r="H281" s="12"/>
    </row>
    <row r="282" customFormat="false" ht="42" hidden="false" customHeight="true" outlineLevel="0" collapsed="false">
      <c r="A282" s="12" t="s">
        <v>304</v>
      </c>
      <c r="B282" s="12"/>
      <c r="C282" s="12"/>
      <c r="D282" s="12"/>
      <c r="E282" s="12" t="s">
        <v>305</v>
      </c>
      <c r="F282" s="12"/>
      <c r="G282" s="12"/>
      <c r="H282" s="12"/>
    </row>
    <row r="283" customFormat="false" ht="24" hidden="false" customHeight="true" outlineLevel="0" collapsed="false">
      <c r="A283" s="13" t="s">
        <v>293</v>
      </c>
      <c r="B283" s="13"/>
      <c r="C283" s="13"/>
      <c r="D283" s="13"/>
      <c r="E283" s="13"/>
      <c r="F283" s="13"/>
      <c r="G283" s="13"/>
      <c r="H283" s="13"/>
    </row>
    <row r="284" customFormat="false" ht="7.5" hidden="false" customHeight="true" outlineLevel="0" collapsed="false"/>
    <row r="285" customFormat="false" ht="24" hidden="false" customHeight="true" outlineLevel="0" collapsed="false">
      <c r="A285" s="9" t="s">
        <v>306</v>
      </c>
      <c r="B285" s="9"/>
      <c r="C285" s="9"/>
      <c r="D285" s="9"/>
      <c r="E285" s="9"/>
      <c r="F285" s="9"/>
      <c r="G285" s="9"/>
      <c r="H285" s="9"/>
    </row>
    <row r="286" customFormat="false" ht="42" hidden="false" customHeight="true" outlineLevel="0" collapsed="false">
      <c r="A286" s="10" t="s">
        <v>205</v>
      </c>
      <c r="B286" s="10"/>
      <c r="C286" s="10"/>
      <c r="D286" s="10"/>
      <c r="E286" s="10"/>
      <c r="F286" s="10"/>
      <c r="G286" s="10"/>
      <c r="H286" s="10"/>
    </row>
    <row r="287" customFormat="false" ht="42" hidden="false" customHeight="true" outlineLevel="0" collapsed="false">
      <c r="A287" s="11" t="s">
        <v>307</v>
      </c>
      <c r="B287" s="11"/>
      <c r="C287" s="11"/>
      <c r="D287" s="11"/>
      <c r="E287" s="11"/>
      <c r="F287" s="11"/>
      <c r="G287" s="11"/>
      <c r="H287" s="11"/>
    </row>
    <row r="288" customFormat="false" ht="54.75" hidden="false" customHeight="true" outlineLevel="0" collapsed="false">
      <c r="A288" s="12" t="s">
        <v>308</v>
      </c>
      <c r="B288" s="12"/>
      <c r="C288" s="12"/>
      <c r="D288" s="12"/>
      <c r="E288" s="12" t="s">
        <v>309</v>
      </c>
      <c r="F288" s="12"/>
      <c r="G288" s="12"/>
      <c r="H288" s="12"/>
    </row>
    <row r="289" customFormat="false" ht="54.75" hidden="false" customHeight="true" outlineLevel="0" collapsed="false">
      <c r="A289" s="12" t="s">
        <v>310</v>
      </c>
      <c r="B289" s="12"/>
      <c r="C289" s="12"/>
      <c r="D289" s="12"/>
      <c r="E289" s="12" t="s">
        <v>267</v>
      </c>
      <c r="F289" s="12"/>
      <c r="G289" s="12"/>
      <c r="H289" s="12"/>
    </row>
    <row r="290" customFormat="false" ht="24" hidden="false" customHeight="true" outlineLevel="0" collapsed="false">
      <c r="A290" s="13" t="s">
        <v>311</v>
      </c>
      <c r="B290" s="13"/>
      <c r="C290" s="13"/>
      <c r="D290" s="13"/>
      <c r="E290" s="13"/>
      <c r="F290" s="13"/>
      <c r="G290" s="13"/>
      <c r="H290" s="13"/>
    </row>
    <row r="291" customFormat="false" ht="7.5" hidden="false" customHeight="true" outlineLevel="0" collapsed="false"/>
    <row r="292" customFormat="false" ht="24" hidden="false" customHeight="true" outlineLevel="0" collapsed="false">
      <c r="A292" s="9" t="s">
        <v>312</v>
      </c>
      <c r="B292" s="9"/>
      <c r="C292" s="9"/>
      <c r="D292" s="9"/>
      <c r="E292" s="9"/>
      <c r="F292" s="9"/>
      <c r="G292" s="9"/>
      <c r="H292" s="9"/>
    </row>
    <row r="293" customFormat="false" ht="42" hidden="false" customHeight="true" outlineLevel="0" collapsed="false">
      <c r="A293" s="10" t="s">
        <v>205</v>
      </c>
      <c r="B293" s="10"/>
      <c r="C293" s="10"/>
      <c r="D293" s="10"/>
      <c r="E293" s="10"/>
      <c r="F293" s="10"/>
      <c r="G293" s="10"/>
      <c r="H293" s="10"/>
    </row>
    <row r="294" customFormat="false" ht="60" hidden="false" customHeight="true" outlineLevel="0" collapsed="false">
      <c r="A294" s="11" t="s">
        <v>313</v>
      </c>
      <c r="B294" s="11"/>
      <c r="C294" s="11"/>
      <c r="D294" s="11"/>
      <c r="E294" s="11"/>
      <c r="F294" s="11"/>
      <c r="G294" s="11"/>
      <c r="H294" s="11"/>
    </row>
    <row r="295" customFormat="false" ht="54.75" hidden="false" customHeight="true" outlineLevel="0" collapsed="false">
      <c r="A295" s="12" t="s">
        <v>314</v>
      </c>
      <c r="B295" s="12"/>
      <c r="C295" s="12"/>
      <c r="D295" s="12"/>
      <c r="E295" s="12" t="s">
        <v>315</v>
      </c>
      <c r="F295" s="12"/>
      <c r="G295" s="12"/>
      <c r="H295" s="12"/>
    </row>
    <row r="296" customFormat="false" ht="42" hidden="false" customHeight="true" outlineLevel="0" collapsed="false">
      <c r="A296" s="12" t="s">
        <v>316</v>
      </c>
      <c r="B296" s="12"/>
      <c r="C296" s="12"/>
      <c r="D296" s="12"/>
      <c r="E296" s="12" t="s">
        <v>317</v>
      </c>
      <c r="F296" s="12"/>
      <c r="G296" s="12"/>
      <c r="H296" s="12"/>
    </row>
    <row r="297" customFormat="false" ht="24" hidden="false" customHeight="true" outlineLevel="0" collapsed="false">
      <c r="A297" s="13" t="s">
        <v>311</v>
      </c>
      <c r="B297" s="13"/>
      <c r="C297" s="13"/>
      <c r="D297" s="13"/>
      <c r="E297" s="13"/>
      <c r="F297" s="13"/>
      <c r="G297" s="13"/>
      <c r="H297" s="13"/>
    </row>
    <row r="298" customFormat="false" ht="7.5" hidden="false" customHeight="true" outlineLevel="0" collapsed="false"/>
    <row r="299" customFormat="false" ht="24" hidden="false" customHeight="true" outlineLevel="0" collapsed="false">
      <c r="A299" s="9" t="s">
        <v>318</v>
      </c>
      <c r="B299" s="9"/>
      <c r="C299" s="9"/>
      <c r="D299" s="9"/>
      <c r="E299" s="9"/>
      <c r="F299" s="9"/>
      <c r="G299" s="9"/>
      <c r="H299" s="9"/>
    </row>
    <row r="300" customFormat="false" ht="42" hidden="false" customHeight="true" outlineLevel="0" collapsed="false">
      <c r="A300" s="10" t="s">
        <v>205</v>
      </c>
      <c r="B300" s="10"/>
      <c r="C300" s="10"/>
      <c r="D300" s="10"/>
      <c r="E300" s="10"/>
      <c r="F300" s="10"/>
      <c r="G300" s="10"/>
      <c r="H300" s="10"/>
    </row>
    <row r="301" customFormat="false" ht="42" hidden="false" customHeight="true" outlineLevel="0" collapsed="false">
      <c r="A301" s="11" t="s">
        <v>319</v>
      </c>
      <c r="B301" s="11"/>
      <c r="C301" s="11"/>
      <c r="D301" s="11"/>
      <c r="E301" s="11"/>
      <c r="F301" s="11"/>
      <c r="G301" s="11"/>
      <c r="H301" s="11"/>
    </row>
    <row r="302" customFormat="false" ht="54.75" hidden="false" customHeight="true" outlineLevel="0" collapsed="false">
      <c r="A302" s="12" t="s">
        <v>320</v>
      </c>
      <c r="B302" s="12"/>
      <c r="C302" s="12"/>
      <c r="D302" s="12"/>
      <c r="E302" s="12" t="s">
        <v>321</v>
      </c>
      <c r="F302" s="12"/>
      <c r="G302" s="12"/>
      <c r="H302" s="12"/>
    </row>
    <row r="303" customFormat="false" ht="54.75" hidden="false" customHeight="true" outlineLevel="0" collapsed="false">
      <c r="A303" s="12" t="s">
        <v>322</v>
      </c>
      <c r="B303" s="12"/>
      <c r="C303" s="12"/>
      <c r="D303" s="12"/>
      <c r="E303" s="12" t="s">
        <v>323</v>
      </c>
      <c r="F303" s="12"/>
      <c r="G303" s="12"/>
      <c r="H303" s="12"/>
    </row>
    <row r="304" customFormat="false" ht="24" hidden="false" customHeight="true" outlineLevel="0" collapsed="false">
      <c r="A304" s="13" t="s">
        <v>311</v>
      </c>
      <c r="B304" s="13"/>
      <c r="C304" s="13"/>
      <c r="D304" s="13"/>
      <c r="E304" s="13"/>
      <c r="F304" s="13"/>
      <c r="G304" s="13"/>
      <c r="H304" s="13"/>
    </row>
    <row r="305" customFormat="false" ht="7.5" hidden="false" customHeight="true" outlineLevel="0" collapsed="false"/>
    <row r="306" customFormat="false" ht="24" hidden="false" customHeight="true" outlineLevel="0" collapsed="false">
      <c r="A306" s="9" t="s">
        <v>324</v>
      </c>
      <c r="B306" s="9"/>
      <c r="C306" s="9"/>
      <c r="D306" s="9"/>
      <c r="E306" s="9"/>
      <c r="F306" s="9"/>
      <c r="G306" s="9"/>
      <c r="H306" s="9"/>
    </row>
    <row r="307" customFormat="false" ht="42" hidden="false" customHeight="true" outlineLevel="0" collapsed="false">
      <c r="A307" s="10" t="s">
        <v>205</v>
      </c>
      <c r="B307" s="10"/>
      <c r="C307" s="10"/>
      <c r="D307" s="10"/>
      <c r="E307" s="10"/>
      <c r="F307" s="10"/>
      <c r="G307" s="10"/>
      <c r="H307" s="10"/>
    </row>
    <row r="308" customFormat="false" ht="45.75" hidden="false" customHeight="true" outlineLevel="0" collapsed="false">
      <c r="A308" s="11" t="s">
        <v>325</v>
      </c>
      <c r="B308" s="11"/>
      <c r="C308" s="11"/>
      <c r="D308" s="11"/>
      <c r="E308" s="11"/>
      <c r="F308" s="11"/>
      <c r="G308" s="11"/>
      <c r="H308" s="11"/>
    </row>
    <row r="309" customFormat="false" ht="33.75" hidden="false" customHeight="true" outlineLevel="0" collapsed="false">
      <c r="A309" s="12" t="s">
        <v>326</v>
      </c>
      <c r="B309" s="12"/>
      <c r="C309" s="12"/>
      <c r="D309" s="12"/>
      <c r="E309" s="12" t="s">
        <v>327</v>
      </c>
      <c r="F309" s="12"/>
      <c r="G309" s="12"/>
      <c r="H309" s="12"/>
    </row>
    <row r="310" customFormat="false" ht="33.75" hidden="false" customHeight="true" outlineLevel="0" collapsed="false">
      <c r="A310" s="12" t="s">
        <v>328</v>
      </c>
      <c r="B310" s="12"/>
      <c r="C310" s="12"/>
      <c r="D310" s="12"/>
      <c r="E310" s="12" t="s">
        <v>329</v>
      </c>
      <c r="F310" s="12"/>
      <c r="G310" s="12"/>
      <c r="H310" s="12"/>
    </row>
    <row r="311" customFormat="false" ht="24" hidden="false" customHeight="true" outlineLevel="0" collapsed="false">
      <c r="A311" s="13" t="s">
        <v>330</v>
      </c>
      <c r="B311" s="13"/>
      <c r="C311" s="13"/>
      <c r="D311" s="13"/>
      <c r="E311" s="13"/>
      <c r="F311" s="13"/>
      <c r="G311" s="13"/>
      <c r="H311" s="13"/>
    </row>
    <row r="312" customFormat="false" ht="7.5" hidden="false" customHeight="true" outlineLevel="0" collapsed="false"/>
    <row r="313" customFormat="false" ht="24" hidden="false" customHeight="true" outlineLevel="0" collapsed="false">
      <c r="A313" s="9" t="s">
        <v>331</v>
      </c>
      <c r="B313" s="9"/>
      <c r="C313" s="9"/>
      <c r="D313" s="9"/>
      <c r="E313" s="9"/>
      <c r="F313" s="9"/>
      <c r="G313" s="9"/>
      <c r="H313" s="9"/>
    </row>
    <row r="314" customFormat="false" ht="42" hidden="false" customHeight="true" outlineLevel="0" collapsed="false">
      <c r="A314" s="10" t="s">
        <v>205</v>
      </c>
      <c r="B314" s="10"/>
      <c r="C314" s="10"/>
      <c r="D314" s="10"/>
      <c r="E314" s="10"/>
      <c r="F314" s="10"/>
      <c r="G314" s="10"/>
      <c r="H314" s="10"/>
    </row>
    <row r="315" customFormat="false" ht="45.75" hidden="false" customHeight="true" outlineLevel="0" collapsed="false">
      <c r="A315" s="11" t="s">
        <v>332</v>
      </c>
      <c r="B315" s="11"/>
      <c r="C315" s="11"/>
      <c r="D315" s="11"/>
      <c r="E315" s="11"/>
      <c r="F315" s="11"/>
      <c r="G315" s="11"/>
      <c r="H315" s="11"/>
    </row>
    <row r="316" customFormat="false" ht="42" hidden="false" customHeight="true" outlineLevel="0" collapsed="false">
      <c r="A316" s="12" t="s">
        <v>333</v>
      </c>
      <c r="B316" s="12"/>
      <c r="C316" s="12"/>
      <c r="D316" s="12"/>
      <c r="E316" s="12" t="s">
        <v>334</v>
      </c>
      <c r="F316" s="12"/>
      <c r="G316" s="12"/>
      <c r="H316" s="12"/>
    </row>
    <row r="317" customFormat="false" ht="67.5" hidden="false" customHeight="true" outlineLevel="0" collapsed="false">
      <c r="A317" s="12" t="s">
        <v>335</v>
      </c>
      <c r="B317" s="12"/>
      <c r="C317" s="12"/>
      <c r="D317" s="12"/>
      <c r="E317" s="12" t="s">
        <v>336</v>
      </c>
      <c r="F317" s="12"/>
      <c r="G317" s="12"/>
      <c r="H317" s="12"/>
    </row>
    <row r="318" customFormat="false" ht="24" hidden="false" customHeight="true" outlineLevel="0" collapsed="false">
      <c r="A318" s="13" t="s">
        <v>330</v>
      </c>
      <c r="B318" s="13"/>
      <c r="C318" s="13"/>
      <c r="D318" s="13"/>
      <c r="E318" s="13"/>
      <c r="F318" s="13"/>
      <c r="G318" s="13"/>
      <c r="H318" s="13"/>
    </row>
    <row r="319" customFormat="false" ht="7.5" hidden="false" customHeight="true" outlineLevel="0" collapsed="false"/>
    <row r="320" customFormat="false" ht="24" hidden="false" customHeight="true" outlineLevel="0" collapsed="false">
      <c r="A320" s="9" t="s">
        <v>337</v>
      </c>
      <c r="B320" s="9"/>
      <c r="C320" s="9"/>
      <c r="D320" s="9"/>
      <c r="E320" s="9"/>
      <c r="F320" s="9"/>
      <c r="G320" s="9"/>
      <c r="H320" s="9"/>
    </row>
    <row r="321" customFormat="false" ht="42" hidden="false" customHeight="true" outlineLevel="0" collapsed="false">
      <c r="A321" s="10" t="s">
        <v>205</v>
      </c>
      <c r="B321" s="10"/>
      <c r="C321" s="10"/>
      <c r="D321" s="10"/>
      <c r="E321" s="10"/>
      <c r="F321" s="10"/>
      <c r="G321" s="10"/>
      <c r="H321" s="10"/>
    </row>
    <row r="322" customFormat="false" ht="45.75" hidden="false" customHeight="true" outlineLevel="0" collapsed="false">
      <c r="A322" s="11" t="s">
        <v>338</v>
      </c>
      <c r="B322" s="11"/>
      <c r="C322" s="11"/>
      <c r="D322" s="11"/>
      <c r="E322" s="11"/>
      <c r="F322" s="11"/>
      <c r="G322" s="11"/>
      <c r="H322" s="11"/>
    </row>
    <row r="323" customFormat="false" ht="33.75" hidden="false" customHeight="true" outlineLevel="0" collapsed="false">
      <c r="A323" s="12" t="s">
        <v>339</v>
      </c>
      <c r="B323" s="12"/>
      <c r="C323" s="12"/>
      <c r="D323" s="12"/>
      <c r="E323" s="12" t="s">
        <v>340</v>
      </c>
      <c r="F323" s="12"/>
      <c r="G323" s="12"/>
      <c r="H323" s="12"/>
    </row>
    <row r="324" customFormat="false" ht="33.75" hidden="false" customHeight="true" outlineLevel="0" collapsed="false">
      <c r="A324" s="12" t="s">
        <v>341</v>
      </c>
      <c r="B324" s="12"/>
      <c r="C324" s="12"/>
      <c r="D324" s="12"/>
      <c r="E324" s="12" t="s">
        <v>342</v>
      </c>
      <c r="F324" s="12"/>
      <c r="G324" s="12"/>
      <c r="H324" s="12"/>
    </row>
    <row r="325" customFormat="false" ht="24" hidden="false" customHeight="true" outlineLevel="0" collapsed="false">
      <c r="A325" s="13" t="s">
        <v>330</v>
      </c>
      <c r="B325" s="13"/>
      <c r="C325" s="13"/>
      <c r="D325" s="13"/>
      <c r="E325" s="13"/>
      <c r="F325" s="13"/>
      <c r="G325" s="13"/>
      <c r="H325" s="13"/>
    </row>
    <row r="326" customFormat="false" ht="7.5" hidden="false" customHeight="true" outlineLevel="0" collapsed="false"/>
    <row r="327" customFormat="false" ht="24" hidden="false" customHeight="true" outlineLevel="0" collapsed="false">
      <c r="A327" s="9" t="s">
        <v>343</v>
      </c>
      <c r="B327" s="9"/>
      <c r="C327" s="9"/>
      <c r="D327" s="9"/>
      <c r="E327" s="9"/>
      <c r="F327" s="9"/>
      <c r="G327" s="9"/>
      <c r="H327" s="9"/>
    </row>
    <row r="328" customFormat="false" ht="126" hidden="false" customHeight="true" outlineLevel="0" collapsed="false">
      <c r="A328" s="10" t="s">
        <v>344</v>
      </c>
      <c r="B328" s="10"/>
      <c r="C328" s="10"/>
      <c r="D328" s="10"/>
      <c r="E328" s="10"/>
      <c r="F328" s="10"/>
      <c r="G328" s="10"/>
      <c r="H328" s="10"/>
    </row>
    <row r="329" customFormat="false" ht="112.5" hidden="false" customHeight="true" outlineLevel="0" collapsed="false">
      <c r="A329" s="10" t="s">
        <v>345</v>
      </c>
      <c r="B329" s="10"/>
      <c r="C329" s="10"/>
      <c r="D329" s="10"/>
      <c r="E329" s="10"/>
      <c r="F329" s="10"/>
      <c r="G329" s="10"/>
      <c r="H329" s="10"/>
    </row>
    <row r="330" customFormat="false" ht="42" hidden="false" customHeight="true" outlineLevel="0" collapsed="false">
      <c r="A330" s="10" t="s">
        <v>346</v>
      </c>
      <c r="B330" s="10"/>
      <c r="C330" s="10"/>
      <c r="D330" s="10"/>
      <c r="E330" s="10"/>
      <c r="F330" s="10"/>
      <c r="G330" s="10"/>
      <c r="H330" s="10"/>
    </row>
    <row r="331" customFormat="false" ht="42" hidden="false" customHeight="true" outlineLevel="0" collapsed="false">
      <c r="A331" s="11" t="s">
        <v>347</v>
      </c>
      <c r="B331" s="11"/>
      <c r="C331" s="11"/>
      <c r="D331" s="11"/>
      <c r="E331" s="11"/>
      <c r="F331" s="11"/>
      <c r="G331" s="11"/>
      <c r="H331" s="11"/>
    </row>
    <row r="332" customFormat="false" ht="33.75" hidden="false" customHeight="true" outlineLevel="0" collapsed="false">
      <c r="A332" s="12" t="s">
        <v>348</v>
      </c>
      <c r="B332" s="12"/>
      <c r="C332" s="12"/>
      <c r="D332" s="12"/>
      <c r="E332" s="12" t="s">
        <v>349</v>
      </c>
      <c r="F332" s="12"/>
      <c r="G332" s="12"/>
      <c r="H332" s="12"/>
    </row>
    <row r="333" customFormat="false" ht="33.75" hidden="false" customHeight="true" outlineLevel="0" collapsed="false">
      <c r="A333" s="12" t="s">
        <v>350</v>
      </c>
      <c r="B333" s="12"/>
      <c r="C333" s="12"/>
      <c r="D333" s="12"/>
      <c r="E333" s="12" t="s">
        <v>351</v>
      </c>
      <c r="F333" s="12"/>
      <c r="G333" s="12"/>
      <c r="H333" s="12"/>
    </row>
    <row r="334" customFormat="false" ht="24" hidden="false" customHeight="true" outlineLevel="0" collapsed="false">
      <c r="A334" s="13" t="s">
        <v>352</v>
      </c>
      <c r="B334" s="13"/>
      <c r="C334" s="13"/>
      <c r="D334" s="13"/>
      <c r="E334" s="13"/>
      <c r="F334" s="13"/>
      <c r="G334" s="13"/>
      <c r="H334" s="13"/>
    </row>
    <row r="335" customFormat="false" ht="7.5" hidden="false" customHeight="true" outlineLevel="0" collapsed="false"/>
    <row r="336" customFormat="false" ht="24" hidden="false" customHeight="true" outlineLevel="0" collapsed="false">
      <c r="A336" s="9" t="s">
        <v>353</v>
      </c>
      <c r="B336" s="9"/>
      <c r="C336" s="9"/>
      <c r="D336" s="9"/>
      <c r="E336" s="9"/>
      <c r="F336" s="9"/>
      <c r="G336" s="9"/>
      <c r="H336" s="9"/>
    </row>
    <row r="337" customFormat="false" ht="42" hidden="false" customHeight="true" outlineLevel="0" collapsed="false">
      <c r="A337" s="10" t="s">
        <v>354</v>
      </c>
      <c r="B337" s="10"/>
      <c r="C337" s="10"/>
      <c r="D337" s="10"/>
      <c r="E337" s="10"/>
      <c r="F337" s="10"/>
      <c r="G337" s="10"/>
      <c r="H337" s="10"/>
    </row>
    <row r="338" customFormat="false" ht="42" hidden="false" customHeight="true" outlineLevel="0" collapsed="false">
      <c r="A338" s="11" t="s">
        <v>355</v>
      </c>
      <c r="B338" s="11"/>
      <c r="C338" s="11"/>
      <c r="D338" s="11"/>
      <c r="E338" s="11"/>
      <c r="F338" s="11"/>
      <c r="G338" s="11"/>
      <c r="H338" s="11"/>
    </row>
    <row r="339" customFormat="false" ht="42" hidden="false" customHeight="true" outlineLevel="0" collapsed="false">
      <c r="A339" s="12" t="s">
        <v>356</v>
      </c>
      <c r="B339" s="12"/>
      <c r="C339" s="12"/>
      <c r="D339" s="12"/>
      <c r="E339" s="12" t="s">
        <v>357</v>
      </c>
      <c r="F339" s="12"/>
      <c r="G339" s="12"/>
      <c r="H339" s="12"/>
    </row>
    <row r="340" customFormat="false" ht="42" hidden="false" customHeight="true" outlineLevel="0" collapsed="false">
      <c r="A340" s="12" t="s">
        <v>358</v>
      </c>
      <c r="B340" s="12"/>
      <c r="C340" s="12"/>
      <c r="D340" s="12"/>
      <c r="E340" s="12" t="s">
        <v>359</v>
      </c>
      <c r="F340" s="12"/>
      <c r="G340" s="12"/>
      <c r="H340" s="12"/>
    </row>
    <row r="341" customFormat="false" ht="24" hidden="false" customHeight="true" outlineLevel="0" collapsed="false">
      <c r="A341" s="13" t="s">
        <v>352</v>
      </c>
      <c r="B341" s="13"/>
      <c r="C341" s="13"/>
      <c r="D341" s="13"/>
      <c r="E341" s="13"/>
      <c r="F341" s="13"/>
      <c r="G341" s="13"/>
      <c r="H341" s="13"/>
    </row>
    <row r="342" customFormat="false" ht="7.5" hidden="false" customHeight="true" outlineLevel="0" collapsed="false"/>
    <row r="343" customFormat="false" ht="24" hidden="false" customHeight="true" outlineLevel="0" collapsed="false">
      <c r="A343" s="9" t="s">
        <v>360</v>
      </c>
      <c r="B343" s="9"/>
      <c r="C343" s="9"/>
      <c r="D343" s="9"/>
      <c r="E343" s="9"/>
      <c r="F343" s="9"/>
      <c r="G343" s="9"/>
      <c r="H343" s="9"/>
    </row>
    <row r="344" customFormat="false" ht="42" hidden="false" customHeight="true" outlineLevel="0" collapsed="false">
      <c r="A344" s="10" t="s">
        <v>354</v>
      </c>
      <c r="B344" s="10"/>
      <c r="C344" s="10"/>
      <c r="D344" s="10"/>
      <c r="E344" s="10"/>
      <c r="F344" s="10"/>
      <c r="G344" s="10"/>
      <c r="H344" s="10"/>
    </row>
    <row r="345" customFormat="false" ht="42" hidden="false" customHeight="true" outlineLevel="0" collapsed="false">
      <c r="A345" s="11" t="s">
        <v>361</v>
      </c>
      <c r="B345" s="11"/>
      <c r="C345" s="11"/>
      <c r="D345" s="11"/>
      <c r="E345" s="11"/>
      <c r="F345" s="11"/>
      <c r="G345" s="11"/>
      <c r="H345" s="11"/>
    </row>
    <row r="346" customFormat="false" ht="33.75" hidden="false" customHeight="true" outlineLevel="0" collapsed="false">
      <c r="A346" s="12" t="s">
        <v>362</v>
      </c>
      <c r="B346" s="12"/>
      <c r="C346" s="12"/>
      <c r="D346" s="12"/>
      <c r="E346" s="12" t="s">
        <v>363</v>
      </c>
      <c r="F346" s="12"/>
      <c r="G346" s="12"/>
      <c r="H346" s="12"/>
    </row>
    <row r="347" customFormat="false" ht="33.75" hidden="false" customHeight="true" outlineLevel="0" collapsed="false">
      <c r="A347" s="12" t="s">
        <v>364</v>
      </c>
      <c r="B347" s="12"/>
      <c r="C347" s="12"/>
      <c r="D347" s="12"/>
      <c r="E347" s="12" t="s">
        <v>365</v>
      </c>
      <c r="F347" s="12"/>
      <c r="G347" s="12"/>
      <c r="H347" s="12"/>
    </row>
    <row r="348" customFormat="false" ht="24" hidden="false" customHeight="true" outlineLevel="0" collapsed="false">
      <c r="A348" s="13" t="s">
        <v>366</v>
      </c>
      <c r="B348" s="13"/>
      <c r="C348" s="13"/>
      <c r="D348" s="13"/>
      <c r="E348" s="13"/>
      <c r="F348" s="13"/>
      <c r="G348" s="13"/>
      <c r="H348" s="13"/>
    </row>
    <row r="349" customFormat="false" ht="7.5" hidden="false" customHeight="true" outlineLevel="0" collapsed="false"/>
    <row r="350" customFormat="false" ht="24" hidden="false" customHeight="true" outlineLevel="0" collapsed="false">
      <c r="A350" s="9" t="s">
        <v>367</v>
      </c>
      <c r="B350" s="9"/>
      <c r="C350" s="9"/>
      <c r="D350" s="9"/>
      <c r="E350" s="9"/>
      <c r="F350" s="9"/>
      <c r="G350" s="9"/>
      <c r="H350" s="9"/>
    </row>
    <row r="351" customFormat="false" ht="42" hidden="false" customHeight="true" outlineLevel="0" collapsed="false">
      <c r="A351" s="10" t="s">
        <v>354</v>
      </c>
      <c r="B351" s="10"/>
      <c r="C351" s="10"/>
      <c r="D351" s="10"/>
      <c r="E351" s="10"/>
      <c r="F351" s="10"/>
      <c r="G351" s="10"/>
      <c r="H351" s="10"/>
    </row>
    <row r="352" customFormat="false" ht="42" hidden="false" customHeight="true" outlineLevel="0" collapsed="false">
      <c r="A352" s="11" t="s">
        <v>368</v>
      </c>
      <c r="B352" s="11"/>
      <c r="C352" s="11"/>
      <c r="D352" s="11"/>
      <c r="E352" s="11"/>
      <c r="F352" s="11"/>
      <c r="G352" s="11"/>
      <c r="H352" s="11"/>
    </row>
    <row r="353" customFormat="false" ht="33.75" hidden="false" customHeight="true" outlineLevel="0" collapsed="false">
      <c r="A353" s="12" t="s">
        <v>369</v>
      </c>
      <c r="B353" s="12"/>
      <c r="C353" s="12"/>
      <c r="D353" s="12"/>
      <c r="E353" s="12" t="s">
        <v>370</v>
      </c>
      <c r="F353" s="12"/>
      <c r="G353" s="12"/>
      <c r="H353" s="12"/>
    </row>
    <row r="354" customFormat="false" ht="33.75" hidden="false" customHeight="true" outlineLevel="0" collapsed="false">
      <c r="A354" s="12" t="s">
        <v>371</v>
      </c>
      <c r="B354" s="12"/>
      <c r="C354" s="12"/>
      <c r="D354" s="12"/>
      <c r="E354" s="12" t="s">
        <v>372</v>
      </c>
      <c r="F354" s="12"/>
      <c r="G354" s="12"/>
      <c r="H354" s="12"/>
    </row>
    <row r="355" customFormat="false" ht="24" hidden="false" customHeight="true" outlineLevel="0" collapsed="false">
      <c r="A355" s="13" t="s">
        <v>366</v>
      </c>
      <c r="B355" s="13"/>
      <c r="C355" s="13"/>
      <c r="D355" s="13"/>
      <c r="E355" s="13"/>
      <c r="F355" s="13"/>
      <c r="G355" s="13"/>
      <c r="H355" s="13"/>
    </row>
    <row r="356" customFormat="false" ht="7.5" hidden="false" customHeight="true" outlineLevel="0" collapsed="false"/>
    <row r="357" customFormat="false" ht="24" hidden="false" customHeight="true" outlineLevel="0" collapsed="false">
      <c r="A357" s="9" t="s">
        <v>373</v>
      </c>
      <c r="B357" s="9"/>
      <c r="C357" s="9"/>
      <c r="D357" s="9"/>
      <c r="E357" s="9"/>
      <c r="F357" s="9"/>
      <c r="G357" s="9"/>
      <c r="H357" s="9"/>
    </row>
    <row r="358" customFormat="false" ht="42" hidden="false" customHeight="true" outlineLevel="0" collapsed="false">
      <c r="A358" s="10" t="s">
        <v>354</v>
      </c>
      <c r="B358" s="10"/>
      <c r="C358" s="10"/>
      <c r="D358" s="10"/>
      <c r="E358" s="10"/>
      <c r="F358" s="10"/>
      <c r="G358" s="10"/>
      <c r="H358" s="10"/>
    </row>
    <row r="359" customFormat="false" ht="42" hidden="false" customHeight="true" outlineLevel="0" collapsed="false">
      <c r="A359" s="11" t="s">
        <v>374</v>
      </c>
      <c r="B359" s="11"/>
      <c r="C359" s="11"/>
      <c r="D359" s="11"/>
      <c r="E359" s="11"/>
      <c r="F359" s="11"/>
      <c r="G359" s="11"/>
      <c r="H359" s="11"/>
    </row>
    <row r="360" customFormat="false" ht="33.75" hidden="false" customHeight="true" outlineLevel="0" collapsed="false">
      <c r="A360" s="12" t="s">
        <v>375</v>
      </c>
      <c r="B360" s="12"/>
      <c r="C360" s="12"/>
      <c r="D360" s="12"/>
      <c r="E360" s="12" t="s">
        <v>376</v>
      </c>
      <c r="F360" s="12"/>
      <c r="G360" s="12"/>
      <c r="H360" s="12"/>
    </row>
    <row r="361" customFormat="false" ht="33.75" hidden="false" customHeight="true" outlineLevel="0" collapsed="false">
      <c r="A361" s="12" t="s">
        <v>377</v>
      </c>
      <c r="B361" s="12"/>
      <c r="C361" s="12"/>
      <c r="D361" s="12"/>
      <c r="E361" s="12" t="s">
        <v>378</v>
      </c>
      <c r="F361" s="12"/>
      <c r="G361" s="12"/>
      <c r="H361" s="12"/>
    </row>
    <row r="362" customFormat="false" ht="24" hidden="false" customHeight="true" outlineLevel="0" collapsed="false">
      <c r="A362" s="13" t="s">
        <v>366</v>
      </c>
      <c r="B362" s="13"/>
      <c r="C362" s="13"/>
      <c r="D362" s="13"/>
      <c r="E362" s="13"/>
      <c r="F362" s="13"/>
      <c r="G362" s="13"/>
      <c r="H362" s="13"/>
    </row>
    <row r="363" customFormat="false" ht="7.5" hidden="false" customHeight="true" outlineLevel="0" collapsed="false"/>
    <row r="364" customFormat="false" ht="24" hidden="false" customHeight="true" outlineLevel="0" collapsed="false">
      <c r="A364" s="9" t="s">
        <v>379</v>
      </c>
      <c r="B364" s="9"/>
      <c r="C364" s="9"/>
      <c r="D364" s="9"/>
      <c r="E364" s="9"/>
      <c r="F364" s="9"/>
      <c r="G364" s="9"/>
      <c r="H364" s="9"/>
    </row>
    <row r="365" customFormat="false" ht="42" hidden="false" customHeight="true" outlineLevel="0" collapsed="false">
      <c r="A365" s="10" t="s">
        <v>354</v>
      </c>
      <c r="B365" s="10"/>
      <c r="C365" s="10"/>
      <c r="D365" s="10"/>
      <c r="E365" s="10"/>
      <c r="F365" s="10"/>
      <c r="G365" s="10"/>
      <c r="H365" s="10"/>
    </row>
    <row r="366" customFormat="false" ht="42" hidden="false" customHeight="true" outlineLevel="0" collapsed="false">
      <c r="A366" s="11" t="s">
        <v>380</v>
      </c>
      <c r="B366" s="11"/>
      <c r="C366" s="11"/>
      <c r="D366" s="11"/>
      <c r="E366" s="11"/>
      <c r="F366" s="11"/>
      <c r="G366" s="11"/>
      <c r="H366" s="11"/>
    </row>
    <row r="367" customFormat="false" ht="54.75" hidden="false" customHeight="true" outlineLevel="0" collapsed="false">
      <c r="A367" s="12" t="s">
        <v>381</v>
      </c>
      <c r="B367" s="12"/>
      <c r="C367" s="12"/>
      <c r="D367" s="12"/>
      <c r="E367" s="12" t="s">
        <v>382</v>
      </c>
      <c r="F367" s="12"/>
      <c r="G367" s="12"/>
      <c r="H367" s="12"/>
    </row>
    <row r="368" customFormat="false" ht="33.75" hidden="false" customHeight="true" outlineLevel="0" collapsed="false">
      <c r="A368" s="12" t="s">
        <v>383</v>
      </c>
      <c r="B368" s="12"/>
      <c r="C368" s="12"/>
      <c r="D368" s="12"/>
      <c r="E368" s="12" t="s">
        <v>384</v>
      </c>
      <c r="F368" s="12"/>
      <c r="G368" s="12"/>
      <c r="H368" s="12"/>
    </row>
    <row r="369" customFormat="false" ht="24" hidden="false" customHeight="true" outlineLevel="0" collapsed="false">
      <c r="A369" s="13" t="s">
        <v>366</v>
      </c>
      <c r="B369" s="13"/>
      <c r="C369" s="13"/>
      <c r="D369" s="13"/>
      <c r="E369" s="13"/>
      <c r="F369" s="13"/>
      <c r="G369" s="13"/>
      <c r="H369" s="13"/>
    </row>
    <row r="370" customFormat="false" ht="7.5" hidden="false" customHeight="true" outlineLevel="0" collapsed="false"/>
    <row r="371" customFormat="false" ht="24" hidden="false" customHeight="true" outlineLevel="0" collapsed="false">
      <c r="A371" s="9" t="s">
        <v>385</v>
      </c>
      <c r="B371" s="9"/>
      <c r="C371" s="9"/>
      <c r="D371" s="9"/>
      <c r="E371" s="9"/>
      <c r="F371" s="9"/>
      <c r="G371" s="9"/>
      <c r="H371" s="9"/>
    </row>
    <row r="372" customFormat="false" ht="60.75" hidden="false" customHeight="true" outlineLevel="0" collapsed="false">
      <c r="A372" s="10" t="s">
        <v>386</v>
      </c>
      <c r="B372" s="10"/>
      <c r="C372" s="10"/>
      <c r="D372" s="10"/>
      <c r="E372" s="10"/>
      <c r="F372" s="10"/>
      <c r="G372" s="10"/>
      <c r="H372" s="10"/>
    </row>
    <row r="373" customFormat="false" ht="42" hidden="false" customHeight="true" outlineLevel="0" collapsed="false">
      <c r="A373" s="11" t="s">
        <v>387</v>
      </c>
      <c r="B373" s="11"/>
      <c r="C373" s="11"/>
      <c r="D373" s="11"/>
      <c r="E373" s="11"/>
      <c r="F373" s="11"/>
      <c r="G373" s="11"/>
      <c r="H373" s="11"/>
    </row>
    <row r="374" customFormat="false" ht="33.75" hidden="false" customHeight="true" outlineLevel="0" collapsed="false">
      <c r="A374" s="12" t="s">
        <v>388</v>
      </c>
      <c r="B374" s="12"/>
      <c r="C374" s="12"/>
      <c r="D374" s="12"/>
      <c r="E374" s="12" t="s">
        <v>389</v>
      </c>
      <c r="F374" s="12"/>
      <c r="G374" s="12"/>
      <c r="H374" s="12"/>
    </row>
    <row r="375" customFormat="false" ht="33.75" hidden="false" customHeight="true" outlineLevel="0" collapsed="false">
      <c r="A375" s="12" t="s">
        <v>390</v>
      </c>
      <c r="B375" s="12"/>
      <c r="C375" s="12"/>
      <c r="D375" s="12"/>
      <c r="E375" s="12" t="s">
        <v>267</v>
      </c>
      <c r="F375" s="12"/>
      <c r="G375" s="12"/>
      <c r="H375" s="12"/>
    </row>
    <row r="376" customFormat="false" ht="24" hidden="false" customHeight="true" outlineLevel="0" collapsed="false">
      <c r="A376" s="13" t="s">
        <v>391</v>
      </c>
      <c r="B376" s="13"/>
      <c r="C376" s="13"/>
      <c r="D376" s="13"/>
      <c r="E376" s="13"/>
      <c r="F376" s="13"/>
      <c r="G376" s="13"/>
      <c r="H376" s="13"/>
    </row>
    <row r="377" customFormat="false" ht="7.5" hidden="false" customHeight="true" outlineLevel="0" collapsed="false"/>
    <row r="378" customFormat="false" ht="24" hidden="false" customHeight="true" outlineLevel="0" collapsed="false">
      <c r="A378" s="9" t="s">
        <v>392</v>
      </c>
      <c r="B378" s="9"/>
      <c r="C378" s="9"/>
      <c r="D378" s="9"/>
      <c r="E378" s="9"/>
      <c r="F378" s="9"/>
      <c r="G378" s="9"/>
      <c r="H378" s="9"/>
    </row>
    <row r="379" customFormat="false" ht="42" hidden="false" customHeight="true" outlineLevel="0" collapsed="false">
      <c r="A379" s="10" t="s">
        <v>393</v>
      </c>
      <c r="B379" s="10"/>
      <c r="C379" s="10"/>
      <c r="D379" s="10"/>
      <c r="E379" s="10"/>
      <c r="F379" s="10"/>
      <c r="G379" s="10"/>
      <c r="H379" s="10"/>
    </row>
    <row r="380" customFormat="false" ht="42" hidden="false" customHeight="true" outlineLevel="0" collapsed="false">
      <c r="A380" s="11" t="s">
        <v>394</v>
      </c>
      <c r="B380" s="11"/>
      <c r="C380" s="11"/>
      <c r="D380" s="11"/>
      <c r="E380" s="11"/>
      <c r="F380" s="11"/>
      <c r="G380" s="11"/>
      <c r="H380" s="11"/>
    </row>
    <row r="381" customFormat="false" ht="42" hidden="false" customHeight="true" outlineLevel="0" collapsed="false">
      <c r="A381" s="12" t="s">
        <v>395</v>
      </c>
      <c r="B381" s="12"/>
      <c r="C381" s="12"/>
      <c r="D381" s="12"/>
      <c r="E381" s="12" t="s">
        <v>396</v>
      </c>
      <c r="F381" s="12"/>
      <c r="G381" s="12"/>
      <c r="H381" s="12"/>
    </row>
    <row r="382" customFormat="false" ht="54.75" hidden="false" customHeight="true" outlineLevel="0" collapsed="false">
      <c r="A382" s="12" t="s">
        <v>397</v>
      </c>
      <c r="B382" s="12"/>
      <c r="C382" s="12"/>
      <c r="D382" s="12"/>
      <c r="E382" s="12" t="s">
        <v>398</v>
      </c>
      <c r="F382" s="12"/>
      <c r="G382" s="12"/>
      <c r="H382" s="12"/>
    </row>
    <row r="383" customFormat="false" ht="24" hidden="false" customHeight="true" outlineLevel="0" collapsed="false">
      <c r="A383" s="13" t="s">
        <v>391</v>
      </c>
      <c r="B383" s="13"/>
      <c r="C383" s="13"/>
      <c r="D383" s="13"/>
      <c r="E383" s="13"/>
      <c r="F383" s="13"/>
      <c r="G383" s="13"/>
      <c r="H383" s="13"/>
    </row>
    <row r="384" customFormat="false" ht="7.5" hidden="false" customHeight="true" outlineLevel="0" collapsed="false"/>
    <row r="385" customFormat="false" ht="24" hidden="false" customHeight="true" outlineLevel="0" collapsed="false">
      <c r="A385" s="9" t="s">
        <v>399</v>
      </c>
      <c r="B385" s="9"/>
      <c r="C385" s="9"/>
      <c r="D385" s="9"/>
      <c r="E385" s="9"/>
      <c r="F385" s="9"/>
      <c r="G385" s="9"/>
      <c r="H385" s="9"/>
    </row>
    <row r="386" customFormat="false" ht="42" hidden="false" customHeight="true" outlineLevel="0" collapsed="false">
      <c r="A386" s="10" t="s">
        <v>393</v>
      </c>
      <c r="B386" s="10"/>
      <c r="C386" s="10"/>
      <c r="D386" s="10"/>
      <c r="E386" s="10"/>
      <c r="F386" s="10"/>
      <c r="G386" s="10"/>
      <c r="H386" s="10"/>
    </row>
    <row r="387" customFormat="false" ht="42" hidden="false" customHeight="true" outlineLevel="0" collapsed="false">
      <c r="A387" s="11" t="s">
        <v>400</v>
      </c>
      <c r="B387" s="11"/>
      <c r="C387" s="11"/>
      <c r="D387" s="11"/>
      <c r="E387" s="11"/>
      <c r="F387" s="11"/>
      <c r="G387" s="11"/>
      <c r="H387" s="11"/>
    </row>
    <row r="388" customFormat="false" ht="42" hidden="false" customHeight="true" outlineLevel="0" collapsed="false">
      <c r="A388" s="12" t="s">
        <v>401</v>
      </c>
      <c r="B388" s="12"/>
      <c r="C388" s="12"/>
      <c r="D388" s="12"/>
      <c r="E388" s="12" t="s">
        <v>402</v>
      </c>
      <c r="F388" s="12"/>
      <c r="G388" s="12"/>
      <c r="H388" s="12"/>
    </row>
    <row r="389" customFormat="false" ht="42" hidden="false" customHeight="true" outlineLevel="0" collapsed="false">
      <c r="A389" s="12" t="s">
        <v>403</v>
      </c>
      <c r="B389" s="12"/>
      <c r="C389" s="12"/>
      <c r="D389" s="12"/>
      <c r="E389" s="12" t="s">
        <v>404</v>
      </c>
      <c r="F389" s="12"/>
      <c r="G389" s="12"/>
      <c r="H389" s="12"/>
    </row>
    <row r="390" customFormat="false" ht="24" hidden="false" customHeight="true" outlineLevel="0" collapsed="false">
      <c r="A390" s="13" t="s">
        <v>391</v>
      </c>
      <c r="B390" s="13"/>
      <c r="C390" s="13"/>
      <c r="D390" s="13"/>
      <c r="E390" s="13"/>
      <c r="F390" s="13"/>
      <c r="G390" s="13"/>
      <c r="H390" s="13"/>
    </row>
    <row r="391" customFormat="false" ht="7.5" hidden="false" customHeight="true" outlineLevel="0" collapsed="false"/>
    <row r="392" customFormat="false" ht="24" hidden="false" customHeight="true" outlineLevel="0" collapsed="false">
      <c r="A392" s="9" t="s">
        <v>405</v>
      </c>
      <c r="B392" s="9"/>
      <c r="C392" s="9"/>
      <c r="D392" s="9"/>
      <c r="E392" s="9"/>
      <c r="F392" s="9"/>
      <c r="G392" s="9"/>
      <c r="H392" s="9"/>
    </row>
    <row r="393" customFormat="false" ht="42" hidden="false" customHeight="true" outlineLevel="0" collapsed="false">
      <c r="A393" s="10" t="s">
        <v>393</v>
      </c>
      <c r="B393" s="10"/>
      <c r="C393" s="10"/>
      <c r="D393" s="10"/>
      <c r="E393" s="10"/>
      <c r="F393" s="10"/>
      <c r="G393" s="10"/>
      <c r="H393" s="10"/>
    </row>
    <row r="394" customFormat="false" ht="42" hidden="false" customHeight="true" outlineLevel="0" collapsed="false">
      <c r="A394" s="11" t="s">
        <v>406</v>
      </c>
      <c r="B394" s="11"/>
      <c r="C394" s="11"/>
      <c r="D394" s="11"/>
      <c r="E394" s="11"/>
      <c r="F394" s="11"/>
      <c r="G394" s="11"/>
      <c r="H394" s="11"/>
    </row>
    <row r="395" customFormat="false" ht="42" hidden="false" customHeight="true" outlineLevel="0" collapsed="false">
      <c r="A395" s="12" t="s">
        <v>407</v>
      </c>
      <c r="B395" s="12"/>
      <c r="C395" s="12"/>
      <c r="D395" s="12"/>
      <c r="E395" s="12" t="s">
        <v>408</v>
      </c>
      <c r="F395" s="12"/>
      <c r="G395" s="12"/>
      <c r="H395" s="12"/>
    </row>
    <row r="396" customFormat="false" ht="33.75" hidden="false" customHeight="true" outlineLevel="0" collapsed="false">
      <c r="A396" s="12" t="s">
        <v>409</v>
      </c>
      <c r="B396" s="12"/>
      <c r="C396" s="12"/>
      <c r="D396" s="12"/>
      <c r="E396" s="12" t="s">
        <v>410</v>
      </c>
      <c r="F396" s="12"/>
      <c r="G396" s="12"/>
      <c r="H396" s="12"/>
    </row>
    <row r="397" customFormat="false" ht="24" hidden="false" customHeight="true" outlineLevel="0" collapsed="false">
      <c r="A397" s="13" t="s">
        <v>391</v>
      </c>
      <c r="B397" s="13"/>
      <c r="C397" s="13"/>
      <c r="D397" s="13"/>
      <c r="E397" s="13"/>
      <c r="F397" s="13"/>
      <c r="G397" s="13"/>
      <c r="H397" s="13"/>
    </row>
    <row r="398" customFormat="false" ht="7.5" hidden="false" customHeight="true" outlineLevel="0" collapsed="false"/>
    <row r="399" customFormat="false" ht="24" hidden="false" customHeight="true" outlineLevel="0" collapsed="false">
      <c r="A399" s="9" t="s">
        <v>411</v>
      </c>
      <c r="B399" s="9"/>
      <c r="C399" s="9"/>
      <c r="D399" s="9"/>
      <c r="E399" s="9"/>
      <c r="F399" s="9"/>
      <c r="G399" s="9"/>
      <c r="H399" s="9"/>
    </row>
    <row r="400" customFormat="false" ht="42" hidden="false" customHeight="true" outlineLevel="0" collapsed="false">
      <c r="A400" s="10" t="s">
        <v>393</v>
      </c>
      <c r="B400" s="10"/>
      <c r="C400" s="10"/>
      <c r="D400" s="10"/>
      <c r="E400" s="10"/>
      <c r="F400" s="10"/>
      <c r="G400" s="10"/>
      <c r="H400" s="10"/>
    </row>
    <row r="401" customFormat="false" ht="42" hidden="false" customHeight="true" outlineLevel="0" collapsed="false">
      <c r="A401" s="11" t="s">
        <v>412</v>
      </c>
      <c r="B401" s="11"/>
      <c r="C401" s="11"/>
      <c r="D401" s="11"/>
      <c r="E401" s="11"/>
      <c r="F401" s="11"/>
      <c r="G401" s="11"/>
      <c r="H401" s="11"/>
    </row>
    <row r="402" customFormat="false" ht="33.75" hidden="false" customHeight="true" outlineLevel="0" collapsed="false">
      <c r="A402" s="12" t="s">
        <v>413</v>
      </c>
      <c r="B402" s="12"/>
      <c r="C402" s="12"/>
      <c r="D402" s="12"/>
      <c r="E402" s="12" t="s">
        <v>414</v>
      </c>
      <c r="F402" s="12"/>
      <c r="G402" s="12"/>
      <c r="H402" s="12"/>
    </row>
    <row r="403" customFormat="false" ht="42" hidden="false" customHeight="true" outlineLevel="0" collapsed="false">
      <c r="A403" s="12" t="s">
        <v>415</v>
      </c>
      <c r="B403" s="12"/>
      <c r="C403" s="12"/>
      <c r="D403" s="12"/>
      <c r="E403" s="12" t="s">
        <v>416</v>
      </c>
      <c r="F403" s="12"/>
      <c r="G403" s="12"/>
      <c r="H403" s="12"/>
    </row>
    <row r="404" customFormat="false" ht="24" hidden="false" customHeight="true" outlineLevel="0" collapsed="false">
      <c r="A404" s="13" t="s">
        <v>417</v>
      </c>
      <c r="B404" s="13"/>
      <c r="C404" s="13"/>
      <c r="D404" s="13"/>
      <c r="E404" s="13"/>
      <c r="F404" s="13"/>
      <c r="G404" s="13"/>
      <c r="H404" s="13"/>
    </row>
    <row r="405" customFormat="false" ht="7.5" hidden="false" customHeight="true" outlineLevel="0" collapsed="false"/>
    <row r="406" customFormat="false" ht="24" hidden="false" customHeight="true" outlineLevel="0" collapsed="false">
      <c r="A406" s="9" t="s">
        <v>418</v>
      </c>
      <c r="B406" s="9"/>
      <c r="C406" s="9"/>
      <c r="D406" s="9"/>
      <c r="E406" s="9"/>
      <c r="F406" s="9"/>
      <c r="G406" s="9"/>
      <c r="H406" s="9"/>
    </row>
    <row r="407" customFormat="false" ht="42" hidden="false" customHeight="true" outlineLevel="0" collapsed="false">
      <c r="A407" s="10" t="s">
        <v>393</v>
      </c>
      <c r="B407" s="10"/>
      <c r="C407" s="10"/>
      <c r="D407" s="10"/>
      <c r="E407" s="10"/>
      <c r="F407" s="10"/>
      <c r="G407" s="10"/>
      <c r="H407" s="10"/>
    </row>
    <row r="408" customFormat="false" ht="42" hidden="false" customHeight="true" outlineLevel="0" collapsed="false">
      <c r="A408" s="11" t="s">
        <v>419</v>
      </c>
      <c r="B408" s="11"/>
      <c r="C408" s="11"/>
      <c r="D408" s="11"/>
      <c r="E408" s="11"/>
      <c r="F408" s="11"/>
      <c r="G408" s="11"/>
      <c r="H408" s="11"/>
    </row>
    <row r="409" customFormat="false" ht="42" hidden="false" customHeight="true" outlineLevel="0" collapsed="false">
      <c r="A409" s="12" t="s">
        <v>420</v>
      </c>
      <c r="B409" s="12"/>
      <c r="C409" s="12"/>
      <c r="D409" s="12"/>
      <c r="E409" s="12" t="s">
        <v>421</v>
      </c>
      <c r="F409" s="12"/>
      <c r="G409" s="12"/>
      <c r="H409" s="12"/>
    </row>
    <row r="410" customFormat="false" ht="42" hidden="false" customHeight="true" outlineLevel="0" collapsed="false">
      <c r="A410" s="12" t="s">
        <v>422</v>
      </c>
      <c r="B410" s="12"/>
      <c r="C410" s="12"/>
      <c r="D410" s="12"/>
      <c r="E410" s="12" t="s">
        <v>423</v>
      </c>
      <c r="F410" s="12"/>
      <c r="G410" s="12"/>
      <c r="H410" s="12"/>
    </row>
    <row r="411" customFormat="false" ht="24" hidden="false" customHeight="true" outlineLevel="0" collapsed="false">
      <c r="A411" s="13" t="s">
        <v>417</v>
      </c>
      <c r="B411" s="13"/>
      <c r="C411" s="13"/>
      <c r="D411" s="13"/>
      <c r="E411" s="13"/>
      <c r="F411" s="13"/>
      <c r="G411" s="13"/>
      <c r="H411" s="13"/>
    </row>
    <row r="412" customFormat="false" ht="7.5" hidden="false" customHeight="true" outlineLevel="0" collapsed="false"/>
    <row r="413" customFormat="false" ht="24" hidden="false" customHeight="true" outlineLevel="0" collapsed="false">
      <c r="A413" s="9" t="s">
        <v>424</v>
      </c>
      <c r="B413" s="9"/>
      <c r="C413" s="9"/>
      <c r="D413" s="9"/>
      <c r="E413" s="9"/>
      <c r="F413" s="9"/>
      <c r="G413" s="9"/>
      <c r="H413" s="9"/>
    </row>
    <row r="414" customFormat="false" ht="42" hidden="false" customHeight="true" outlineLevel="0" collapsed="false">
      <c r="A414" s="10" t="s">
        <v>393</v>
      </c>
      <c r="B414" s="10"/>
      <c r="C414" s="10"/>
      <c r="D414" s="10"/>
      <c r="E414" s="10"/>
      <c r="F414" s="10"/>
      <c r="G414" s="10"/>
      <c r="H414" s="10"/>
    </row>
    <row r="415" customFormat="false" ht="42" hidden="false" customHeight="true" outlineLevel="0" collapsed="false">
      <c r="A415" s="11" t="s">
        <v>425</v>
      </c>
      <c r="B415" s="11"/>
      <c r="C415" s="11"/>
      <c r="D415" s="11"/>
      <c r="E415" s="11"/>
      <c r="F415" s="11"/>
      <c r="G415" s="11"/>
      <c r="H415" s="11"/>
    </row>
    <row r="416" customFormat="false" ht="42" hidden="false" customHeight="true" outlineLevel="0" collapsed="false">
      <c r="A416" s="12" t="s">
        <v>426</v>
      </c>
      <c r="B416" s="12"/>
      <c r="C416" s="12"/>
      <c r="D416" s="12"/>
      <c r="E416" s="12" t="s">
        <v>427</v>
      </c>
      <c r="F416" s="12"/>
      <c r="G416" s="12"/>
      <c r="H416" s="12"/>
    </row>
    <row r="417" customFormat="false" ht="42" hidden="false" customHeight="true" outlineLevel="0" collapsed="false">
      <c r="A417" s="12" t="s">
        <v>428</v>
      </c>
      <c r="B417" s="12"/>
      <c r="C417" s="12"/>
      <c r="D417" s="12"/>
      <c r="E417" s="12" t="s">
        <v>429</v>
      </c>
      <c r="F417" s="12"/>
      <c r="G417" s="12"/>
      <c r="H417" s="12"/>
    </row>
    <row r="418" customFormat="false" ht="24" hidden="false" customHeight="true" outlineLevel="0" collapsed="false">
      <c r="A418" s="13" t="s">
        <v>417</v>
      </c>
      <c r="B418" s="13"/>
      <c r="C418" s="13"/>
      <c r="D418" s="13"/>
      <c r="E418" s="13"/>
      <c r="F418" s="13"/>
      <c r="G418" s="13"/>
      <c r="H418" s="13"/>
    </row>
    <row r="419" customFormat="false" ht="7.5" hidden="false" customHeight="true" outlineLevel="0" collapsed="false"/>
    <row r="420" customFormat="false" ht="24" hidden="false" customHeight="true" outlineLevel="0" collapsed="false">
      <c r="A420" s="9" t="s">
        <v>430</v>
      </c>
      <c r="B420" s="9"/>
      <c r="C420" s="9"/>
      <c r="D420" s="9"/>
      <c r="E420" s="9"/>
      <c r="F420" s="9"/>
      <c r="G420" s="9"/>
      <c r="H420" s="9"/>
    </row>
    <row r="421" customFormat="false" ht="73.5" hidden="false" customHeight="true" outlineLevel="0" collapsed="false">
      <c r="A421" s="10" t="s">
        <v>431</v>
      </c>
      <c r="B421" s="10"/>
      <c r="C421" s="10"/>
      <c r="D421" s="10"/>
      <c r="E421" s="10"/>
      <c r="F421" s="10"/>
      <c r="G421" s="10"/>
      <c r="H421" s="10"/>
    </row>
    <row r="422" customFormat="false" ht="42" hidden="false" customHeight="true" outlineLevel="0" collapsed="false">
      <c r="A422" s="11" t="s">
        <v>432</v>
      </c>
      <c r="B422" s="11"/>
      <c r="C422" s="11"/>
      <c r="D422" s="11"/>
      <c r="E422" s="11"/>
      <c r="F422" s="11"/>
      <c r="G422" s="11"/>
      <c r="H422" s="11"/>
    </row>
    <row r="423" customFormat="false" ht="33.75" hidden="false" customHeight="true" outlineLevel="0" collapsed="false">
      <c r="A423" s="12" t="s">
        <v>433</v>
      </c>
      <c r="B423" s="12"/>
      <c r="C423" s="12"/>
      <c r="D423" s="12"/>
      <c r="E423" s="12" t="s">
        <v>434</v>
      </c>
      <c r="F423" s="12"/>
      <c r="G423" s="12"/>
      <c r="H423" s="12"/>
    </row>
    <row r="424" customFormat="false" ht="33.75" hidden="false" customHeight="true" outlineLevel="0" collapsed="false">
      <c r="A424" s="12" t="s">
        <v>435</v>
      </c>
      <c r="B424" s="12"/>
      <c r="C424" s="12"/>
      <c r="D424" s="12"/>
      <c r="E424" s="12" t="s">
        <v>267</v>
      </c>
      <c r="F424" s="12"/>
      <c r="G424" s="12"/>
      <c r="H424" s="12"/>
    </row>
    <row r="425" customFormat="false" ht="24" hidden="false" customHeight="true" outlineLevel="0" collapsed="false">
      <c r="A425" s="13" t="s">
        <v>436</v>
      </c>
      <c r="B425" s="13"/>
      <c r="C425" s="13"/>
      <c r="D425" s="13"/>
      <c r="E425" s="13"/>
      <c r="F425" s="13"/>
      <c r="G425" s="13"/>
      <c r="H425" s="13"/>
    </row>
    <row r="426" customFormat="false" ht="7.5" hidden="false" customHeight="true" outlineLevel="0" collapsed="false"/>
    <row r="427" customFormat="false" ht="24" hidden="false" customHeight="true" outlineLevel="0" collapsed="false">
      <c r="A427" s="9" t="s">
        <v>437</v>
      </c>
      <c r="B427" s="9"/>
      <c r="C427" s="9"/>
      <c r="D427" s="9"/>
      <c r="E427" s="9"/>
      <c r="F427" s="9"/>
      <c r="G427" s="9"/>
      <c r="H427" s="9"/>
    </row>
    <row r="428" customFormat="false" ht="73.5" hidden="false" customHeight="true" outlineLevel="0" collapsed="false">
      <c r="A428" s="10" t="s">
        <v>438</v>
      </c>
      <c r="B428" s="10"/>
      <c r="C428" s="10"/>
      <c r="D428" s="10"/>
      <c r="E428" s="10"/>
      <c r="F428" s="10"/>
      <c r="G428" s="10"/>
      <c r="H428" s="10"/>
    </row>
    <row r="429" customFormat="false" ht="42" hidden="false" customHeight="true" outlineLevel="0" collapsed="false">
      <c r="A429" s="11" t="s">
        <v>439</v>
      </c>
      <c r="B429" s="11"/>
      <c r="C429" s="11"/>
      <c r="D429" s="11"/>
      <c r="E429" s="11"/>
      <c r="F429" s="11"/>
      <c r="G429" s="11"/>
      <c r="H429" s="11"/>
    </row>
    <row r="430" customFormat="false" ht="42" hidden="false" customHeight="true" outlineLevel="0" collapsed="false">
      <c r="A430" s="12" t="s">
        <v>440</v>
      </c>
      <c r="B430" s="12"/>
      <c r="C430" s="12"/>
      <c r="D430" s="12"/>
      <c r="E430" s="12" t="s">
        <v>441</v>
      </c>
      <c r="F430" s="12"/>
      <c r="G430" s="12"/>
      <c r="H430" s="12"/>
    </row>
    <row r="431" customFormat="false" ht="54.75" hidden="false" customHeight="true" outlineLevel="0" collapsed="false">
      <c r="A431" s="12" t="s">
        <v>442</v>
      </c>
      <c r="B431" s="12"/>
      <c r="C431" s="12"/>
      <c r="D431" s="12"/>
      <c r="E431" s="12" t="s">
        <v>443</v>
      </c>
      <c r="F431" s="12"/>
      <c r="G431" s="12"/>
      <c r="H431" s="12"/>
    </row>
    <row r="432" customFormat="false" ht="24" hidden="false" customHeight="true" outlineLevel="0" collapsed="false">
      <c r="A432" s="13" t="s">
        <v>444</v>
      </c>
      <c r="B432" s="13"/>
      <c r="C432" s="13"/>
      <c r="D432" s="13"/>
      <c r="E432" s="13"/>
      <c r="F432" s="13"/>
      <c r="G432" s="13"/>
      <c r="H432" s="13"/>
    </row>
    <row r="433" customFormat="false" ht="7.5" hidden="false" customHeight="true" outlineLevel="0" collapsed="false"/>
    <row r="434" customFormat="false" ht="24" hidden="false" customHeight="true" outlineLevel="0" collapsed="false">
      <c r="A434" s="9" t="s">
        <v>445</v>
      </c>
      <c r="B434" s="9"/>
      <c r="C434" s="9"/>
      <c r="D434" s="9"/>
      <c r="E434" s="9"/>
      <c r="F434" s="9"/>
      <c r="G434" s="9"/>
      <c r="H434" s="9"/>
    </row>
    <row r="435" customFormat="false" ht="48" hidden="false" customHeight="true" outlineLevel="0" collapsed="false">
      <c r="A435" s="10" t="s">
        <v>446</v>
      </c>
      <c r="B435" s="10"/>
      <c r="C435" s="10"/>
      <c r="D435" s="10"/>
      <c r="E435" s="10"/>
      <c r="F435" s="10"/>
      <c r="G435" s="10"/>
      <c r="H435" s="10"/>
    </row>
    <row r="436" customFormat="false" ht="42" hidden="false" customHeight="true" outlineLevel="0" collapsed="false">
      <c r="A436" s="11" t="s">
        <v>447</v>
      </c>
      <c r="B436" s="11"/>
      <c r="C436" s="11"/>
      <c r="D436" s="11"/>
      <c r="E436" s="11"/>
      <c r="F436" s="11"/>
      <c r="G436" s="11"/>
      <c r="H436" s="11"/>
    </row>
    <row r="437" customFormat="false" ht="42" hidden="false" customHeight="true" outlineLevel="0" collapsed="false">
      <c r="A437" s="12" t="s">
        <v>448</v>
      </c>
      <c r="B437" s="12"/>
      <c r="C437" s="12"/>
      <c r="D437" s="12"/>
      <c r="E437" s="12" t="s">
        <v>449</v>
      </c>
      <c r="F437" s="12"/>
      <c r="G437" s="12"/>
      <c r="H437" s="12"/>
    </row>
    <row r="438" customFormat="false" ht="54.75" hidden="false" customHeight="true" outlineLevel="0" collapsed="false">
      <c r="A438" s="12" t="s">
        <v>450</v>
      </c>
      <c r="B438" s="12"/>
      <c r="C438" s="12"/>
      <c r="D438" s="12"/>
      <c r="E438" s="12" t="s">
        <v>451</v>
      </c>
      <c r="F438" s="12"/>
      <c r="G438" s="12"/>
      <c r="H438" s="12"/>
    </row>
    <row r="439" customFormat="false" ht="24" hidden="false" customHeight="true" outlineLevel="0" collapsed="false">
      <c r="A439" s="13" t="s">
        <v>444</v>
      </c>
      <c r="B439" s="13"/>
      <c r="C439" s="13"/>
      <c r="D439" s="13"/>
      <c r="E439" s="13"/>
      <c r="F439" s="13"/>
      <c r="G439" s="13"/>
      <c r="H439" s="13"/>
    </row>
    <row r="440" customFormat="false" ht="7.5" hidden="false" customHeight="true" outlineLevel="0" collapsed="false"/>
    <row r="441" customFormat="false" ht="24" hidden="false" customHeight="true" outlineLevel="0" collapsed="false">
      <c r="A441" s="9" t="s">
        <v>452</v>
      </c>
      <c r="B441" s="9"/>
      <c r="C441" s="9"/>
      <c r="D441" s="9"/>
      <c r="E441" s="9"/>
      <c r="F441" s="9"/>
      <c r="G441" s="9"/>
      <c r="H441" s="9"/>
    </row>
    <row r="442" customFormat="false" ht="48" hidden="false" customHeight="true" outlineLevel="0" collapsed="false">
      <c r="A442" s="10" t="s">
        <v>446</v>
      </c>
      <c r="B442" s="10"/>
      <c r="C442" s="10"/>
      <c r="D442" s="10"/>
      <c r="E442" s="10"/>
      <c r="F442" s="10"/>
      <c r="G442" s="10"/>
      <c r="H442" s="10"/>
    </row>
    <row r="443" customFormat="false" ht="45.75" hidden="false" customHeight="true" outlineLevel="0" collapsed="false">
      <c r="A443" s="11" t="s">
        <v>453</v>
      </c>
      <c r="B443" s="11"/>
      <c r="C443" s="11"/>
      <c r="D443" s="11"/>
      <c r="E443" s="11"/>
      <c r="F443" s="11"/>
      <c r="G443" s="11"/>
      <c r="H443" s="11"/>
    </row>
    <row r="444" customFormat="false" ht="33.75" hidden="false" customHeight="true" outlineLevel="0" collapsed="false">
      <c r="A444" s="12" t="s">
        <v>454</v>
      </c>
      <c r="B444" s="12"/>
      <c r="C444" s="12"/>
      <c r="D444" s="12"/>
      <c r="E444" s="12" t="s">
        <v>455</v>
      </c>
      <c r="F444" s="12"/>
      <c r="G444" s="12"/>
      <c r="H444" s="12"/>
    </row>
    <row r="445" customFormat="false" ht="42" hidden="false" customHeight="true" outlineLevel="0" collapsed="false">
      <c r="A445" s="12" t="s">
        <v>456</v>
      </c>
      <c r="B445" s="12"/>
      <c r="C445" s="12"/>
      <c r="D445" s="12"/>
      <c r="E445" s="12" t="s">
        <v>457</v>
      </c>
      <c r="F445" s="12"/>
      <c r="G445" s="12"/>
      <c r="H445" s="12"/>
    </row>
    <row r="446" customFormat="false" ht="24" hidden="false" customHeight="true" outlineLevel="0" collapsed="false">
      <c r="A446" s="13" t="s">
        <v>444</v>
      </c>
      <c r="B446" s="13"/>
      <c r="C446" s="13"/>
      <c r="D446" s="13"/>
      <c r="E446" s="13"/>
      <c r="F446" s="13"/>
      <c r="G446" s="13"/>
      <c r="H446" s="13"/>
    </row>
    <row r="447" customFormat="false" ht="7.5" hidden="false" customHeight="true" outlineLevel="0" collapsed="false"/>
    <row r="448" customFormat="false" ht="24" hidden="false" customHeight="true" outlineLevel="0" collapsed="false">
      <c r="A448" s="9" t="s">
        <v>458</v>
      </c>
      <c r="B448" s="9"/>
      <c r="C448" s="9"/>
      <c r="D448" s="9"/>
      <c r="E448" s="9"/>
      <c r="F448" s="9"/>
      <c r="G448" s="9"/>
      <c r="H448" s="9"/>
    </row>
    <row r="449" customFormat="false" ht="48" hidden="false" customHeight="true" outlineLevel="0" collapsed="false">
      <c r="A449" s="10" t="s">
        <v>446</v>
      </c>
      <c r="B449" s="10"/>
      <c r="C449" s="10"/>
      <c r="D449" s="10"/>
      <c r="E449" s="10"/>
      <c r="F449" s="10"/>
      <c r="G449" s="10"/>
      <c r="H449" s="10"/>
    </row>
    <row r="450" customFormat="false" ht="42" hidden="false" customHeight="true" outlineLevel="0" collapsed="false">
      <c r="A450" s="11" t="s">
        <v>459</v>
      </c>
      <c r="B450" s="11"/>
      <c r="C450" s="11"/>
      <c r="D450" s="11"/>
      <c r="E450" s="11"/>
      <c r="F450" s="11"/>
      <c r="G450" s="11"/>
      <c r="H450" s="11"/>
    </row>
    <row r="451" customFormat="false" ht="42" hidden="false" customHeight="true" outlineLevel="0" collapsed="false">
      <c r="A451" s="12" t="s">
        <v>460</v>
      </c>
      <c r="B451" s="12"/>
      <c r="C451" s="12"/>
      <c r="D451" s="12"/>
      <c r="E451" s="12" t="s">
        <v>461</v>
      </c>
      <c r="F451" s="12"/>
      <c r="G451" s="12"/>
      <c r="H451" s="12"/>
    </row>
    <row r="452" customFormat="false" ht="42" hidden="false" customHeight="true" outlineLevel="0" collapsed="false">
      <c r="A452" s="12" t="s">
        <v>462</v>
      </c>
      <c r="B452" s="12"/>
      <c r="C452" s="12"/>
      <c r="D452" s="12"/>
      <c r="E452" s="12" t="s">
        <v>463</v>
      </c>
      <c r="F452" s="12"/>
      <c r="G452" s="12"/>
      <c r="H452" s="12"/>
    </row>
    <row r="453" customFormat="false" ht="24" hidden="false" customHeight="true" outlineLevel="0" collapsed="false">
      <c r="A453" s="13" t="s">
        <v>464</v>
      </c>
      <c r="B453" s="13"/>
      <c r="C453" s="13"/>
      <c r="D453" s="13"/>
      <c r="E453" s="13"/>
      <c r="F453" s="13"/>
      <c r="G453" s="13"/>
      <c r="H453" s="13"/>
    </row>
    <row r="454" customFormat="false" ht="7.5" hidden="false" customHeight="true" outlineLevel="0" collapsed="false"/>
    <row r="455" customFormat="false" ht="24" hidden="false" customHeight="true" outlineLevel="0" collapsed="false">
      <c r="A455" s="9" t="s">
        <v>465</v>
      </c>
      <c r="B455" s="9"/>
      <c r="C455" s="9"/>
      <c r="D455" s="9"/>
      <c r="E455" s="9"/>
      <c r="F455" s="9"/>
      <c r="G455" s="9"/>
      <c r="H455" s="9"/>
    </row>
    <row r="456" customFormat="false" ht="48" hidden="false" customHeight="true" outlineLevel="0" collapsed="false">
      <c r="A456" s="10" t="s">
        <v>446</v>
      </c>
      <c r="B456" s="10"/>
      <c r="C456" s="10"/>
      <c r="D456" s="10"/>
      <c r="E456" s="10"/>
      <c r="F456" s="10"/>
      <c r="G456" s="10"/>
      <c r="H456" s="10"/>
    </row>
    <row r="457" customFormat="false" ht="42" hidden="false" customHeight="true" outlineLevel="0" collapsed="false">
      <c r="A457" s="11" t="s">
        <v>466</v>
      </c>
      <c r="B457" s="11"/>
      <c r="C457" s="11"/>
      <c r="D457" s="11"/>
      <c r="E457" s="11"/>
      <c r="F457" s="11"/>
      <c r="G457" s="11"/>
      <c r="H457" s="11"/>
    </row>
    <row r="458" customFormat="false" ht="33.75" hidden="false" customHeight="true" outlineLevel="0" collapsed="false">
      <c r="A458" s="12" t="s">
        <v>467</v>
      </c>
      <c r="B458" s="12"/>
      <c r="C458" s="12"/>
      <c r="D458" s="12"/>
      <c r="E458" s="12" t="s">
        <v>468</v>
      </c>
      <c r="F458" s="12"/>
      <c r="G458" s="12"/>
      <c r="H458" s="12"/>
    </row>
    <row r="459" customFormat="false" ht="33.75" hidden="false" customHeight="true" outlineLevel="0" collapsed="false">
      <c r="A459" s="12" t="s">
        <v>469</v>
      </c>
      <c r="B459" s="12"/>
      <c r="C459" s="12"/>
      <c r="D459" s="12"/>
      <c r="E459" s="12" t="s">
        <v>470</v>
      </c>
      <c r="F459" s="12"/>
      <c r="G459" s="12"/>
      <c r="H459" s="12"/>
    </row>
    <row r="460" customFormat="false" ht="24" hidden="false" customHeight="true" outlineLevel="0" collapsed="false">
      <c r="A460" s="13" t="s">
        <v>464</v>
      </c>
      <c r="B460" s="13"/>
      <c r="C460" s="13"/>
      <c r="D460" s="13"/>
      <c r="E460" s="13"/>
      <c r="F460" s="13"/>
      <c r="G460" s="13"/>
      <c r="H460" s="13"/>
    </row>
    <row r="461" customFormat="false" ht="7.5" hidden="false" customHeight="true" outlineLevel="0" collapsed="false"/>
    <row r="462" customFormat="false" ht="24" hidden="false" customHeight="true" outlineLevel="0" collapsed="false">
      <c r="A462" s="9" t="s">
        <v>471</v>
      </c>
      <c r="B462" s="9"/>
      <c r="C462" s="9"/>
      <c r="D462" s="9"/>
      <c r="E462" s="9"/>
      <c r="F462" s="9"/>
      <c r="G462" s="9"/>
      <c r="H462" s="9"/>
    </row>
    <row r="463" customFormat="false" ht="48" hidden="false" customHeight="true" outlineLevel="0" collapsed="false">
      <c r="A463" s="10" t="s">
        <v>446</v>
      </c>
      <c r="B463" s="10"/>
      <c r="C463" s="10"/>
      <c r="D463" s="10"/>
      <c r="E463" s="10"/>
      <c r="F463" s="10"/>
      <c r="G463" s="10"/>
      <c r="H463" s="10"/>
    </row>
    <row r="464" customFormat="false" ht="42" hidden="false" customHeight="true" outlineLevel="0" collapsed="false">
      <c r="A464" s="11" t="s">
        <v>472</v>
      </c>
      <c r="B464" s="11"/>
      <c r="C464" s="11"/>
      <c r="D464" s="11"/>
      <c r="E464" s="11"/>
      <c r="F464" s="11"/>
      <c r="G464" s="11"/>
      <c r="H464" s="11"/>
    </row>
    <row r="465" customFormat="false" ht="54.75" hidden="false" customHeight="true" outlineLevel="0" collapsed="false">
      <c r="A465" s="12" t="s">
        <v>473</v>
      </c>
      <c r="B465" s="12"/>
      <c r="C465" s="12"/>
      <c r="D465" s="12"/>
      <c r="E465" s="12" t="s">
        <v>474</v>
      </c>
      <c r="F465" s="12"/>
      <c r="G465" s="12"/>
      <c r="H465" s="12"/>
    </row>
    <row r="466" customFormat="false" ht="54.75" hidden="false" customHeight="true" outlineLevel="0" collapsed="false">
      <c r="A466" s="12" t="s">
        <v>475</v>
      </c>
      <c r="B466" s="12"/>
      <c r="C466" s="12"/>
      <c r="D466" s="12"/>
      <c r="E466" s="12" t="s">
        <v>476</v>
      </c>
      <c r="F466" s="12"/>
      <c r="G466" s="12"/>
      <c r="H466" s="12"/>
    </row>
    <row r="467" customFormat="false" ht="24" hidden="false" customHeight="true" outlineLevel="0" collapsed="false">
      <c r="A467" s="13" t="s">
        <v>464</v>
      </c>
      <c r="B467" s="13"/>
      <c r="C467" s="13"/>
      <c r="D467" s="13"/>
      <c r="E467" s="13"/>
      <c r="F467" s="13"/>
      <c r="G467" s="13"/>
      <c r="H467" s="13"/>
    </row>
    <row r="468" customFormat="false" ht="7.5" hidden="false" customHeight="true" outlineLevel="0" collapsed="false"/>
    <row r="469" customFormat="false" ht="24" hidden="false" customHeight="true" outlineLevel="0" collapsed="false">
      <c r="A469" s="9" t="s">
        <v>477</v>
      </c>
      <c r="B469" s="9"/>
      <c r="C469" s="9"/>
      <c r="D469" s="9"/>
      <c r="E469" s="9"/>
      <c r="F469" s="9"/>
      <c r="G469" s="9"/>
      <c r="H469" s="9"/>
    </row>
    <row r="470" customFormat="false" ht="48" hidden="false" customHeight="true" outlineLevel="0" collapsed="false">
      <c r="A470" s="10" t="s">
        <v>446</v>
      </c>
      <c r="B470" s="10"/>
      <c r="C470" s="10"/>
      <c r="D470" s="10"/>
      <c r="E470" s="10"/>
      <c r="F470" s="10"/>
      <c r="G470" s="10"/>
      <c r="H470" s="10"/>
    </row>
    <row r="471" customFormat="false" ht="42" hidden="false" customHeight="true" outlineLevel="0" collapsed="false">
      <c r="A471" s="11" t="s">
        <v>478</v>
      </c>
      <c r="B471" s="11"/>
      <c r="C471" s="11"/>
      <c r="D471" s="11"/>
      <c r="E471" s="11"/>
      <c r="F471" s="11"/>
      <c r="G471" s="11"/>
      <c r="H471" s="11"/>
    </row>
    <row r="472" customFormat="false" ht="33.75" hidden="false" customHeight="true" outlineLevel="0" collapsed="false">
      <c r="A472" s="12" t="s">
        <v>479</v>
      </c>
      <c r="B472" s="12"/>
      <c r="C472" s="12"/>
      <c r="D472" s="12"/>
      <c r="E472" s="12" t="s">
        <v>480</v>
      </c>
      <c r="F472" s="12"/>
      <c r="G472" s="12"/>
      <c r="H472" s="12"/>
    </row>
    <row r="473" customFormat="false" ht="33.75" hidden="false" customHeight="true" outlineLevel="0" collapsed="false">
      <c r="A473" s="12" t="s">
        <v>481</v>
      </c>
      <c r="B473" s="12"/>
      <c r="C473" s="12"/>
      <c r="D473" s="12"/>
      <c r="E473" s="12" t="s">
        <v>267</v>
      </c>
      <c r="F473" s="12"/>
      <c r="G473" s="12"/>
      <c r="H473" s="12"/>
    </row>
    <row r="474" customFormat="false" ht="24" hidden="false" customHeight="true" outlineLevel="0" collapsed="false">
      <c r="A474" s="13" t="s">
        <v>482</v>
      </c>
      <c r="B474" s="13"/>
      <c r="C474" s="13"/>
      <c r="D474" s="13"/>
      <c r="E474" s="13"/>
      <c r="F474" s="13"/>
      <c r="G474" s="13"/>
      <c r="H474" s="13"/>
    </row>
    <row r="475" customFormat="false" ht="7.5" hidden="false" customHeight="true" outlineLevel="0" collapsed="false"/>
    <row r="476" customFormat="false" ht="24" hidden="false" customHeight="true" outlineLevel="0" collapsed="false">
      <c r="A476" s="9" t="s">
        <v>483</v>
      </c>
      <c r="B476" s="9"/>
      <c r="C476" s="9"/>
      <c r="D476" s="9"/>
      <c r="E476" s="9"/>
      <c r="F476" s="9"/>
      <c r="G476" s="9"/>
      <c r="H476" s="9"/>
    </row>
    <row r="477" customFormat="false" ht="48" hidden="false" customHeight="true" outlineLevel="0" collapsed="false">
      <c r="A477" s="10" t="s">
        <v>446</v>
      </c>
      <c r="B477" s="10"/>
      <c r="C477" s="10"/>
      <c r="D477" s="10"/>
      <c r="E477" s="10"/>
      <c r="F477" s="10"/>
      <c r="G477" s="10"/>
      <c r="H477" s="10"/>
    </row>
    <row r="478" customFormat="false" ht="42" hidden="false" customHeight="true" outlineLevel="0" collapsed="false">
      <c r="A478" s="11" t="s">
        <v>484</v>
      </c>
      <c r="B478" s="11"/>
      <c r="C478" s="11"/>
      <c r="D478" s="11"/>
      <c r="E478" s="11"/>
      <c r="F478" s="11"/>
      <c r="G478" s="11"/>
      <c r="H478" s="11"/>
    </row>
    <row r="479" customFormat="false" ht="42" hidden="false" customHeight="true" outlineLevel="0" collapsed="false">
      <c r="A479" s="12" t="s">
        <v>485</v>
      </c>
      <c r="B479" s="12"/>
      <c r="C479" s="12"/>
      <c r="D479" s="12"/>
      <c r="E479" s="12" t="s">
        <v>486</v>
      </c>
      <c r="F479" s="12"/>
      <c r="G479" s="12"/>
      <c r="H479" s="12"/>
    </row>
    <row r="480" customFormat="false" ht="67.5" hidden="false" customHeight="true" outlineLevel="0" collapsed="false">
      <c r="A480" s="12" t="s">
        <v>487</v>
      </c>
      <c r="B480" s="12"/>
      <c r="C480" s="12"/>
      <c r="D480" s="12"/>
      <c r="E480" s="12" t="s">
        <v>488</v>
      </c>
      <c r="F480" s="12"/>
      <c r="G480" s="12"/>
      <c r="H480" s="12"/>
    </row>
    <row r="481" customFormat="false" ht="24" hidden="false" customHeight="true" outlineLevel="0" collapsed="false">
      <c r="A481" s="13" t="s">
        <v>482</v>
      </c>
      <c r="B481" s="13"/>
      <c r="C481" s="13"/>
      <c r="D481" s="13"/>
      <c r="E481" s="13"/>
      <c r="F481" s="13"/>
      <c r="G481" s="13"/>
      <c r="H481" s="13"/>
    </row>
    <row r="482" customFormat="false" ht="7.5" hidden="false" customHeight="true" outlineLevel="0" collapsed="false"/>
    <row r="483" customFormat="false" ht="24" hidden="false" customHeight="true" outlineLevel="0" collapsed="false">
      <c r="A483" s="9" t="s">
        <v>489</v>
      </c>
      <c r="B483" s="9"/>
      <c r="C483" s="9"/>
      <c r="D483" s="9"/>
      <c r="E483" s="9"/>
      <c r="F483" s="9"/>
      <c r="G483" s="9"/>
      <c r="H483" s="9"/>
    </row>
    <row r="484" customFormat="false" ht="48" hidden="false" customHeight="true" outlineLevel="0" collapsed="false">
      <c r="A484" s="10" t="s">
        <v>446</v>
      </c>
      <c r="B484" s="10"/>
      <c r="C484" s="10"/>
      <c r="D484" s="10"/>
      <c r="E484" s="10"/>
      <c r="F484" s="10"/>
      <c r="G484" s="10"/>
      <c r="H484" s="10"/>
    </row>
    <row r="485" customFormat="false" ht="45.75" hidden="false" customHeight="true" outlineLevel="0" collapsed="false">
      <c r="A485" s="11" t="s">
        <v>490</v>
      </c>
      <c r="B485" s="11"/>
      <c r="C485" s="11"/>
      <c r="D485" s="11"/>
      <c r="E485" s="11"/>
      <c r="F485" s="11"/>
      <c r="G485" s="11"/>
      <c r="H485" s="11"/>
    </row>
    <row r="486" customFormat="false" ht="54.75" hidden="false" customHeight="true" outlineLevel="0" collapsed="false">
      <c r="A486" s="12" t="s">
        <v>491</v>
      </c>
      <c r="B486" s="12"/>
      <c r="C486" s="12"/>
      <c r="D486" s="12"/>
      <c r="E486" s="12" t="s">
        <v>492</v>
      </c>
      <c r="F486" s="12"/>
      <c r="G486" s="12"/>
      <c r="H486" s="12"/>
    </row>
    <row r="487" customFormat="false" ht="54.75" hidden="false" customHeight="true" outlineLevel="0" collapsed="false">
      <c r="A487" s="12" t="s">
        <v>493</v>
      </c>
      <c r="B487" s="12"/>
      <c r="C487" s="12"/>
      <c r="D487" s="12"/>
      <c r="E487" s="12" t="s">
        <v>494</v>
      </c>
      <c r="F487" s="12"/>
      <c r="G487" s="12"/>
      <c r="H487" s="12"/>
    </row>
    <row r="488" customFormat="false" ht="24" hidden="false" customHeight="true" outlineLevel="0" collapsed="false">
      <c r="A488" s="13" t="s">
        <v>482</v>
      </c>
      <c r="B488" s="13"/>
      <c r="C488" s="13"/>
      <c r="D488" s="13"/>
      <c r="E488" s="13"/>
      <c r="F488" s="13"/>
      <c r="G488" s="13"/>
      <c r="H488" s="13"/>
    </row>
    <row r="489" customFormat="false" ht="7.5" hidden="false" customHeight="true" outlineLevel="0" collapsed="false"/>
    <row r="490" customFormat="false" ht="24" hidden="false" customHeight="true" outlineLevel="0" collapsed="false">
      <c r="A490" s="9" t="s">
        <v>495</v>
      </c>
      <c r="B490" s="9"/>
      <c r="C490" s="9"/>
      <c r="D490" s="9"/>
      <c r="E490" s="9"/>
      <c r="F490" s="9"/>
      <c r="G490" s="9"/>
      <c r="H490" s="9"/>
    </row>
    <row r="491" customFormat="false" ht="48" hidden="false" customHeight="true" outlineLevel="0" collapsed="false">
      <c r="A491" s="10" t="s">
        <v>446</v>
      </c>
      <c r="B491" s="10"/>
      <c r="C491" s="10"/>
      <c r="D491" s="10"/>
      <c r="E491" s="10"/>
      <c r="F491" s="10"/>
      <c r="G491" s="10"/>
      <c r="H491" s="10"/>
    </row>
    <row r="492" customFormat="false" ht="42" hidden="false" customHeight="true" outlineLevel="0" collapsed="false">
      <c r="A492" s="11" t="s">
        <v>496</v>
      </c>
      <c r="B492" s="11"/>
      <c r="C492" s="11"/>
      <c r="D492" s="11"/>
      <c r="E492" s="11"/>
      <c r="F492" s="11"/>
      <c r="G492" s="11"/>
      <c r="H492" s="11"/>
    </row>
    <row r="493" customFormat="false" ht="33.75" hidden="false" customHeight="true" outlineLevel="0" collapsed="false">
      <c r="A493" s="12" t="s">
        <v>497</v>
      </c>
      <c r="B493" s="12"/>
      <c r="C493" s="12"/>
      <c r="D493" s="12"/>
      <c r="E493" s="12" t="s">
        <v>498</v>
      </c>
      <c r="F493" s="12"/>
      <c r="G493" s="12"/>
      <c r="H493" s="12"/>
    </row>
    <row r="494" customFormat="false" ht="33.75" hidden="false" customHeight="true" outlineLevel="0" collapsed="false">
      <c r="A494" s="12" t="s">
        <v>499</v>
      </c>
      <c r="B494" s="12"/>
      <c r="C494" s="12"/>
      <c r="D494" s="12"/>
      <c r="E494" s="12" t="s">
        <v>500</v>
      </c>
      <c r="F494" s="12"/>
      <c r="G494" s="12"/>
      <c r="H494" s="12"/>
    </row>
    <row r="495" customFormat="false" ht="24" hidden="false" customHeight="true" outlineLevel="0" collapsed="false">
      <c r="A495" s="13" t="s">
        <v>482</v>
      </c>
      <c r="B495" s="13"/>
      <c r="C495" s="13"/>
      <c r="D495" s="13"/>
      <c r="E495" s="13"/>
      <c r="F495" s="13"/>
      <c r="G495" s="13"/>
      <c r="H495" s="13"/>
    </row>
    <row r="496" customFormat="false" ht="7.5" hidden="false" customHeight="true" outlineLevel="0" collapsed="false"/>
    <row r="497" customFormat="false" ht="24" hidden="false" customHeight="true" outlineLevel="0" collapsed="false">
      <c r="A497" s="9" t="s">
        <v>501</v>
      </c>
      <c r="B497" s="9"/>
      <c r="C497" s="9"/>
      <c r="D497" s="9"/>
      <c r="E497" s="9"/>
      <c r="F497" s="9"/>
      <c r="G497" s="9"/>
      <c r="H497" s="9"/>
    </row>
    <row r="498" customFormat="false" ht="73.5" hidden="false" customHeight="true" outlineLevel="0" collapsed="false">
      <c r="A498" s="10" t="s">
        <v>502</v>
      </c>
      <c r="B498" s="10"/>
      <c r="C498" s="10"/>
      <c r="D498" s="10"/>
      <c r="E498" s="10"/>
      <c r="F498" s="10"/>
      <c r="G498" s="10"/>
      <c r="H498" s="10"/>
    </row>
    <row r="499" customFormat="false" ht="73.5" hidden="false" customHeight="true" outlineLevel="0" collapsed="false">
      <c r="A499" s="10" t="s">
        <v>503</v>
      </c>
      <c r="B499" s="10"/>
      <c r="C499" s="10"/>
      <c r="D499" s="10"/>
      <c r="E499" s="10"/>
      <c r="F499" s="10"/>
      <c r="G499" s="10"/>
      <c r="H499" s="10"/>
    </row>
    <row r="500" customFormat="false" ht="126" hidden="false" customHeight="true" outlineLevel="0" collapsed="false">
      <c r="A500" s="10" t="s">
        <v>504</v>
      </c>
      <c r="B500" s="10"/>
      <c r="C500" s="10"/>
      <c r="D500" s="10"/>
      <c r="E500" s="10"/>
      <c r="F500" s="10"/>
      <c r="G500" s="10"/>
      <c r="H500" s="10"/>
    </row>
    <row r="501" customFormat="false" ht="42" hidden="false" customHeight="true" outlineLevel="0" collapsed="false">
      <c r="A501" s="10" t="s">
        <v>505</v>
      </c>
      <c r="B501" s="10"/>
      <c r="C501" s="10"/>
      <c r="D501" s="10"/>
      <c r="E501" s="10"/>
      <c r="F501" s="10"/>
      <c r="G501" s="10"/>
      <c r="H501" s="10"/>
    </row>
    <row r="502" customFormat="false" ht="42" hidden="false" customHeight="true" outlineLevel="0" collapsed="false">
      <c r="A502" s="11" t="s">
        <v>347</v>
      </c>
      <c r="B502" s="11"/>
      <c r="C502" s="11"/>
      <c r="D502" s="11"/>
      <c r="E502" s="11"/>
      <c r="F502" s="11"/>
      <c r="G502" s="11"/>
      <c r="H502" s="11"/>
    </row>
    <row r="503" customFormat="false" ht="33.75" hidden="false" customHeight="true" outlineLevel="0" collapsed="false">
      <c r="A503" s="12" t="s">
        <v>506</v>
      </c>
      <c r="B503" s="12"/>
      <c r="C503" s="12"/>
      <c r="D503" s="12"/>
      <c r="E503" s="12" t="s">
        <v>507</v>
      </c>
      <c r="F503" s="12"/>
      <c r="G503" s="12"/>
      <c r="H503" s="12"/>
    </row>
    <row r="504" customFormat="false" ht="33.75" hidden="false" customHeight="true" outlineLevel="0" collapsed="false">
      <c r="A504" s="12" t="s">
        <v>508</v>
      </c>
      <c r="B504" s="12"/>
      <c r="C504" s="12"/>
      <c r="D504" s="12"/>
      <c r="E504" s="12" t="s">
        <v>509</v>
      </c>
      <c r="F504" s="12"/>
      <c r="G504" s="12"/>
      <c r="H504" s="12"/>
    </row>
    <row r="505" customFormat="false" ht="24" hidden="false" customHeight="true" outlineLevel="0" collapsed="false">
      <c r="A505" s="13" t="s">
        <v>510</v>
      </c>
      <c r="B505" s="13"/>
      <c r="C505" s="13"/>
      <c r="D505" s="13"/>
      <c r="E505" s="13"/>
      <c r="F505" s="13"/>
      <c r="G505" s="13"/>
      <c r="H505" s="13"/>
    </row>
    <row r="506" customFormat="false" ht="7.5" hidden="false" customHeight="true" outlineLevel="0" collapsed="false"/>
    <row r="507" customFormat="false" ht="24" hidden="false" customHeight="true" outlineLevel="0" collapsed="false">
      <c r="A507" s="9" t="s">
        <v>511</v>
      </c>
      <c r="B507" s="9"/>
      <c r="C507" s="9"/>
      <c r="D507" s="9"/>
      <c r="E507" s="9"/>
      <c r="F507" s="9"/>
      <c r="G507" s="9"/>
      <c r="H507" s="9"/>
    </row>
    <row r="508" customFormat="false" ht="42" hidden="false" customHeight="true" outlineLevel="0" collapsed="false">
      <c r="A508" s="10" t="s">
        <v>512</v>
      </c>
      <c r="B508" s="10"/>
      <c r="C508" s="10"/>
      <c r="D508" s="10"/>
      <c r="E508" s="10"/>
      <c r="F508" s="10"/>
      <c r="G508" s="10"/>
      <c r="H508" s="10"/>
    </row>
    <row r="509" customFormat="false" ht="42" hidden="false" customHeight="true" outlineLevel="0" collapsed="false">
      <c r="A509" s="11" t="s">
        <v>513</v>
      </c>
      <c r="B509" s="11"/>
      <c r="C509" s="11"/>
      <c r="D509" s="11"/>
      <c r="E509" s="11"/>
      <c r="F509" s="11"/>
      <c r="G509" s="11"/>
      <c r="H509" s="11"/>
    </row>
    <row r="510" customFormat="false" ht="33.75" hidden="false" customHeight="true" outlineLevel="0" collapsed="false">
      <c r="A510" s="12" t="s">
        <v>514</v>
      </c>
      <c r="B510" s="12"/>
      <c r="C510" s="12"/>
      <c r="D510" s="12"/>
      <c r="E510" s="12" t="s">
        <v>515</v>
      </c>
      <c r="F510" s="12"/>
      <c r="G510" s="12"/>
      <c r="H510" s="12"/>
    </row>
    <row r="511" customFormat="false" ht="33.75" hidden="false" customHeight="true" outlineLevel="0" collapsed="false">
      <c r="A511" s="12" t="s">
        <v>516</v>
      </c>
      <c r="B511" s="12"/>
      <c r="C511" s="12"/>
      <c r="D511" s="12"/>
      <c r="E511" s="12" t="s">
        <v>267</v>
      </c>
      <c r="F511" s="12"/>
      <c r="G511" s="12"/>
      <c r="H511" s="12"/>
    </row>
    <row r="512" customFormat="false" ht="24" hidden="false" customHeight="true" outlineLevel="0" collapsed="false">
      <c r="A512" s="13" t="s">
        <v>510</v>
      </c>
      <c r="B512" s="13"/>
      <c r="C512" s="13"/>
      <c r="D512" s="13"/>
      <c r="E512" s="13"/>
      <c r="F512" s="13"/>
      <c r="G512" s="13"/>
      <c r="H512" s="13"/>
    </row>
    <row r="513" customFormat="false" ht="7.5" hidden="false" customHeight="true" outlineLevel="0" collapsed="false"/>
    <row r="514" customFormat="false" ht="24" hidden="false" customHeight="true" outlineLevel="0" collapsed="false">
      <c r="A514" s="9" t="s">
        <v>517</v>
      </c>
      <c r="B514" s="9"/>
      <c r="C514" s="9"/>
      <c r="D514" s="9"/>
      <c r="E514" s="9"/>
      <c r="F514" s="9"/>
      <c r="G514" s="9"/>
      <c r="H514" s="9"/>
    </row>
    <row r="515" customFormat="false" ht="42" hidden="false" customHeight="true" outlineLevel="0" collapsed="false">
      <c r="A515" s="10" t="s">
        <v>512</v>
      </c>
      <c r="B515" s="10"/>
      <c r="C515" s="10"/>
      <c r="D515" s="10"/>
      <c r="E515" s="10"/>
      <c r="F515" s="10"/>
      <c r="G515" s="10"/>
      <c r="H515" s="10"/>
    </row>
    <row r="516" customFormat="false" ht="42" hidden="false" customHeight="true" outlineLevel="0" collapsed="false">
      <c r="A516" s="11" t="s">
        <v>518</v>
      </c>
      <c r="B516" s="11"/>
      <c r="C516" s="11"/>
      <c r="D516" s="11"/>
      <c r="E516" s="11"/>
      <c r="F516" s="11"/>
      <c r="G516" s="11"/>
      <c r="H516" s="11"/>
    </row>
    <row r="517" customFormat="false" ht="42" hidden="false" customHeight="true" outlineLevel="0" collapsed="false">
      <c r="A517" s="12" t="s">
        <v>519</v>
      </c>
      <c r="B517" s="12"/>
      <c r="C517" s="12"/>
      <c r="D517" s="12"/>
      <c r="E517" s="12" t="s">
        <v>520</v>
      </c>
      <c r="F517" s="12"/>
      <c r="G517" s="12"/>
      <c r="H517" s="12"/>
    </row>
    <row r="518" customFormat="false" ht="42" hidden="false" customHeight="true" outlineLevel="0" collapsed="false">
      <c r="A518" s="12" t="s">
        <v>521</v>
      </c>
      <c r="B518" s="12"/>
      <c r="C518" s="12"/>
      <c r="D518" s="12"/>
      <c r="E518" s="12" t="s">
        <v>522</v>
      </c>
      <c r="F518" s="12"/>
      <c r="G518" s="12"/>
      <c r="H518" s="12"/>
    </row>
    <row r="519" customFormat="false" ht="24" hidden="false" customHeight="true" outlineLevel="0" collapsed="false">
      <c r="A519" s="13" t="s">
        <v>523</v>
      </c>
      <c r="B519" s="13"/>
      <c r="C519" s="13"/>
      <c r="D519" s="13"/>
      <c r="E519" s="13"/>
      <c r="F519" s="13"/>
      <c r="G519" s="13"/>
      <c r="H519" s="13"/>
    </row>
    <row r="520" customFormat="false" ht="7.5" hidden="false" customHeight="true" outlineLevel="0" collapsed="false"/>
    <row r="521" customFormat="false" ht="24" hidden="false" customHeight="true" outlineLevel="0" collapsed="false">
      <c r="A521" s="9" t="s">
        <v>524</v>
      </c>
      <c r="B521" s="9"/>
      <c r="C521" s="9"/>
      <c r="D521" s="9"/>
      <c r="E521" s="9"/>
      <c r="F521" s="9"/>
      <c r="G521" s="9"/>
      <c r="H521" s="9"/>
    </row>
    <row r="522" customFormat="false" ht="42" hidden="false" customHeight="true" outlineLevel="0" collapsed="false">
      <c r="A522" s="10" t="s">
        <v>512</v>
      </c>
      <c r="B522" s="10"/>
      <c r="C522" s="10"/>
      <c r="D522" s="10"/>
      <c r="E522" s="10"/>
      <c r="F522" s="10"/>
      <c r="G522" s="10"/>
      <c r="H522" s="10"/>
    </row>
    <row r="523" customFormat="false" ht="45.75" hidden="false" customHeight="true" outlineLevel="0" collapsed="false">
      <c r="A523" s="11" t="s">
        <v>525</v>
      </c>
      <c r="B523" s="11"/>
      <c r="C523" s="11"/>
      <c r="D523" s="11"/>
      <c r="E523" s="11"/>
      <c r="F523" s="11"/>
      <c r="G523" s="11"/>
      <c r="H523" s="11"/>
    </row>
    <row r="524" customFormat="false" ht="33.75" hidden="false" customHeight="true" outlineLevel="0" collapsed="false">
      <c r="A524" s="12" t="s">
        <v>526</v>
      </c>
      <c r="B524" s="12"/>
      <c r="C524" s="12"/>
      <c r="D524" s="12"/>
      <c r="E524" s="12" t="s">
        <v>527</v>
      </c>
      <c r="F524" s="12"/>
      <c r="G524" s="12"/>
      <c r="H524" s="12"/>
    </row>
    <row r="525" customFormat="false" ht="33.75" hidden="false" customHeight="true" outlineLevel="0" collapsed="false">
      <c r="A525" s="12" t="s">
        <v>528</v>
      </c>
      <c r="B525" s="12"/>
      <c r="C525" s="12"/>
      <c r="D525" s="12"/>
      <c r="E525" s="12" t="s">
        <v>529</v>
      </c>
      <c r="F525" s="12"/>
      <c r="G525" s="12"/>
      <c r="H525" s="12"/>
    </row>
    <row r="526" customFormat="false" ht="24" hidden="false" customHeight="true" outlineLevel="0" collapsed="false">
      <c r="A526" s="13" t="s">
        <v>523</v>
      </c>
      <c r="B526" s="13"/>
      <c r="C526" s="13"/>
      <c r="D526" s="13"/>
      <c r="E526" s="13"/>
      <c r="F526" s="13"/>
      <c r="G526" s="13"/>
      <c r="H526" s="13"/>
    </row>
    <row r="527" customFormat="false" ht="7.5" hidden="false" customHeight="true" outlineLevel="0" collapsed="false"/>
    <row r="528" customFormat="false" ht="24" hidden="false" customHeight="true" outlineLevel="0" collapsed="false">
      <c r="A528" s="9" t="s">
        <v>530</v>
      </c>
      <c r="B528" s="9"/>
      <c r="C528" s="9"/>
      <c r="D528" s="9"/>
      <c r="E528" s="9"/>
      <c r="F528" s="9"/>
      <c r="G528" s="9"/>
      <c r="H528" s="9"/>
    </row>
    <row r="529" customFormat="false" ht="42" hidden="false" customHeight="true" outlineLevel="0" collapsed="false">
      <c r="A529" s="10" t="s">
        <v>512</v>
      </c>
      <c r="B529" s="10"/>
      <c r="C529" s="10"/>
      <c r="D529" s="10"/>
      <c r="E529" s="10"/>
      <c r="F529" s="10"/>
      <c r="G529" s="10"/>
      <c r="H529" s="10"/>
    </row>
    <row r="530" customFormat="false" ht="42" hidden="false" customHeight="true" outlineLevel="0" collapsed="false">
      <c r="A530" s="11" t="s">
        <v>531</v>
      </c>
      <c r="B530" s="11"/>
      <c r="C530" s="11"/>
      <c r="D530" s="11"/>
      <c r="E530" s="11"/>
      <c r="F530" s="11"/>
      <c r="G530" s="11"/>
      <c r="H530" s="11"/>
    </row>
    <row r="531" customFormat="false" ht="33.75" hidden="false" customHeight="true" outlineLevel="0" collapsed="false">
      <c r="A531" s="12" t="s">
        <v>532</v>
      </c>
      <c r="B531" s="12"/>
      <c r="C531" s="12"/>
      <c r="D531" s="12"/>
      <c r="E531" s="12" t="s">
        <v>533</v>
      </c>
      <c r="F531" s="12"/>
      <c r="G531" s="12"/>
      <c r="H531" s="12"/>
    </row>
    <row r="532" customFormat="false" ht="33.75" hidden="false" customHeight="true" outlineLevel="0" collapsed="false">
      <c r="A532" s="12" t="s">
        <v>534</v>
      </c>
      <c r="B532" s="12"/>
      <c r="C532" s="12"/>
      <c r="D532" s="12"/>
      <c r="E532" s="12" t="s">
        <v>267</v>
      </c>
      <c r="F532" s="12"/>
      <c r="G532" s="12"/>
      <c r="H532" s="12"/>
    </row>
    <row r="533" customFormat="false" ht="24" hidden="false" customHeight="true" outlineLevel="0" collapsed="false">
      <c r="A533" s="13" t="s">
        <v>523</v>
      </c>
      <c r="B533" s="13"/>
      <c r="C533" s="13"/>
      <c r="D533" s="13"/>
      <c r="E533" s="13"/>
      <c r="F533" s="13"/>
      <c r="G533" s="13"/>
      <c r="H533" s="13"/>
    </row>
    <row r="534" customFormat="false" ht="7.5" hidden="false" customHeight="true" outlineLevel="0" collapsed="false"/>
    <row r="535" customFormat="false" ht="24" hidden="false" customHeight="true" outlineLevel="0" collapsed="false">
      <c r="A535" s="9" t="s">
        <v>535</v>
      </c>
      <c r="B535" s="9"/>
      <c r="C535" s="9"/>
      <c r="D535" s="9"/>
      <c r="E535" s="9"/>
      <c r="F535" s="9"/>
      <c r="G535" s="9"/>
      <c r="H535" s="9"/>
    </row>
    <row r="536" customFormat="false" ht="42" hidden="false" customHeight="true" outlineLevel="0" collapsed="false">
      <c r="A536" s="10" t="s">
        <v>512</v>
      </c>
      <c r="B536" s="10"/>
      <c r="C536" s="10"/>
      <c r="D536" s="10"/>
      <c r="E536" s="10"/>
      <c r="F536" s="10"/>
      <c r="G536" s="10"/>
      <c r="H536" s="10"/>
    </row>
    <row r="537" customFormat="false" ht="45.75" hidden="false" customHeight="true" outlineLevel="0" collapsed="false">
      <c r="A537" s="11" t="s">
        <v>536</v>
      </c>
      <c r="B537" s="11"/>
      <c r="C537" s="11"/>
      <c r="D537" s="11"/>
      <c r="E537" s="11"/>
      <c r="F537" s="11"/>
      <c r="G537" s="11"/>
      <c r="H537" s="11"/>
    </row>
    <row r="538" customFormat="false" ht="33.75" hidden="false" customHeight="true" outlineLevel="0" collapsed="false">
      <c r="A538" s="12" t="s">
        <v>537</v>
      </c>
      <c r="B538" s="12"/>
      <c r="C538" s="12"/>
      <c r="D538" s="12"/>
      <c r="E538" s="12" t="s">
        <v>538</v>
      </c>
      <c r="F538" s="12"/>
      <c r="G538" s="12"/>
      <c r="H538" s="12"/>
    </row>
    <row r="539" customFormat="false" ht="33.75" hidden="false" customHeight="true" outlineLevel="0" collapsed="false">
      <c r="A539" s="12" t="s">
        <v>539</v>
      </c>
      <c r="B539" s="12"/>
      <c r="C539" s="12"/>
      <c r="D539" s="12"/>
      <c r="E539" s="12" t="s">
        <v>540</v>
      </c>
      <c r="F539" s="12"/>
      <c r="G539" s="12"/>
      <c r="H539" s="12"/>
    </row>
    <row r="540" customFormat="false" ht="24" hidden="false" customHeight="true" outlineLevel="0" collapsed="false">
      <c r="A540" s="13" t="s">
        <v>523</v>
      </c>
      <c r="B540" s="13"/>
      <c r="C540" s="13"/>
      <c r="D540" s="13"/>
      <c r="E540" s="13"/>
      <c r="F540" s="13"/>
      <c r="G540" s="13"/>
      <c r="H540" s="13"/>
    </row>
    <row r="541" customFormat="false" ht="7.5" hidden="false" customHeight="true" outlineLevel="0" collapsed="false"/>
    <row r="542" customFormat="false" ht="24" hidden="false" customHeight="true" outlineLevel="0" collapsed="false">
      <c r="A542" s="9" t="s">
        <v>541</v>
      </c>
      <c r="B542" s="9"/>
      <c r="C542" s="9"/>
      <c r="D542" s="9"/>
      <c r="E542" s="9"/>
      <c r="F542" s="9"/>
      <c r="G542" s="9"/>
      <c r="H542" s="9"/>
    </row>
    <row r="543" customFormat="false" ht="42" hidden="false" customHeight="true" outlineLevel="0" collapsed="false">
      <c r="A543" s="10" t="s">
        <v>512</v>
      </c>
      <c r="B543" s="10"/>
      <c r="C543" s="10"/>
      <c r="D543" s="10"/>
      <c r="E543" s="10"/>
      <c r="F543" s="10"/>
      <c r="G543" s="10"/>
      <c r="H543" s="10"/>
    </row>
    <row r="544" customFormat="false" ht="45.75" hidden="false" customHeight="true" outlineLevel="0" collapsed="false">
      <c r="A544" s="11" t="s">
        <v>542</v>
      </c>
      <c r="B544" s="11"/>
      <c r="C544" s="11"/>
      <c r="D544" s="11"/>
      <c r="E544" s="11"/>
      <c r="F544" s="11"/>
      <c r="G544" s="11"/>
      <c r="H544" s="11"/>
    </row>
    <row r="545" customFormat="false" ht="33.75" hidden="false" customHeight="true" outlineLevel="0" collapsed="false">
      <c r="A545" s="12" t="s">
        <v>543</v>
      </c>
      <c r="B545" s="12"/>
      <c r="C545" s="12"/>
      <c r="D545" s="12"/>
      <c r="E545" s="12" t="s">
        <v>544</v>
      </c>
      <c r="F545" s="12"/>
      <c r="G545" s="12"/>
      <c r="H545" s="12"/>
    </row>
    <row r="546" customFormat="false" ht="33.75" hidden="false" customHeight="true" outlineLevel="0" collapsed="false">
      <c r="A546" s="12" t="s">
        <v>545</v>
      </c>
      <c r="B546" s="12"/>
      <c r="C546" s="12"/>
      <c r="D546" s="12"/>
      <c r="E546" s="12" t="s">
        <v>546</v>
      </c>
      <c r="F546" s="12"/>
      <c r="G546" s="12"/>
      <c r="H546" s="12"/>
    </row>
    <row r="547" customFormat="false" ht="24" hidden="false" customHeight="true" outlineLevel="0" collapsed="false">
      <c r="A547" s="13" t="s">
        <v>523</v>
      </c>
      <c r="B547" s="13"/>
      <c r="C547" s="13"/>
      <c r="D547" s="13"/>
      <c r="E547" s="13"/>
      <c r="F547" s="13"/>
      <c r="G547" s="13"/>
      <c r="H547" s="13"/>
    </row>
    <row r="548" customFormat="false" ht="7.5" hidden="false" customHeight="true" outlineLevel="0" collapsed="false"/>
    <row r="549" customFormat="false" ht="24" hidden="false" customHeight="true" outlineLevel="0" collapsed="false">
      <c r="A549" s="9" t="s">
        <v>547</v>
      </c>
      <c r="B549" s="9"/>
      <c r="C549" s="9"/>
      <c r="D549" s="9"/>
      <c r="E549" s="9"/>
      <c r="F549" s="9"/>
      <c r="G549" s="9"/>
      <c r="H549" s="9"/>
    </row>
    <row r="550" customFormat="false" ht="42" hidden="false" customHeight="true" outlineLevel="0" collapsed="false">
      <c r="A550" s="10" t="s">
        <v>512</v>
      </c>
      <c r="B550" s="10"/>
      <c r="C550" s="10"/>
      <c r="D550" s="10"/>
      <c r="E550" s="10"/>
      <c r="F550" s="10"/>
      <c r="G550" s="10"/>
      <c r="H550" s="10"/>
    </row>
    <row r="551" customFormat="false" ht="45.75" hidden="false" customHeight="true" outlineLevel="0" collapsed="false">
      <c r="A551" s="11" t="s">
        <v>548</v>
      </c>
      <c r="B551" s="11"/>
      <c r="C551" s="11"/>
      <c r="D551" s="11"/>
      <c r="E551" s="11"/>
      <c r="F551" s="11"/>
      <c r="G551" s="11"/>
      <c r="H551" s="11"/>
    </row>
    <row r="552" customFormat="false" ht="33.75" hidden="false" customHeight="true" outlineLevel="0" collapsed="false">
      <c r="A552" s="12" t="s">
        <v>549</v>
      </c>
      <c r="B552" s="12"/>
      <c r="C552" s="12"/>
      <c r="D552" s="12"/>
      <c r="E552" s="12" t="s">
        <v>550</v>
      </c>
      <c r="F552" s="12"/>
      <c r="G552" s="12"/>
      <c r="H552" s="12"/>
    </row>
    <row r="553" customFormat="false" ht="33.75" hidden="false" customHeight="true" outlineLevel="0" collapsed="false">
      <c r="A553" s="12" t="s">
        <v>551</v>
      </c>
      <c r="B553" s="12"/>
      <c r="C553" s="12"/>
      <c r="D553" s="12"/>
      <c r="E553" s="12" t="s">
        <v>552</v>
      </c>
      <c r="F553" s="12"/>
      <c r="G553" s="12"/>
      <c r="H553" s="12"/>
    </row>
    <row r="554" customFormat="false" ht="24" hidden="false" customHeight="true" outlineLevel="0" collapsed="false">
      <c r="A554" s="13" t="s">
        <v>553</v>
      </c>
      <c r="B554" s="13"/>
      <c r="C554" s="13"/>
      <c r="D554" s="13"/>
      <c r="E554" s="13"/>
      <c r="F554" s="13"/>
      <c r="G554" s="13"/>
      <c r="H554" s="13"/>
    </row>
    <row r="555" customFormat="false" ht="7.5" hidden="false" customHeight="true" outlineLevel="0" collapsed="false"/>
    <row r="556" customFormat="false" ht="24" hidden="false" customHeight="true" outlineLevel="0" collapsed="false">
      <c r="A556" s="9" t="s">
        <v>554</v>
      </c>
      <c r="B556" s="9"/>
      <c r="C556" s="9"/>
      <c r="D556" s="9"/>
      <c r="E556" s="9"/>
      <c r="F556" s="9"/>
      <c r="G556" s="9"/>
      <c r="H556" s="9"/>
    </row>
    <row r="557" customFormat="false" ht="42" hidden="false" customHeight="true" outlineLevel="0" collapsed="false">
      <c r="A557" s="10" t="s">
        <v>512</v>
      </c>
      <c r="B557" s="10"/>
      <c r="C557" s="10"/>
      <c r="D557" s="10"/>
      <c r="E557" s="10"/>
      <c r="F557" s="10"/>
      <c r="G557" s="10"/>
      <c r="H557" s="10"/>
    </row>
    <row r="558" customFormat="false" ht="42" hidden="false" customHeight="true" outlineLevel="0" collapsed="false">
      <c r="A558" s="11" t="s">
        <v>555</v>
      </c>
      <c r="B558" s="11"/>
      <c r="C558" s="11"/>
      <c r="D558" s="11"/>
      <c r="E558" s="11"/>
      <c r="F558" s="11"/>
      <c r="G558" s="11"/>
      <c r="H558" s="11"/>
    </row>
    <row r="559" customFormat="false" ht="33.75" hidden="false" customHeight="true" outlineLevel="0" collapsed="false">
      <c r="A559" s="12" t="s">
        <v>556</v>
      </c>
      <c r="B559" s="12"/>
      <c r="C559" s="12"/>
      <c r="D559" s="12"/>
      <c r="E559" s="12" t="s">
        <v>557</v>
      </c>
      <c r="F559" s="12"/>
      <c r="G559" s="12"/>
      <c r="H559" s="12"/>
    </row>
    <row r="560" customFormat="false" ht="33.75" hidden="false" customHeight="true" outlineLevel="0" collapsed="false">
      <c r="A560" s="12" t="s">
        <v>558</v>
      </c>
      <c r="B560" s="12"/>
      <c r="C560" s="12"/>
      <c r="D560" s="12"/>
      <c r="E560" s="12" t="s">
        <v>559</v>
      </c>
      <c r="F560" s="12"/>
      <c r="G560" s="12"/>
      <c r="H560" s="12"/>
    </row>
    <row r="561" customFormat="false" ht="24" hidden="false" customHeight="true" outlineLevel="0" collapsed="false">
      <c r="A561" s="13" t="s">
        <v>553</v>
      </c>
      <c r="B561" s="13"/>
      <c r="C561" s="13"/>
      <c r="D561" s="13"/>
      <c r="E561" s="13"/>
      <c r="F561" s="13"/>
      <c r="G561" s="13"/>
      <c r="H561" s="13"/>
    </row>
    <row r="562" customFormat="false" ht="7.5" hidden="false" customHeight="true" outlineLevel="0" collapsed="false"/>
    <row r="563" customFormat="false" ht="24" hidden="false" customHeight="true" outlineLevel="0" collapsed="false">
      <c r="A563" s="9" t="s">
        <v>560</v>
      </c>
      <c r="B563" s="9"/>
      <c r="C563" s="9"/>
      <c r="D563" s="9"/>
      <c r="E563" s="9"/>
      <c r="F563" s="9"/>
      <c r="G563" s="9"/>
      <c r="H563" s="9"/>
    </row>
    <row r="564" customFormat="false" ht="42" hidden="false" customHeight="true" outlineLevel="0" collapsed="false">
      <c r="A564" s="10" t="s">
        <v>512</v>
      </c>
      <c r="B564" s="10"/>
      <c r="C564" s="10"/>
      <c r="D564" s="10"/>
      <c r="E564" s="10"/>
      <c r="F564" s="10"/>
      <c r="G564" s="10"/>
      <c r="H564" s="10"/>
    </row>
    <row r="565" customFormat="false" ht="42" hidden="false" customHeight="true" outlineLevel="0" collapsed="false">
      <c r="A565" s="11" t="s">
        <v>561</v>
      </c>
      <c r="B565" s="11"/>
      <c r="C565" s="11"/>
      <c r="D565" s="11"/>
      <c r="E565" s="11"/>
      <c r="F565" s="11"/>
      <c r="G565" s="11"/>
      <c r="H565" s="11"/>
    </row>
    <row r="566" customFormat="false" ht="33.75" hidden="false" customHeight="true" outlineLevel="0" collapsed="false">
      <c r="A566" s="12" t="s">
        <v>562</v>
      </c>
      <c r="B566" s="12"/>
      <c r="C566" s="12"/>
      <c r="D566" s="12"/>
      <c r="E566" s="12" t="s">
        <v>563</v>
      </c>
      <c r="F566" s="12"/>
      <c r="G566" s="12"/>
      <c r="H566" s="12"/>
    </row>
    <row r="567" customFormat="false" ht="33.75" hidden="false" customHeight="true" outlineLevel="0" collapsed="false">
      <c r="A567" s="12" t="s">
        <v>564</v>
      </c>
      <c r="B567" s="12"/>
      <c r="C567" s="12"/>
      <c r="D567" s="12"/>
      <c r="E567" s="12" t="s">
        <v>267</v>
      </c>
      <c r="F567" s="12"/>
      <c r="G567" s="12"/>
      <c r="H567" s="12"/>
    </row>
    <row r="568" customFormat="false" ht="24" hidden="false" customHeight="true" outlineLevel="0" collapsed="false">
      <c r="A568" s="13" t="s">
        <v>553</v>
      </c>
      <c r="B568" s="13"/>
      <c r="C568" s="13"/>
      <c r="D568" s="13"/>
      <c r="E568" s="13"/>
      <c r="F568" s="13"/>
      <c r="G568" s="13"/>
      <c r="H568" s="13"/>
    </row>
    <row r="569" customFormat="false" ht="7.5" hidden="false" customHeight="true" outlineLevel="0" collapsed="false"/>
    <row r="570" customFormat="false" ht="24" hidden="false" customHeight="true" outlineLevel="0" collapsed="false">
      <c r="A570" s="9" t="s">
        <v>565</v>
      </c>
      <c r="B570" s="9"/>
      <c r="C570" s="9"/>
      <c r="D570" s="9"/>
      <c r="E570" s="9"/>
      <c r="F570" s="9"/>
      <c r="G570" s="9"/>
      <c r="H570" s="9"/>
    </row>
    <row r="571" customFormat="false" ht="42" hidden="false" customHeight="true" outlineLevel="0" collapsed="false">
      <c r="A571" s="10" t="s">
        <v>512</v>
      </c>
      <c r="B571" s="10"/>
      <c r="C571" s="10"/>
      <c r="D571" s="10"/>
      <c r="E571" s="10"/>
      <c r="F571" s="10"/>
      <c r="G571" s="10"/>
      <c r="H571" s="10"/>
    </row>
    <row r="572" customFormat="false" ht="42" hidden="false" customHeight="true" outlineLevel="0" collapsed="false">
      <c r="A572" s="11" t="s">
        <v>566</v>
      </c>
      <c r="B572" s="11"/>
      <c r="C572" s="11"/>
      <c r="D572" s="11"/>
      <c r="E572" s="11"/>
      <c r="F572" s="11"/>
      <c r="G572" s="11"/>
      <c r="H572" s="11"/>
    </row>
    <row r="573" customFormat="false" ht="54.75" hidden="false" customHeight="true" outlineLevel="0" collapsed="false">
      <c r="A573" s="12" t="s">
        <v>567</v>
      </c>
      <c r="B573" s="12"/>
      <c r="C573" s="12"/>
      <c r="D573" s="12"/>
      <c r="E573" s="12" t="s">
        <v>568</v>
      </c>
      <c r="F573" s="12"/>
      <c r="G573" s="12"/>
      <c r="H573" s="12"/>
    </row>
    <row r="574" customFormat="false" ht="54.75" hidden="false" customHeight="true" outlineLevel="0" collapsed="false">
      <c r="A574" s="12" t="s">
        <v>569</v>
      </c>
      <c r="B574" s="12"/>
      <c r="C574" s="12"/>
      <c r="D574" s="12"/>
      <c r="E574" s="12" t="s">
        <v>570</v>
      </c>
      <c r="F574" s="12"/>
      <c r="G574" s="12"/>
      <c r="H574" s="12"/>
    </row>
    <row r="575" customFormat="false" ht="24" hidden="false" customHeight="true" outlineLevel="0" collapsed="false">
      <c r="A575" s="13" t="s">
        <v>553</v>
      </c>
      <c r="B575" s="13"/>
      <c r="C575" s="13"/>
      <c r="D575" s="13"/>
      <c r="E575" s="13"/>
      <c r="F575" s="13"/>
      <c r="G575" s="13"/>
      <c r="H575" s="13"/>
    </row>
    <row r="576" customFormat="false" ht="7.5" hidden="false" customHeight="true" outlineLevel="0" collapsed="false"/>
    <row r="577" customFormat="false" ht="24" hidden="false" customHeight="true" outlineLevel="0" collapsed="false">
      <c r="A577" s="9" t="s">
        <v>571</v>
      </c>
      <c r="B577" s="9"/>
      <c r="C577" s="9"/>
      <c r="D577" s="9"/>
      <c r="E577" s="9"/>
      <c r="F577" s="9"/>
      <c r="G577" s="9"/>
      <c r="H577" s="9"/>
    </row>
    <row r="578" customFormat="false" ht="42" hidden="false" customHeight="true" outlineLevel="0" collapsed="false">
      <c r="A578" s="10" t="s">
        <v>512</v>
      </c>
      <c r="B578" s="10"/>
      <c r="C578" s="10"/>
      <c r="D578" s="10"/>
      <c r="E578" s="10"/>
      <c r="F578" s="10"/>
      <c r="G578" s="10"/>
      <c r="H578" s="10"/>
    </row>
    <row r="579" customFormat="false" ht="42" hidden="false" customHeight="true" outlineLevel="0" collapsed="false">
      <c r="A579" s="11" t="s">
        <v>572</v>
      </c>
      <c r="B579" s="11"/>
      <c r="C579" s="11"/>
      <c r="D579" s="11"/>
      <c r="E579" s="11"/>
      <c r="F579" s="11"/>
      <c r="G579" s="11"/>
      <c r="H579" s="11"/>
    </row>
    <row r="580" customFormat="false" ht="54.75" hidden="false" customHeight="true" outlineLevel="0" collapsed="false">
      <c r="A580" s="12" t="s">
        <v>573</v>
      </c>
      <c r="B580" s="12"/>
      <c r="C580" s="12"/>
      <c r="D580" s="12"/>
      <c r="E580" s="12" t="s">
        <v>574</v>
      </c>
      <c r="F580" s="12"/>
      <c r="G580" s="12"/>
      <c r="H580" s="12"/>
    </row>
    <row r="581" customFormat="false" ht="54.75" hidden="false" customHeight="true" outlineLevel="0" collapsed="false">
      <c r="A581" s="12" t="s">
        <v>575</v>
      </c>
      <c r="B581" s="12"/>
      <c r="C581" s="12"/>
      <c r="D581" s="12"/>
      <c r="E581" s="12" t="s">
        <v>576</v>
      </c>
      <c r="F581" s="12"/>
      <c r="G581" s="12"/>
      <c r="H581" s="12"/>
    </row>
    <row r="582" customFormat="false" ht="24" hidden="false" customHeight="true" outlineLevel="0" collapsed="false">
      <c r="A582" s="13" t="s">
        <v>577</v>
      </c>
      <c r="B582" s="13"/>
      <c r="C582" s="13"/>
      <c r="D582" s="13"/>
      <c r="E582" s="13"/>
      <c r="F582" s="13"/>
      <c r="G582" s="13"/>
      <c r="H582" s="13"/>
    </row>
    <row r="583" customFormat="false" ht="7.5" hidden="false" customHeight="true" outlineLevel="0" collapsed="false"/>
    <row r="584" customFormat="false" ht="24" hidden="false" customHeight="true" outlineLevel="0" collapsed="false">
      <c r="A584" s="9" t="s">
        <v>578</v>
      </c>
      <c r="B584" s="9"/>
      <c r="C584" s="9"/>
      <c r="D584" s="9"/>
      <c r="E584" s="9"/>
      <c r="F584" s="9"/>
      <c r="G584" s="9"/>
      <c r="H584" s="9"/>
    </row>
    <row r="585" customFormat="false" ht="42" hidden="false" customHeight="true" outlineLevel="0" collapsed="false">
      <c r="A585" s="10" t="s">
        <v>512</v>
      </c>
      <c r="B585" s="10"/>
      <c r="C585" s="10"/>
      <c r="D585" s="10"/>
      <c r="E585" s="10"/>
      <c r="F585" s="10"/>
      <c r="G585" s="10"/>
      <c r="H585" s="10"/>
    </row>
    <row r="586" customFormat="false" ht="42" hidden="false" customHeight="true" outlineLevel="0" collapsed="false">
      <c r="A586" s="11" t="s">
        <v>579</v>
      </c>
      <c r="B586" s="11"/>
      <c r="C586" s="11"/>
      <c r="D586" s="11"/>
      <c r="E586" s="11"/>
      <c r="F586" s="11"/>
      <c r="G586" s="11"/>
      <c r="H586" s="11"/>
    </row>
    <row r="587" customFormat="false" ht="33.75" hidden="false" customHeight="true" outlineLevel="0" collapsed="false">
      <c r="A587" s="12" t="s">
        <v>580</v>
      </c>
      <c r="B587" s="12"/>
      <c r="C587" s="12"/>
      <c r="D587" s="12"/>
      <c r="E587" s="12" t="s">
        <v>581</v>
      </c>
      <c r="F587" s="12"/>
      <c r="G587" s="12"/>
      <c r="H587" s="12"/>
    </row>
    <row r="588" customFormat="false" ht="33.75" hidden="false" customHeight="true" outlineLevel="0" collapsed="false">
      <c r="A588" s="12" t="s">
        <v>582</v>
      </c>
      <c r="B588" s="12"/>
      <c r="C588" s="12"/>
      <c r="D588" s="12"/>
      <c r="E588" s="12" t="s">
        <v>583</v>
      </c>
      <c r="F588" s="12"/>
      <c r="G588" s="12"/>
      <c r="H588" s="12"/>
    </row>
    <row r="589" customFormat="false" ht="24" hidden="false" customHeight="true" outlineLevel="0" collapsed="false">
      <c r="A589" s="13" t="s">
        <v>577</v>
      </c>
      <c r="B589" s="13"/>
      <c r="C589" s="13"/>
      <c r="D589" s="13"/>
      <c r="E589" s="13"/>
      <c r="F589" s="13"/>
      <c r="G589" s="13"/>
      <c r="H589" s="13"/>
    </row>
    <row r="590" customFormat="false" ht="7.5" hidden="false" customHeight="true" outlineLevel="0" collapsed="false"/>
    <row r="591" customFormat="false" ht="24" hidden="false" customHeight="true" outlineLevel="0" collapsed="false">
      <c r="A591" s="9" t="s">
        <v>584</v>
      </c>
      <c r="B591" s="9"/>
      <c r="C591" s="9"/>
      <c r="D591" s="9"/>
      <c r="E591" s="9"/>
      <c r="F591" s="9"/>
      <c r="G591" s="9"/>
      <c r="H591" s="9"/>
    </row>
    <row r="592" customFormat="false" ht="42" hidden="false" customHeight="true" outlineLevel="0" collapsed="false">
      <c r="A592" s="10" t="s">
        <v>512</v>
      </c>
      <c r="B592" s="10"/>
      <c r="C592" s="10"/>
      <c r="D592" s="10"/>
      <c r="E592" s="10"/>
      <c r="F592" s="10"/>
      <c r="G592" s="10"/>
      <c r="H592" s="10"/>
    </row>
    <row r="593" customFormat="false" ht="42" hidden="false" customHeight="true" outlineLevel="0" collapsed="false">
      <c r="A593" s="11" t="s">
        <v>585</v>
      </c>
      <c r="B593" s="11"/>
      <c r="C593" s="11"/>
      <c r="D593" s="11"/>
      <c r="E593" s="11"/>
      <c r="F593" s="11"/>
      <c r="G593" s="11"/>
      <c r="H593" s="11"/>
    </row>
    <row r="594" customFormat="false" ht="33.75" hidden="false" customHeight="true" outlineLevel="0" collapsed="false">
      <c r="A594" s="12" t="s">
        <v>586</v>
      </c>
      <c r="B594" s="12"/>
      <c r="C594" s="12"/>
      <c r="D594" s="12"/>
      <c r="E594" s="12" t="s">
        <v>587</v>
      </c>
      <c r="F594" s="12"/>
      <c r="G594" s="12"/>
      <c r="H594" s="12"/>
    </row>
    <row r="595" customFormat="false" ht="33.75" hidden="false" customHeight="true" outlineLevel="0" collapsed="false">
      <c r="A595" s="12" t="s">
        <v>588</v>
      </c>
      <c r="B595" s="12"/>
      <c r="C595" s="12"/>
      <c r="D595" s="12"/>
      <c r="E595" s="12" t="s">
        <v>589</v>
      </c>
      <c r="F595" s="12"/>
      <c r="G595" s="12"/>
      <c r="H595" s="12"/>
    </row>
    <row r="596" customFormat="false" ht="24" hidden="false" customHeight="true" outlineLevel="0" collapsed="false">
      <c r="A596" s="13" t="s">
        <v>577</v>
      </c>
      <c r="B596" s="13"/>
      <c r="C596" s="13"/>
      <c r="D596" s="13"/>
      <c r="E596" s="13"/>
      <c r="F596" s="13"/>
      <c r="G596" s="13"/>
      <c r="H596" s="13"/>
    </row>
    <row r="597" customFormat="false" ht="7.5" hidden="false" customHeight="true" outlineLevel="0" collapsed="false"/>
    <row r="598" customFormat="false" ht="24" hidden="false" customHeight="true" outlineLevel="0" collapsed="false">
      <c r="A598" s="9" t="s">
        <v>590</v>
      </c>
      <c r="B598" s="9"/>
      <c r="C598" s="9"/>
      <c r="D598" s="9"/>
      <c r="E598" s="9"/>
      <c r="F598" s="9"/>
      <c r="G598" s="9"/>
      <c r="H598" s="9"/>
    </row>
    <row r="599" customFormat="false" ht="42" hidden="false" customHeight="true" outlineLevel="0" collapsed="false">
      <c r="A599" s="10" t="s">
        <v>512</v>
      </c>
      <c r="B599" s="10"/>
      <c r="C599" s="10"/>
      <c r="D599" s="10"/>
      <c r="E599" s="10"/>
      <c r="F599" s="10"/>
      <c r="G599" s="10"/>
      <c r="H599" s="10"/>
    </row>
    <row r="600" customFormat="false" ht="42" hidden="false" customHeight="true" outlineLevel="0" collapsed="false">
      <c r="A600" s="11" t="s">
        <v>591</v>
      </c>
      <c r="B600" s="11"/>
      <c r="C600" s="11"/>
      <c r="D600" s="11"/>
      <c r="E600" s="11"/>
      <c r="F600" s="11"/>
      <c r="G600" s="11"/>
      <c r="H600" s="11"/>
    </row>
    <row r="601" customFormat="false" ht="42" hidden="false" customHeight="true" outlineLevel="0" collapsed="false">
      <c r="A601" s="12" t="s">
        <v>592</v>
      </c>
      <c r="B601" s="12"/>
      <c r="C601" s="12"/>
      <c r="D601" s="12"/>
      <c r="E601" s="12" t="s">
        <v>593</v>
      </c>
      <c r="F601" s="12"/>
      <c r="G601" s="12"/>
      <c r="H601" s="12"/>
    </row>
    <row r="602" customFormat="false" ht="42" hidden="false" customHeight="true" outlineLevel="0" collapsed="false">
      <c r="A602" s="12" t="s">
        <v>594</v>
      </c>
      <c r="B602" s="12"/>
      <c r="C602" s="12"/>
      <c r="D602" s="12"/>
      <c r="E602" s="12" t="s">
        <v>595</v>
      </c>
      <c r="F602" s="12"/>
      <c r="G602" s="12"/>
      <c r="H602" s="12"/>
    </row>
    <row r="603" customFormat="false" ht="24" hidden="false" customHeight="true" outlineLevel="0" collapsed="false">
      <c r="A603" s="13" t="s">
        <v>577</v>
      </c>
      <c r="B603" s="13"/>
      <c r="C603" s="13"/>
      <c r="D603" s="13"/>
      <c r="E603" s="13"/>
      <c r="F603" s="13"/>
      <c r="G603" s="13"/>
      <c r="H603" s="13"/>
    </row>
    <row r="604" customFormat="false" ht="7.5" hidden="false" customHeight="true" outlineLevel="0" collapsed="false"/>
    <row r="605" customFormat="false" ht="24" hidden="false" customHeight="true" outlineLevel="0" collapsed="false">
      <c r="A605" s="9" t="s">
        <v>596</v>
      </c>
      <c r="B605" s="9"/>
      <c r="C605" s="9"/>
      <c r="D605" s="9"/>
      <c r="E605" s="9"/>
      <c r="F605" s="9"/>
      <c r="G605" s="9"/>
      <c r="H605" s="9"/>
    </row>
    <row r="606" customFormat="false" ht="42" hidden="false" customHeight="true" outlineLevel="0" collapsed="false">
      <c r="A606" s="10" t="s">
        <v>512</v>
      </c>
      <c r="B606" s="10"/>
      <c r="C606" s="10"/>
      <c r="D606" s="10"/>
      <c r="E606" s="10"/>
      <c r="F606" s="10"/>
      <c r="G606" s="10"/>
      <c r="H606" s="10"/>
    </row>
    <row r="607" customFormat="false" ht="42" hidden="false" customHeight="true" outlineLevel="0" collapsed="false">
      <c r="A607" s="11" t="s">
        <v>597</v>
      </c>
      <c r="B607" s="11"/>
      <c r="C607" s="11"/>
      <c r="D607" s="11"/>
      <c r="E607" s="11"/>
      <c r="F607" s="11"/>
      <c r="G607" s="11"/>
      <c r="H607" s="11"/>
    </row>
    <row r="608" customFormat="false" ht="42" hidden="false" customHeight="true" outlineLevel="0" collapsed="false">
      <c r="A608" s="12" t="s">
        <v>598</v>
      </c>
      <c r="B608" s="12"/>
      <c r="C608" s="12"/>
      <c r="D608" s="12"/>
      <c r="E608" s="12" t="s">
        <v>599</v>
      </c>
      <c r="F608" s="12"/>
      <c r="G608" s="12"/>
      <c r="H608" s="12"/>
    </row>
    <row r="609" customFormat="false" ht="67.5" hidden="false" customHeight="true" outlineLevel="0" collapsed="false">
      <c r="A609" s="12" t="s">
        <v>600</v>
      </c>
      <c r="B609" s="12"/>
      <c r="C609" s="12"/>
      <c r="D609" s="12"/>
      <c r="E609" s="12" t="s">
        <v>601</v>
      </c>
      <c r="F609" s="12"/>
      <c r="G609" s="12"/>
      <c r="H609" s="12"/>
    </row>
    <row r="610" customFormat="false" ht="24" hidden="false" customHeight="true" outlineLevel="0" collapsed="false">
      <c r="A610" s="13" t="s">
        <v>602</v>
      </c>
      <c r="B610" s="13"/>
      <c r="C610" s="13"/>
      <c r="D610" s="13"/>
      <c r="E610" s="13"/>
      <c r="F610" s="13"/>
      <c r="G610" s="13"/>
      <c r="H610" s="13"/>
    </row>
    <row r="611" customFormat="false" ht="7.5" hidden="false" customHeight="true" outlineLevel="0" collapsed="false"/>
    <row r="612" customFormat="false" ht="24" hidden="false" customHeight="true" outlineLevel="0" collapsed="false">
      <c r="A612" s="9" t="s">
        <v>603</v>
      </c>
      <c r="B612" s="9"/>
      <c r="C612" s="9"/>
      <c r="D612" s="9"/>
      <c r="E612" s="9"/>
      <c r="F612" s="9"/>
      <c r="G612" s="9"/>
      <c r="H612" s="9"/>
    </row>
    <row r="613" customFormat="false" ht="42" hidden="false" customHeight="true" outlineLevel="0" collapsed="false">
      <c r="A613" s="10" t="s">
        <v>512</v>
      </c>
      <c r="B613" s="10"/>
      <c r="C613" s="10"/>
      <c r="D613" s="10"/>
      <c r="E613" s="10"/>
      <c r="F613" s="10"/>
      <c r="G613" s="10"/>
      <c r="H613" s="10"/>
    </row>
    <row r="614" customFormat="false" ht="42" hidden="false" customHeight="true" outlineLevel="0" collapsed="false">
      <c r="A614" s="11" t="s">
        <v>604</v>
      </c>
      <c r="B614" s="11"/>
      <c r="C614" s="11"/>
      <c r="D614" s="11"/>
      <c r="E614" s="11"/>
      <c r="F614" s="11"/>
      <c r="G614" s="11"/>
      <c r="H614" s="11"/>
    </row>
    <row r="615" customFormat="false" ht="33.75" hidden="false" customHeight="true" outlineLevel="0" collapsed="false">
      <c r="A615" s="12" t="s">
        <v>605</v>
      </c>
      <c r="B615" s="12"/>
      <c r="C615" s="12"/>
      <c r="D615" s="12"/>
      <c r="E615" s="12" t="s">
        <v>606</v>
      </c>
      <c r="F615" s="12"/>
      <c r="G615" s="12"/>
      <c r="H615" s="12"/>
    </row>
    <row r="616" customFormat="false" ht="33.75" hidden="false" customHeight="true" outlineLevel="0" collapsed="false">
      <c r="A616" s="12" t="s">
        <v>607</v>
      </c>
      <c r="B616" s="12"/>
      <c r="C616" s="12"/>
      <c r="D616" s="12"/>
      <c r="E616" s="12" t="s">
        <v>608</v>
      </c>
      <c r="F616" s="12"/>
      <c r="G616" s="12"/>
      <c r="H616" s="12"/>
    </row>
    <row r="617" customFormat="false" ht="24" hidden="false" customHeight="true" outlineLevel="0" collapsed="false">
      <c r="A617" s="13" t="s">
        <v>602</v>
      </c>
      <c r="B617" s="13"/>
      <c r="C617" s="13"/>
      <c r="D617" s="13"/>
      <c r="E617" s="13"/>
      <c r="F617" s="13"/>
      <c r="G617" s="13"/>
      <c r="H617" s="13"/>
    </row>
    <row r="618" customFormat="false" ht="7.5" hidden="false" customHeight="true" outlineLevel="0" collapsed="false"/>
    <row r="619" customFormat="false" ht="24" hidden="false" customHeight="true" outlineLevel="0" collapsed="false">
      <c r="A619" s="9" t="s">
        <v>609</v>
      </c>
      <c r="B619" s="9"/>
      <c r="C619" s="9"/>
      <c r="D619" s="9"/>
      <c r="E619" s="9"/>
      <c r="F619" s="9"/>
      <c r="G619" s="9"/>
      <c r="H619" s="9"/>
    </row>
    <row r="620" customFormat="false" ht="42" hidden="false" customHeight="true" outlineLevel="0" collapsed="false">
      <c r="A620" s="10" t="s">
        <v>512</v>
      </c>
      <c r="B620" s="10"/>
      <c r="C620" s="10"/>
      <c r="D620" s="10"/>
      <c r="E620" s="10"/>
      <c r="F620" s="10"/>
      <c r="G620" s="10"/>
      <c r="H620" s="10"/>
    </row>
    <row r="621" customFormat="false" ht="45.75" hidden="false" customHeight="true" outlineLevel="0" collapsed="false">
      <c r="A621" s="11" t="s">
        <v>610</v>
      </c>
      <c r="B621" s="11"/>
      <c r="C621" s="11"/>
      <c r="D621" s="11"/>
      <c r="E621" s="11"/>
      <c r="F621" s="11"/>
      <c r="G621" s="11"/>
      <c r="H621" s="11"/>
    </row>
    <row r="622" customFormat="false" ht="33.75" hidden="false" customHeight="true" outlineLevel="0" collapsed="false">
      <c r="A622" s="12" t="s">
        <v>611</v>
      </c>
      <c r="B622" s="12"/>
      <c r="C622" s="12"/>
      <c r="D622" s="12"/>
      <c r="E622" s="12" t="s">
        <v>612</v>
      </c>
      <c r="F622" s="12"/>
      <c r="G622" s="12"/>
      <c r="H622" s="12"/>
    </row>
    <row r="623" customFormat="false" ht="42" hidden="false" customHeight="true" outlineLevel="0" collapsed="false">
      <c r="A623" s="12" t="s">
        <v>613</v>
      </c>
      <c r="B623" s="12"/>
      <c r="C623" s="12"/>
      <c r="D623" s="12"/>
      <c r="E623" s="12" t="s">
        <v>614</v>
      </c>
      <c r="F623" s="12"/>
      <c r="G623" s="12"/>
      <c r="H623" s="12"/>
    </row>
    <row r="624" customFormat="false" ht="24" hidden="false" customHeight="true" outlineLevel="0" collapsed="false">
      <c r="A624" s="13" t="s">
        <v>602</v>
      </c>
      <c r="B624" s="13"/>
      <c r="C624" s="13"/>
      <c r="D624" s="13"/>
      <c r="E624" s="13"/>
      <c r="F624" s="13"/>
      <c r="G624" s="13"/>
      <c r="H624" s="13"/>
    </row>
    <row r="625" customFormat="false" ht="7.5" hidden="false" customHeight="true" outlineLevel="0" collapsed="false"/>
    <row r="626" customFormat="false" ht="24" hidden="false" customHeight="true" outlineLevel="0" collapsed="false">
      <c r="A626" s="9" t="s">
        <v>615</v>
      </c>
      <c r="B626" s="9"/>
      <c r="C626" s="9"/>
      <c r="D626" s="9"/>
      <c r="E626" s="9"/>
      <c r="F626" s="9"/>
      <c r="G626" s="9"/>
      <c r="H626" s="9"/>
    </row>
    <row r="627" customFormat="false" ht="42" hidden="false" customHeight="true" outlineLevel="0" collapsed="false">
      <c r="A627" s="10" t="s">
        <v>512</v>
      </c>
      <c r="B627" s="10"/>
      <c r="C627" s="10"/>
      <c r="D627" s="10"/>
      <c r="E627" s="10"/>
      <c r="F627" s="10"/>
      <c r="G627" s="10"/>
      <c r="H627" s="10"/>
    </row>
    <row r="628" customFormat="false" ht="42" hidden="false" customHeight="true" outlineLevel="0" collapsed="false">
      <c r="A628" s="11" t="s">
        <v>616</v>
      </c>
      <c r="B628" s="11"/>
      <c r="C628" s="11"/>
      <c r="D628" s="11"/>
      <c r="E628" s="11"/>
      <c r="F628" s="11"/>
      <c r="G628" s="11"/>
      <c r="H628" s="11"/>
    </row>
    <row r="629" customFormat="false" ht="33.75" hidden="false" customHeight="true" outlineLevel="0" collapsed="false">
      <c r="A629" s="12" t="s">
        <v>617</v>
      </c>
      <c r="B629" s="12"/>
      <c r="C629" s="12"/>
      <c r="D629" s="12"/>
      <c r="E629" s="12" t="s">
        <v>618</v>
      </c>
      <c r="F629" s="12"/>
      <c r="G629" s="12"/>
      <c r="H629" s="12"/>
    </row>
    <row r="630" customFormat="false" ht="42" hidden="false" customHeight="true" outlineLevel="0" collapsed="false">
      <c r="A630" s="12" t="s">
        <v>619</v>
      </c>
      <c r="B630" s="12"/>
      <c r="C630" s="12"/>
      <c r="D630" s="12"/>
      <c r="E630" s="12" t="s">
        <v>620</v>
      </c>
      <c r="F630" s="12"/>
      <c r="G630" s="12"/>
      <c r="H630" s="12"/>
    </row>
    <row r="631" customFormat="false" ht="24" hidden="false" customHeight="true" outlineLevel="0" collapsed="false">
      <c r="A631" s="13" t="s">
        <v>621</v>
      </c>
      <c r="B631" s="13"/>
      <c r="C631" s="13"/>
      <c r="D631" s="13"/>
      <c r="E631" s="13"/>
      <c r="F631" s="13"/>
      <c r="G631" s="13"/>
      <c r="H631" s="13"/>
    </row>
    <row r="632" customFormat="false" ht="7.5" hidden="false" customHeight="true" outlineLevel="0" collapsed="false"/>
    <row r="633" customFormat="false" ht="24" hidden="false" customHeight="true" outlineLevel="0" collapsed="false">
      <c r="A633" s="9" t="s">
        <v>622</v>
      </c>
      <c r="B633" s="9"/>
      <c r="C633" s="9"/>
      <c r="D633" s="9"/>
      <c r="E633" s="9"/>
      <c r="F633" s="9"/>
      <c r="G633" s="9"/>
      <c r="H633" s="9"/>
    </row>
    <row r="634" customFormat="false" ht="42" hidden="false" customHeight="true" outlineLevel="0" collapsed="false">
      <c r="A634" s="10" t="s">
        <v>512</v>
      </c>
      <c r="B634" s="10"/>
      <c r="C634" s="10"/>
      <c r="D634" s="10"/>
      <c r="E634" s="10"/>
      <c r="F634" s="10"/>
      <c r="G634" s="10"/>
      <c r="H634" s="10"/>
    </row>
    <row r="635" customFormat="false" ht="42" hidden="false" customHeight="true" outlineLevel="0" collapsed="false">
      <c r="A635" s="11" t="s">
        <v>623</v>
      </c>
      <c r="B635" s="11"/>
      <c r="C635" s="11"/>
      <c r="D635" s="11"/>
      <c r="E635" s="11"/>
      <c r="F635" s="11"/>
      <c r="G635" s="11"/>
      <c r="H635" s="11"/>
    </row>
    <row r="636" customFormat="false" ht="54.75" hidden="false" customHeight="true" outlineLevel="0" collapsed="false">
      <c r="A636" s="12" t="s">
        <v>624</v>
      </c>
      <c r="B636" s="12"/>
      <c r="C636" s="12"/>
      <c r="D636" s="12"/>
      <c r="E636" s="12" t="s">
        <v>625</v>
      </c>
      <c r="F636" s="12"/>
      <c r="G636" s="12"/>
      <c r="H636" s="12"/>
    </row>
    <row r="637" customFormat="false" ht="42" hidden="false" customHeight="true" outlineLevel="0" collapsed="false">
      <c r="A637" s="12" t="s">
        <v>626</v>
      </c>
      <c r="B637" s="12"/>
      <c r="C637" s="12"/>
      <c r="D637" s="12"/>
      <c r="E637" s="12" t="s">
        <v>627</v>
      </c>
      <c r="F637" s="12"/>
      <c r="G637" s="12"/>
      <c r="H637" s="12"/>
    </row>
    <row r="638" customFormat="false" ht="24" hidden="false" customHeight="true" outlineLevel="0" collapsed="false">
      <c r="A638" s="13" t="s">
        <v>621</v>
      </c>
      <c r="B638" s="13"/>
      <c r="C638" s="13"/>
      <c r="D638" s="13"/>
      <c r="E638" s="13"/>
      <c r="F638" s="13"/>
      <c r="G638" s="13"/>
      <c r="H638" s="13"/>
    </row>
    <row r="639" customFormat="false" ht="7.5" hidden="false" customHeight="true" outlineLevel="0" collapsed="false"/>
    <row r="640" customFormat="false" ht="24" hidden="false" customHeight="true" outlineLevel="0" collapsed="false">
      <c r="A640" s="9" t="s">
        <v>628</v>
      </c>
      <c r="B640" s="9"/>
      <c r="C640" s="9"/>
      <c r="D640" s="9"/>
      <c r="E640" s="9"/>
      <c r="F640" s="9"/>
      <c r="G640" s="9"/>
      <c r="H640" s="9"/>
    </row>
    <row r="641" customFormat="false" ht="42" hidden="false" customHeight="true" outlineLevel="0" collapsed="false">
      <c r="A641" s="10" t="s">
        <v>512</v>
      </c>
      <c r="B641" s="10"/>
      <c r="C641" s="10"/>
      <c r="D641" s="10"/>
      <c r="E641" s="10"/>
      <c r="F641" s="10"/>
      <c r="G641" s="10"/>
      <c r="H641" s="10"/>
    </row>
    <row r="642" customFormat="false" ht="42" hidden="false" customHeight="true" outlineLevel="0" collapsed="false">
      <c r="A642" s="11" t="s">
        <v>629</v>
      </c>
      <c r="B642" s="11"/>
      <c r="C642" s="11"/>
      <c r="D642" s="11"/>
      <c r="E642" s="11"/>
      <c r="F642" s="11"/>
      <c r="G642" s="11"/>
      <c r="H642" s="11"/>
    </row>
    <row r="643" customFormat="false" ht="33.75" hidden="false" customHeight="true" outlineLevel="0" collapsed="false">
      <c r="A643" s="12" t="s">
        <v>630</v>
      </c>
      <c r="B643" s="12"/>
      <c r="C643" s="12"/>
      <c r="D643" s="12"/>
      <c r="E643" s="12" t="s">
        <v>631</v>
      </c>
      <c r="F643" s="12"/>
      <c r="G643" s="12"/>
      <c r="H643" s="12"/>
    </row>
    <row r="644" customFormat="false" ht="33.75" hidden="false" customHeight="true" outlineLevel="0" collapsed="false">
      <c r="A644" s="12" t="s">
        <v>632</v>
      </c>
      <c r="B644" s="12"/>
      <c r="C644" s="12"/>
      <c r="D644" s="12"/>
      <c r="E644" s="12" t="s">
        <v>633</v>
      </c>
      <c r="F644" s="12"/>
      <c r="G644" s="12"/>
      <c r="H644" s="12"/>
    </row>
    <row r="645" customFormat="false" ht="24" hidden="false" customHeight="true" outlineLevel="0" collapsed="false">
      <c r="A645" s="13" t="s">
        <v>621</v>
      </c>
      <c r="B645" s="13"/>
      <c r="C645" s="13"/>
      <c r="D645" s="13"/>
      <c r="E645" s="13"/>
      <c r="F645" s="13"/>
      <c r="G645" s="13"/>
      <c r="H645" s="13"/>
    </row>
    <row r="646" customFormat="false" ht="7.5" hidden="false" customHeight="true" outlineLevel="0" collapsed="false"/>
    <row r="647" customFormat="false" ht="24" hidden="false" customHeight="true" outlineLevel="0" collapsed="false">
      <c r="A647" s="9" t="s">
        <v>634</v>
      </c>
      <c r="B647" s="9"/>
      <c r="C647" s="9"/>
      <c r="D647" s="9"/>
      <c r="E647" s="9"/>
      <c r="F647" s="9"/>
      <c r="G647" s="9"/>
      <c r="H647" s="9"/>
    </row>
    <row r="648" customFormat="false" ht="42" hidden="false" customHeight="true" outlineLevel="0" collapsed="false">
      <c r="A648" s="10" t="s">
        <v>512</v>
      </c>
      <c r="B648" s="10"/>
      <c r="C648" s="10"/>
      <c r="D648" s="10"/>
      <c r="E648" s="10"/>
      <c r="F648" s="10"/>
      <c r="G648" s="10"/>
      <c r="H648" s="10"/>
    </row>
    <row r="649" customFormat="false" ht="42" hidden="false" customHeight="true" outlineLevel="0" collapsed="false">
      <c r="A649" s="11" t="s">
        <v>635</v>
      </c>
      <c r="B649" s="11"/>
      <c r="C649" s="11"/>
      <c r="D649" s="11"/>
      <c r="E649" s="11"/>
      <c r="F649" s="11"/>
      <c r="G649" s="11"/>
      <c r="H649" s="11"/>
    </row>
    <row r="650" customFormat="false" ht="42" hidden="false" customHeight="true" outlineLevel="0" collapsed="false">
      <c r="A650" s="12" t="s">
        <v>636</v>
      </c>
      <c r="B650" s="12"/>
      <c r="C650" s="12"/>
      <c r="D650" s="12"/>
      <c r="E650" s="12" t="s">
        <v>637</v>
      </c>
      <c r="F650" s="12"/>
      <c r="G650" s="12"/>
      <c r="H650" s="12"/>
    </row>
    <row r="651" customFormat="false" ht="42" hidden="false" customHeight="true" outlineLevel="0" collapsed="false">
      <c r="A651" s="12" t="s">
        <v>638</v>
      </c>
      <c r="B651" s="12"/>
      <c r="C651" s="12"/>
      <c r="D651" s="12"/>
      <c r="E651" s="12" t="s">
        <v>639</v>
      </c>
      <c r="F651" s="12"/>
      <c r="G651" s="12"/>
      <c r="H651" s="12"/>
    </row>
    <row r="652" customFormat="false" ht="24" hidden="false" customHeight="true" outlineLevel="0" collapsed="false">
      <c r="A652" s="13" t="s">
        <v>621</v>
      </c>
      <c r="B652" s="13"/>
      <c r="C652" s="13"/>
      <c r="D652" s="13"/>
      <c r="E652" s="13"/>
      <c r="F652" s="13"/>
      <c r="G652" s="13"/>
      <c r="H652" s="13"/>
    </row>
    <row r="653" customFormat="false" ht="7.5" hidden="false" customHeight="true" outlineLevel="0" collapsed="false"/>
    <row r="654" customFormat="false" ht="24" hidden="false" customHeight="true" outlineLevel="0" collapsed="false">
      <c r="A654" s="9" t="s">
        <v>640</v>
      </c>
      <c r="B654" s="9"/>
      <c r="C654" s="9"/>
      <c r="D654" s="9"/>
      <c r="E654" s="9"/>
      <c r="F654" s="9"/>
      <c r="G654" s="9"/>
      <c r="H654" s="9"/>
    </row>
    <row r="655" customFormat="false" ht="42" hidden="false" customHeight="true" outlineLevel="0" collapsed="false">
      <c r="A655" s="10" t="s">
        <v>512</v>
      </c>
      <c r="B655" s="10"/>
      <c r="C655" s="10"/>
      <c r="D655" s="10"/>
      <c r="E655" s="10"/>
      <c r="F655" s="10"/>
      <c r="G655" s="10"/>
      <c r="H655" s="10"/>
    </row>
    <row r="656" customFormat="false" ht="42" hidden="false" customHeight="true" outlineLevel="0" collapsed="false">
      <c r="A656" s="11" t="s">
        <v>641</v>
      </c>
      <c r="B656" s="11"/>
      <c r="C656" s="11"/>
      <c r="D656" s="11"/>
      <c r="E656" s="11"/>
      <c r="F656" s="11"/>
      <c r="G656" s="11"/>
      <c r="H656" s="11"/>
    </row>
    <row r="657" customFormat="false" ht="33.75" hidden="false" customHeight="true" outlineLevel="0" collapsed="false">
      <c r="A657" s="12" t="s">
        <v>642</v>
      </c>
      <c r="B657" s="12"/>
      <c r="C657" s="12"/>
      <c r="D657" s="12"/>
      <c r="E657" s="12" t="s">
        <v>643</v>
      </c>
      <c r="F657" s="12"/>
      <c r="G657" s="12"/>
      <c r="H657" s="12"/>
    </row>
    <row r="658" customFormat="false" ht="33.75" hidden="false" customHeight="true" outlineLevel="0" collapsed="false">
      <c r="A658" s="12" t="s">
        <v>644</v>
      </c>
      <c r="B658" s="12"/>
      <c r="C658" s="12"/>
      <c r="D658" s="12"/>
      <c r="E658" s="12" t="s">
        <v>645</v>
      </c>
      <c r="F658" s="12"/>
      <c r="G658" s="12"/>
      <c r="H658" s="12"/>
    </row>
    <row r="659" customFormat="false" ht="24" hidden="false" customHeight="true" outlineLevel="0" collapsed="false">
      <c r="A659" s="13" t="s">
        <v>646</v>
      </c>
      <c r="B659" s="13"/>
      <c r="C659" s="13"/>
      <c r="D659" s="13"/>
      <c r="E659" s="13"/>
      <c r="F659" s="13"/>
      <c r="G659" s="13"/>
      <c r="H659" s="13"/>
    </row>
    <row r="660" customFormat="false" ht="7.5" hidden="false" customHeight="true" outlineLevel="0" collapsed="false"/>
    <row r="661" customFormat="false" ht="24" hidden="false" customHeight="true" outlineLevel="0" collapsed="false">
      <c r="A661" s="9" t="s">
        <v>647</v>
      </c>
      <c r="B661" s="9"/>
      <c r="C661" s="9"/>
      <c r="D661" s="9"/>
      <c r="E661" s="9"/>
      <c r="F661" s="9"/>
      <c r="G661" s="9"/>
      <c r="H661" s="9"/>
    </row>
    <row r="662" customFormat="false" ht="112.5" hidden="false" customHeight="true" outlineLevel="0" collapsed="false">
      <c r="A662" s="10" t="s">
        <v>648</v>
      </c>
      <c r="B662" s="10"/>
      <c r="C662" s="10"/>
      <c r="D662" s="10"/>
      <c r="E662" s="10"/>
      <c r="F662" s="10"/>
      <c r="G662" s="10"/>
      <c r="H662" s="10"/>
    </row>
    <row r="663" customFormat="false" ht="60.75" hidden="false" customHeight="true" outlineLevel="0" collapsed="false">
      <c r="A663" s="10" t="s">
        <v>649</v>
      </c>
      <c r="B663" s="10"/>
      <c r="C663" s="10"/>
      <c r="D663" s="10"/>
      <c r="E663" s="10"/>
      <c r="F663" s="10"/>
      <c r="G663" s="10"/>
      <c r="H663" s="10"/>
    </row>
    <row r="664" customFormat="false" ht="42" hidden="false" customHeight="true" outlineLevel="0" collapsed="false">
      <c r="A664" s="11" t="s">
        <v>650</v>
      </c>
      <c r="B664" s="11"/>
      <c r="C664" s="11"/>
      <c r="D664" s="11"/>
      <c r="E664" s="11"/>
      <c r="F664" s="11"/>
      <c r="G664" s="11"/>
      <c r="H664" s="11"/>
    </row>
    <row r="665" customFormat="false" ht="42" hidden="false" customHeight="true" outlineLevel="0" collapsed="false">
      <c r="A665" s="12" t="s">
        <v>651</v>
      </c>
      <c r="B665" s="12"/>
      <c r="C665" s="12"/>
      <c r="D665" s="12"/>
      <c r="E665" s="12" t="s">
        <v>652</v>
      </c>
      <c r="F665" s="12"/>
      <c r="G665" s="12"/>
      <c r="H665" s="12"/>
    </row>
    <row r="666" customFormat="false" ht="42" hidden="false" customHeight="true" outlineLevel="0" collapsed="false">
      <c r="A666" s="12" t="s">
        <v>653</v>
      </c>
      <c r="B666" s="12"/>
      <c r="C666" s="12"/>
      <c r="D666" s="12"/>
      <c r="E666" s="12" t="s">
        <v>654</v>
      </c>
      <c r="F666" s="12"/>
      <c r="G666" s="12"/>
      <c r="H666" s="12"/>
    </row>
    <row r="667" customFormat="false" ht="24" hidden="false" customHeight="true" outlineLevel="0" collapsed="false">
      <c r="A667" s="13" t="s">
        <v>655</v>
      </c>
      <c r="B667" s="13"/>
      <c r="C667" s="13"/>
      <c r="D667" s="13"/>
      <c r="E667" s="13"/>
      <c r="F667" s="13"/>
      <c r="G667" s="13"/>
      <c r="H667" s="13"/>
    </row>
    <row r="668" customFormat="false" ht="7.5" hidden="false" customHeight="true" outlineLevel="0" collapsed="false"/>
    <row r="669" customFormat="false" ht="24" hidden="false" customHeight="true" outlineLevel="0" collapsed="false">
      <c r="A669" s="9" t="s">
        <v>656</v>
      </c>
      <c r="B669" s="9"/>
      <c r="C669" s="9"/>
      <c r="D669" s="9"/>
      <c r="E669" s="9"/>
      <c r="F669" s="9"/>
      <c r="G669" s="9"/>
      <c r="H669" s="9"/>
    </row>
    <row r="670" customFormat="false" ht="42" hidden="false" customHeight="true" outlineLevel="0" collapsed="false">
      <c r="A670" s="10" t="s">
        <v>657</v>
      </c>
      <c r="B670" s="10"/>
      <c r="C670" s="10"/>
      <c r="D670" s="10"/>
      <c r="E670" s="10"/>
      <c r="F670" s="10"/>
      <c r="G670" s="10"/>
      <c r="H670" s="10"/>
    </row>
    <row r="671" customFormat="false" ht="42" hidden="false" customHeight="true" outlineLevel="0" collapsed="false">
      <c r="A671" s="11" t="s">
        <v>658</v>
      </c>
      <c r="B671" s="11"/>
      <c r="C671" s="11"/>
      <c r="D671" s="11"/>
      <c r="E671" s="11"/>
      <c r="F671" s="11"/>
      <c r="G671" s="11"/>
      <c r="H671" s="11"/>
    </row>
    <row r="672" customFormat="false" ht="42" hidden="false" customHeight="true" outlineLevel="0" collapsed="false">
      <c r="A672" s="12" t="s">
        <v>659</v>
      </c>
      <c r="B672" s="12"/>
      <c r="C672" s="12"/>
      <c r="D672" s="12"/>
      <c r="E672" s="12" t="s">
        <v>660</v>
      </c>
      <c r="F672" s="12"/>
      <c r="G672" s="12"/>
      <c r="H672" s="12"/>
    </row>
    <row r="673" customFormat="false" ht="42" hidden="false" customHeight="true" outlineLevel="0" collapsed="false">
      <c r="A673" s="12" t="s">
        <v>661</v>
      </c>
      <c r="B673" s="12"/>
      <c r="C673" s="12"/>
      <c r="D673" s="12"/>
      <c r="E673" s="12" t="s">
        <v>662</v>
      </c>
      <c r="F673" s="12"/>
      <c r="G673" s="12"/>
      <c r="H673" s="12"/>
    </row>
    <row r="674" customFormat="false" ht="24" hidden="false" customHeight="true" outlineLevel="0" collapsed="false">
      <c r="A674" s="13" t="s">
        <v>655</v>
      </c>
      <c r="B674" s="13"/>
      <c r="C674" s="13"/>
      <c r="D674" s="13"/>
      <c r="E674" s="13"/>
      <c r="F674" s="13"/>
      <c r="G674" s="13"/>
      <c r="H674" s="13"/>
    </row>
    <row r="675" customFormat="false" ht="7.5" hidden="false" customHeight="true" outlineLevel="0" collapsed="false"/>
    <row r="676" customFormat="false" ht="24" hidden="false" customHeight="true" outlineLevel="0" collapsed="false">
      <c r="A676" s="9" t="s">
        <v>663</v>
      </c>
      <c r="B676" s="9"/>
      <c r="C676" s="9"/>
      <c r="D676" s="9"/>
      <c r="E676" s="9"/>
      <c r="F676" s="9"/>
      <c r="G676" s="9"/>
      <c r="H676" s="9"/>
    </row>
    <row r="677" customFormat="false" ht="42" hidden="false" customHeight="true" outlineLevel="0" collapsed="false">
      <c r="A677" s="10" t="s">
        <v>657</v>
      </c>
      <c r="B677" s="10"/>
      <c r="C677" s="10"/>
      <c r="D677" s="10"/>
      <c r="E677" s="10"/>
      <c r="F677" s="10"/>
      <c r="G677" s="10"/>
      <c r="H677" s="10"/>
    </row>
    <row r="678" customFormat="false" ht="42" hidden="false" customHeight="true" outlineLevel="0" collapsed="false">
      <c r="A678" s="11" t="s">
        <v>664</v>
      </c>
      <c r="B678" s="11"/>
      <c r="C678" s="11"/>
      <c r="D678" s="11"/>
      <c r="E678" s="11"/>
      <c r="F678" s="11"/>
      <c r="G678" s="11"/>
      <c r="H678" s="11"/>
    </row>
    <row r="679" customFormat="false" ht="42" hidden="false" customHeight="true" outlineLevel="0" collapsed="false">
      <c r="A679" s="12" t="s">
        <v>665</v>
      </c>
      <c r="B679" s="12"/>
      <c r="C679" s="12"/>
      <c r="D679" s="12"/>
      <c r="E679" s="12" t="s">
        <v>666</v>
      </c>
      <c r="F679" s="12"/>
      <c r="G679" s="12"/>
      <c r="H679" s="12"/>
    </row>
    <row r="680" customFormat="false" ht="33.75" hidden="false" customHeight="true" outlineLevel="0" collapsed="false">
      <c r="A680" s="12" t="s">
        <v>667</v>
      </c>
      <c r="B680" s="12"/>
      <c r="C680" s="12"/>
      <c r="D680" s="12"/>
      <c r="E680" s="12" t="s">
        <v>668</v>
      </c>
      <c r="F680" s="12"/>
      <c r="G680" s="12"/>
      <c r="H680" s="12"/>
    </row>
    <row r="681" customFormat="false" ht="24" hidden="false" customHeight="true" outlineLevel="0" collapsed="false">
      <c r="A681" s="13" t="s">
        <v>655</v>
      </c>
      <c r="B681" s="13"/>
      <c r="C681" s="13"/>
      <c r="D681" s="13"/>
      <c r="E681" s="13"/>
      <c r="F681" s="13"/>
      <c r="G681" s="13"/>
      <c r="H681" s="13"/>
    </row>
    <row r="682" customFormat="false" ht="7.5" hidden="false" customHeight="true" outlineLevel="0" collapsed="false"/>
    <row r="683" customFormat="false" ht="24" hidden="false" customHeight="true" outlineLevel="0" collapsed="false">
      <c r="A683" s="9" t="s">
        <v>669</v>
      </c>
      <c r="B683" s="9"/>
      <c r="C683" s="9"/>
      <c r="D683" s="9"/>
      <c r="E683" s="9"/>
      <c r="F683" s="9"/>
      <c r="G683" s="9"/>
      <c r="H683" s="9"/>
    </row>
    <row r="684" customFormat="false" ht="42" hidden="false" customHeight="true" outlineLevel="0" collapsed="false">
      <c r="A684" s="10" t="s">
        <v>657</v>
      </c>
      <c r="B684" s="10"/>
      <c r="C684" s="10"/>
      <c r="D684" s="10"/>
      <c r="E684" s="10"/>
      <c r="F684" s="10"/>
      <c r="G684" s="10"/>
      <c r="H684" s="10"/>
    </row>
    <row r="685" customFormat="false" ht="42" hidden="false" customHeight="true" outlineLevel="0" collapsed="false">
      <c r="A685" s="11" t="s">
        <v>670</v>
      </c>
      <c r="B685" s="11"/>
      <c r="C685" s="11"/>
      <c r="D685" s="11"/>
      <c r="E685" s="11"/>
      <c r="F685" s="11"/>
      <c r="G685" s="11"/>
      <c r="H685" s="11"/>
    </row>
    <row r="686" customFormat="false" ht="42" hidden="false" customHeight="true" outlineLevel="0" collapsed="false">
      <c r="A686" s="12" t="s">
        <v>671</v>
      </c>
      <c r="B686" s="12"/>
      <c r="C686" s="12"/>
      <c r="D686" s="12"/>
      <c r="E686" s="12" t="s">
        <v>672</v>
      </c>
      <c r="F686" s="12"/>
      <c r="G686" s="12"/>
      <c r="H686" s="12"/>
    </row>
    <row r="687" customFormat="false" ht="54.75" hidden="false" customHeight="true" outlineLevel="0" collapsed="false">
      <c r="A687" s="12" t="s">
        <v>673</v>
      </c>
      <c r="B687" s="12"/>
      <c r="C687" s="12"/>
      <c r="D687" s="12"/>
      <c r="E687" s="12" t="s">
        <v>674</v>
      </c>
      <c r="F687" s="12"/>
      <c r="G687" s="12"/>
      <c r="H687" s="12"/>
    </row>
    <row r="688" customFormat="false" ht="24" hidden="false" customHeight="true" outlineLevel="0" collapsed="false">
      <c r="A688" s="13" t="s">
        <v>675</v>
      </c>
      <c r="B688" s="13"/>
      <c r="C688" s="13"/>
      <c r="D688" s="13"/>
      <c r="E688" s="13"/>
      <c r="F688" s="13"/>
      <c r="G688" s="13"/>
      <c r="H688" s="13"/>
    </row>
    <row r="689" customFormat="false" ht="7.5" hidden="false" customHeight="true" outlineLevel="0" collapsed="false"/>
    <row r="690" customFormat="false" ht="24" hidden="false" customHeight="true" outlineLevel="0" collapsed="false">
      <c r="A690" s="9" t="s">
        <v>676</v>
      </c>
      <c r="B690" s="9"/>
      <c r="C690" s="9"/>
      <c r="D690" s="9"/>
      <c r="E690" s="9"/>
      <c r="F690" s="9"/>
      <c r="G690" s="9"/>
      <c r="H690" s="9"/>
    </row>
    <row r="691" customFormat="false" ht="42" hidden="false" customHeight="true" outlineLevel="0" collapsed="false">
      <c r="A691" s="10" t="s">
        <v>657</v>
      </c>
      <c r="B691" s="10"/>
      <c r="C691" s="10"/>
      <c r="D691" s="10"/>
      <c r="E691" s="10"/>
      <c r="F691" s="10"/>
      <c r="G691" s="10"/>
      <c r="H691" s="10"/>
    </row>
    <row r="692" customFormat="false" ht="45.75" hidden="false" customHeight="true" outlineLevel="0" collapsed="false">
      <c r="A692" s="11" t="s">
        <v>677</v>
      </c>
      <c r="B692" s="11"/>
      <c r="C692" s="11"/>
      <c r="D692" s="11"/>
      <c r="E692" s="11"/>
      <c r="F692" s="11"/>
      <c r="G692" s="11"/>
      <c r="H692" s="11"/>
    </row>
    <row r="693" customFormat="false" ht="54.75" hidden="false" customHeight="true" outlineLevel="0" collapsed="false">
      <c r="A693" s="12" t="s">
        <v>678</v>
      </c>
      <c r="B693" s="12"/>
      <c r="C693" s="12"/>
      <c r="D693" s="12"/>
      <c r="E693" s="12" t="s">
        <v>679</v>
      </c>
      <c r="F693" s="12"/>
      <c r="G693" s="12"/>
      <c r="H693" s="12"/>
    </row>
    <row r="694" customFormat="false" ht="42" hidden="false" customHeight="true" outlineLevel="0" collapsed="false">
      <c r="A694" s="12" t="s">
        <v>680</v>
      </c>
      <c r="B694" s="12"/>
      <c r="C694" s="12"/>
      <c r="D694" s="12"/>
      <c r="E694" s="12" t="s">
        <v>681</v>
      </c>
      <c r="F694" s="12"/>
      <c r="G694" s="12"/>
      <c r="H694" s="12"/>
    </row>
    <row r="695" customFormat="false" ht="24" hidden="false" customHeight="true" outlineLevel="0" collapsed="false">
      <c r="A695" s="13" t="s">
        <v>675</v>
      </c>
      <c r="B695" s="13"/>
      <c r="C695" s="13"/>
      <c r="D695" s="13"/>
      <c r="E695" s="13"/>
      <c r="F695" s="13"/>
      <c r="G695" s="13"/>
      <c r="H695" s="13"/>
    </row>
    <row r="696" customFormat="false" ht="7.5" hidden="false" customHeight="true" outlineLevel="0" collapsed="false"/>
    <row r="697" customFormat="false" ht="24" hidden="false" customHeight="true" outlineLevel="0" collapsed="false">
      <c r="A697" s="9" t="s">
        <v>682</v>
      </c>
      <c r="B697" s="9"/>
      <c r="C697" s="9"/>
      <c r="D697" s="9"/>
      <c r="E697" s="9"/>
      <c r="F697" s="9"/>
      <c r="G697" s="9"/>
      <c r="H697" s="9"/>
    </row>
    <row r="698" customFormat="false" ht="99.75" hidden="false" customHeight="true" outlineLevel="0" collapsed="false">
      <c r="A698" s="10" t="s">
        <v>683</v>
      </c>
      <c r="B698" s="10"/>
      <c r="C698" s="10"/>
      <c r="D698" s="10"/>
      <c r="E698" s="10"/>
      <c r="F698" s="10"/>
      <c r="G698" s="10"/>
      <c r="H698" s="10"/>
    </row>
    <row r="699" customFormat="false" ht="99.75" hidden="false" customHeight="true" outlineLevel="0" collapsed="false">
      <c r="A699" s="10" t="s">
        <v>684</v>
      </c>
      <c r="B699" s="10"/>
      <c r="C699" s="10"/>
      <c r="D699" s="10"/>
      <c r="E699" s="10"/>
      <c r="F699" s="10"/>
      <c r="G699" s="10"/>
      <c r="H699" s="10"/>
    </row>
    <row r="700" customFormat="false" ht="42" hidden="false" customHeight="true" outlineLevel="0" collapsed="false">
      <c r="A700" s="11" t="s">
        <v>685</v>
      </c>
      <c r="B700" s="11"/>
      <c r="C700" s="11"/>
      <c r="D700" s="11"/>
      <c r="E700" s="11"/>
      <c r="F700" s="11"/>
      <c r="G700" s="11"/>
      <c r="H700" s="11"/>
    </row>
    <row r="701" customFormat="false" ht="54.75" hidden="false" customHeight="true" outlineLevel="0" collapsed="false">
      <c r="A701" s="12" t="s">
        <v>686</v>
      </c>
      <c r="B701" s="12"/>
      <c r="C701" s="12"/>
      <c r="D701" s="12"/>
      <c r="E701" s="12" t="s">
        <v>687</v>
      </c>
      <c r="F701" s="12"/>
      <c r="G701" s="12"/>
      <c r="H701" s="12"/>
    </row>
    <row r="702" customFormat="false" ht="42" hidden="false" customHeight="true" outlineLevel="0" collapsed="false">
      <c r="A702" s="12" t="s">
        <v>688</v>
      </c>
      <c r="B702" s="12"/>
      <c r="C702" s="12"/>
      <c r="D702" s="12"/>
      <c r="E702" s="12" t="s">
        <v>689</v>
      </c>
      <c r="F702" s="12"/>
      <c r="G702" s="12"/>
      <c r="H702" s="12"/>
    </row>
    <row r="703" customFormat="false" ht="24" hidden="false" customHeight="true" outlineLevel="0" collapsed="false">
      <c r="A703" s="13" t="s">
        <v>690</v>
      </c>
      <c r="B703" s="13"/>
      <c r="C703" s="13"/>
      <c r="D703" s="13"/>
      <c r="E703" s="13"/>
      <c r="F703" s="13"/>
      <c r="G703" s="13"/>
      <c r="H703" s="13"/>
    </row>
    <row r="704" customFormat="false" ht="7.5" hidden="false" customHeight="true" outlineLevel="0" collapsed="false"/>
    <row r="705" customFormat="false" ht="24" hidden="false" customHeight="true" outlineLevel="0" collapsed="false">
      <c r="A705" s="9" t="s">
        <v>691</v>
      </c>
      <c r="B705" s="9"/>
      <c r="C705" s="9"/>
      <c r="D705" s="9"/>
      <c r="E705" s="9"/>
      <c r="F705" s="9"/>
      <c r="G705" s="9"/>
      <c r="H705" s="9"/>
    </row>
    <row r="706" customFormat="false" ht="42" hidden="false" customHeight="true" outlineLevel="0" collapsed="false">
      <c r="A706" s="10" t="s">
        <v>692</v>
      </c>
      <c r="B706" s="10"/>
      <c r="C706" s="10"/>
      <c r="D706" s="10"/>
      <c r="E706" s="10"/>
      <c r="F706" s="10"/>
      <c r="G706" s="10"/>
      <c r="H706" s="10"/>
    </row>
    <row r="707" customFormat="false" ht="42" hidden="false" customHeight="true" outlineLevel="0" collapsed="false">
      <c r="A707" s="11" t="s">
        <v>693</v>
      </c>
      <c r="B707" s="11"/>
      <c r="C707" s="11"/>
      <c r="D707" s="11"/>
      <c r="E707" s="11"/>
      <c r="F707" s="11"/>
      <c r="G707" s="11"/>
      <c r="H707" s="11"/>
    </row>
    <row r="708" customFormat="false" ht="54.75" hidden="false" customHeight="true" outlineLevel="0" collapsed="false">
      <c r="A708" s="12" t="s">
        <v>694</v>
      </c>
      <c r="B708" s="12"/>
      <c r="C708" s="12"/>
      <c r="D708" s="12"/>
      <c r="E708" s="12" t="s">
        <v>695</v>
      </c>
      <c r="F708" s="12"/>
      <c r="G708" s="12"/>
      <c r="H708" s="12"/>
    </row>
    <row r="709" customFormat="false" ht="54.75" hidden="false" customHeight="true" outlineLevel="0" collapsed="false">
      <c r="A709" s="12" t="s">
        <v>696</v>
      </c>
      <c r="B709" s="12"/>
      <c r="C709" s="12"/>
      <c r="D709" s="12"/>
      <c r="E709" s="12" t="s">
        <v>267</v>
      </c>
      <c r="F709" s="12"/>
      <c r="G709" s="12"/>
      <c r="H709" s="12"/>
    </row>
    <row r="710" customFormat="false" ht="24" hidden="false" customHeight="true" outlineLevel="0" collapsed="false">
      <c r="A710" s="13" t="s">
        <v>690</v>
      </c>
      <c r="B710" s="13"/>
      <c r="C710" s="13"/>
      <c r="D710" s="13"/>
      <c r="E710" s="13"/>
      <c r="F710" s="13"/>
      <c r="G710" s="13"/>
      <c r="H710" s="13"/>
    </row>
    <row r="711" customFormat="false" ht="7.5" hidden="false" customHeight="true" outlineLevel="0" collapsed="false"/>
    <row r="712" customFormat="false" ht="24" hidden="false" customHeight="true" outlineLevel="0" collapsed="false">
      <c r="A712" s="9" t="s">
        <v>697</v>
      </c>
      <c r="B712" s="9"/>
      <c r="C712" s="9"/>
      <c r="D712" s="9"/>
      <c r="E712" s="9"/>
      <c r="F712" s="9"/>
      <c r="G712" s="9"/>
      <c r="H712" s="9"/>
    </row>
    <row r="713" customFormat="false" ht="42" hidden="false" customHeight="true" outlineLevel="0" collapsed="false">
      <c r="A713" s="10" t="s">
        <v>692</v>
      </c>
      <c r="B713" s="10"/>
      <c r="C713" s="10"/>
      <c r="D713" s="10"/>
      <c r="E713" s="10"/>
      <c r="F713" s="10"/>
      <c r="G713" s="10"/>
      <c r="H713" s="10"/>
    </row>
    <row r="714" customFormat="false" ht="42" hidden="false" customHeight="true" outlineLevel="0" collapsed="false">
      <c r="A714" s="11" t="s">
        <v>698</v>
      </c>
      <c r="B714" s="11"/>
      <c r="C714" s="11"/>
      <c r="D714" s="11"/>
      <c r="E714" s="11"/>
      <c r="F714" s="11"/>
      <c r="G714" s="11"/>
      <c r="H714" s="11"/>
    </row>
    <row r="715" customFormat="false" ht="54.75" hidden="false" customHeight="true" outlineLevel="0" collapsed="false">
      <c r="A715" s="12" t="s">
        <v>699</v>
      </c>
      <c r="B715" s="12"/>
      <c r="C715" s="12"/>
      <c r="D715" s="12"/>
      <c r="E715" s="12" t="s">
        <v>700</v>
      </c>
      <c r="F715" s="12"/>
      <c r="G715" s="12"/>
      <c r="H715" s="12"/>
    </row>
    <row r="716" customFormat="false" ht="67.5" hidden="false" customHeight="true" outlineLevel="0" collapsed="false">
      <c r="A716" s="12" t="s">
        <v>701</v>
      </c>
      <c r="B716" s="12"/>
      <c r="C716" s="12"/>
      <c r="D716" s="12"/>
      <c r="E716" s="12" t="s">
        <v>500</v>
      </c>
      <c r="F716" s="12"/>
      <c r="G716" s="12"/>
      <c r="H716" s="12"/>
    </row>
    <row r="717" customFormat="false" ht="24" hidden="false" customHeight="true" outlineLevel="0" collapsed="false">
      <c r="A717" s="13" t="s">
        <v>702</v>
      </c>
      <c r="B717" s="13"/>
      <c r="C717" s="13"/>
      <c r="D717" s="13"/>
      <c r="E717" s="13"/>
      <c r="F717" s="13"/>
      <c r="G717" s="13"/>
      <c r="H717" s="13"/>
    </row>
    <row r="718" customFormat="false" ht="7.5" hidden="false" customHeight="true" outlineLevel="0" collapsed="false"/>
    <row r="719" customFormat="false" ht="24" hidden="false" customHeight="true" outlineLevel="0" collapsed="false">
      <c r="A719" s="9" t="s">
        <v>703</v>
      </c>
      <c r="B719" s="9"/>
      <c r="C719" s="9"/>
      <c r="D719" s="9"/>
      <c r="E719" s="9"/>
      <c r="F719" s="9"/>
      <c r="G719" s="9"/>
      <c r="H719" s="9"/>
    </row>
    <row r="720" customFormat="false" ht="60.75" hidden="false" customHeight="true" outlineLevel="0" collapsed="false">
      <c r="A720" s="10" t="s">
        <v>704</v>
      </c>
      <c r="B720" s="10"/>
      <c r="C720" s="10"/>
      <c r="D720" s="10"/>
      <c r="E720" s="10"/>
      <c r="F720" s="10"/>
      <c r="G720" s="10"/>
      <c r="H720" s="10"/>
    </row>
    <row r="721" customFormat="false" ht="42" hidden="false" customHeight="true" outlineLevel="0" collapsed="false">
      <c r="A721" s="11" t="s">
        <v>705</v>
      </c>
      <c r="B721" s="11"/>
      <c r="C721" s="11"/>
      <c r="D721" s="11"/>
      <c r="E721" s="11"/>
      <c r="F721" s="11"/>
      <c r="G721" s="11"/>
      <c r="H721" s="11"/>
    </row>
    <row r="722" customFormat="false" ht="81" hidden="false" customHeight="true" outlineLevel="0" collapsed="false">
      <c r="A722" s="12" t="s">
        <v>706</v>
      </c>
      <c r="B722" s="12"/>
      <c r="C722" s="12"/>
      <c r="D722" s="12"/>
      <c r="E722" s="12" t="s">
        <v>707</v>
      </c>
      <c r="F722" s="12"/>
      <c r="G722" s="12"/>
      <c r="H722" s="12"/>
    </row>
    <row r="723" customFormat="false" ht="42" hidden="false" customHeight="true" outlineLevel="0" collapsed="false">
      <c r="A723" s="12" t="s">
        <v>708</v>
      </c>
      <c r="B723" s="12"/>
      <c r="C723" s="12"/>
      <c r="D723" s="12"/>
      <c r="E723" s="12" t="s">
        <v>709</v>
      </c>
      <c r="F723" s="12"/>
      <c r="G723" s="12"/>
      <c r="H723" s="12"/>
    </row>
    <row r="724" customFormat="false" ht="24" hidden="false" customHeight="true" outlineLevel="0" collapsed="false">
      <c r="A724" s="13" t="s">
        <v>710</v>
      </c>
      <c r="B724" s="13"/>
      <c r="C724" s="13"/>
      <c r="D724" s="13"/>
      <c r="E724" s="13"/>
      <c r="F724" s="13"/>
      <c r="G724" s="13"/>
      <c r="H724" s="13"/>
    </row>
    <row r="725" customFormat="false" ht="7.5" hidden="false" customHeight="true" outlineLevel="0" collapsed="false"/>
    <row r="726" customFormat="false" ht="24" hidden="false" customHeight="true" outlineLevel="0" collapsed="false">
      <c r="A726" s="9" t="s">
        <v>711</v>
      </c>
      <c r="B726" s="9"/>
      <c r="C726" s="9"/>
      <c r="D726" s="9"/>
      <c r="E726" s="9"/>
      <c r="F726" s="9"/>
      <c r="G726" s="9"/>
      <c r="H726" s="9"/>
    </row>
    <row r="727" customFormat="false" ht="48" hidden="false" customHeight="true" outlineLevel="0" collapsed="false">
      <c r="A727" s="10" t="s">
        <v>712</v>
      </c>
      <c r="B727" s="10"/>
      <c r="C727" s="10"/>
      <c r="D727" s="10"/>
      <c r="E727" s="10"/>
      <c r="F727" s="10"/>
      <c r="G727" s="10"/>
      <c r="H727" s="10"/>
    </row>
    <row r="728" customFormat="false" ht="42" hidden="false" customHeight="true" outlineLevel="0" collapsed="false">
      <c r="A728" s="11" t="s">
        <v>713</v>
      </c>
      <c r="B728" s="11"/>
      <c r="C728" s="11"/>
      <c r="D728" s="11"/>
      <c r="E728" s="11"/>
      <c r="F728" s="11"/>
      <c r="G728" s="11"/>
      <c r="H728" s="11"/>
    </row>
    <row r="729" customFormat="false" ht="42" hidden="false" customHeight="true" outlineLevel="0" collapsed="false">
      <c r="A729" s="12" t="s">
        <v>714</v>
      </c>
      <c r="B729" s="12"/>
      <c r="C729" s="12"/>
      <c r="D729" s="12"/>
      <c r="E729" s="12" t="s">
        <v>715</v>
      </c>
      <c r="F729" s="12"/>
      <c r="G729" s="12"/>
      <c r="H729" s="12"/>
    </row>
    <row r="730" customFormat="false" ht="33.75" hidden="false" customHeight="true" outlineLevel="0" collapsed="false">
      <c r="A730" s="12" t="s">
        <v>716</v>
      </c>
      <c r="B730" s="12"/>
      <c r="C730" s="12"/>
      <c r="D730" s="12"/>
      <c r="E730" s="12" t="s">
        <v>717</v>
      </c>
      <c r="F730" s="12"/>
      <c r="G730" s="12"/>
      <c r="H730" s="12"/>
    </row>
    <row r="731" customFormat="false" ht="24" hidden="false" customHeight="true" outlineLevel="0" collapsed="false">
      <c r="A731" s="13" t="s">
        <v>710</v>
      </c>
      <c r="B731" s="13"/>
      <c r="C731" s="13"/>
      <c r="D731" s="13"/>
      <c r="E731" s="13"/>
      <c r="F731" s="13"/>
      <c r="G731" s="13"/>
      <c r="H731" s="13"/>
    </row>
    <row r="732" customFormat="false" ht="7.5" hidden="false" customHeight="true" outlineLevel="0" collapsed="false"/>
    <row r="733" customFormat="false" ht="24" hidden="false" customHeight="true" outlineLevel="0" collapsed="false">
      <c r="A733" s="9" t="s">
        <v>718</v>
      </c>
      <c r="B733" s="9"/>
      <c r="C733" s="9"/>
      <c r="D733" s="9"/>
      <c r="E733" s="9"/>
      <c r="F733" s="9"/>
      <c r="G733" s="9"/>
      <c r="H733" s="9"/>
    </row>
    <row r="734" customFormat="false" ht="48" hidden="false" customHeight="true" outlineLevel="0" collapsed="false">
      <c r="A734" s="10" t="s">
        <v>712</v>
      </c>
      <c r="B734" s="10"/>
      <c r="C734" s="10"/>
      <c r="D734" s="10"/>
      <c r="E734" s="10"/>
      <c r="F734" s="10"/>
      <c r="G734" s="10"/>
      <c r="H734" s="10"/>
    </row>
    <row r="735" customFormat="false" ht="45.75" hidden="false" customHeight="true" outlineLevel="0" collapsed="false">
      <c r="A735" s="11" t="s">
        <v>719</v>
      </c>
      <c r="B735" s="11"/>
      <c r="C735" s="11"/>
      <c r="D735" s="11"/>
      <c r="E735" s="11"/>
      <c r="F735" s="11"/>
      <c r="G735" s="11"/>
      <c r="H735" s="11"/>
    </row>
    <row r="736" customFormat="false" ht="42" hidden="false" customHeight="true" outlineLevel="0" collapsed="false">
      <c r="A736" s="12" t="s">
        <v>720</v>
      </c>
      <c r="B736" s="12"/>
      <c r="C736" s="12"/>
      <c r="D736" s="12"/>
      <c r="E736" s="12" t="s">
        <v>721</v>
      </c>
      <c r="F736" s="12"/>
      <c r="G736" s="12"/>
      <c r="H736" s="12"/>
    </row>
    <row r="737" customFormat="false" ht="81" hidden="false" customHeight="true" outlineLevel="0" collapsed="false">
      <c r="A737" s="12" t="s">
        <v>722</v>
      </c>
      <c r="B737" s="12"/>
      <c r="C737" s="12"/>
      <c r="D737" s="12"/>
      <c r="E737" s="12" t="s">
        <v>723</v>
      </c>
      <c r="F737" s="12"/>
      <c r="G737" s="12"/>
      <c r="H737" s="12"/>
    </row>
    <row r="738" customFormat="false" ht="24" hidden="false" customHeight="true" outlineLevel="0" collapsed="false">
      <c r="A738" s="13" t="s">
        <v>724</v>
      </c>
      <c r="B738" s="13"/>
      <c r="C738" s="13"/>
      <c r="D738" s="13"/>
      <c r="E738" s="13"/>
      <c r="F738" s="13"/>
      <c r="G738" s="13"/>
      <c r="H738" s="13"/>
    </row>
    <row r="739" customFormat="false" ht="7.5" hidden="false" customHeight="true" outlineLevel="0" collapsed="false"/>
    <row r="740" customFormat="false" ht="24" hidden="false" customHeight="true" outlineLevel="0" collapsed="false">
      <c r="A740" s="9" t="s">
        <v>725</v>
      </c>
      <c r="B740" s="9"/>
      <c r="C740" s="9"/>
      <c r="D740" s="9"/>
      <c r="E740" s="9"/>
      <c r="F740" s="9"/>
      <c r="G740" s="9"/>
      <c r="H740" s="9"/>
    </row>
    <row r="741" customFormat="false" ht="48" hidden="false" customHeight="true" outlineLevel="0" collapsed="false">
      <c r="A741" s="10" t="s">
        <v>712</v>
      </c>
      <c r="B741" s="10"/>
      <c r="C741" s="10"/>
      <c r="D741" s="10"/>
      <c r="E741" s="10"/>
      <c r="F741" s="10"/>
      <c r="G741" s="10"/>
      <c r="H741" s="10"/>
    </row>
    <row r="742" customFormat="false" ht="45.75" hidden="false" customHeight="true" outlineLevel="0" collapsed="false">
      <c r="A742" s="11" t="s">
        <v>726</v>
      </c>
      <c r="B742" s="11"/>
      <c r="C742" s="11"/>
      <c r="D742" s="11"/>
      <c r="E742" s="11"/>
      <c r="F742" s="11"/>
      <c r="G742" s="11"/>
      <c r="H742" s="11"/>
    </row>
    <row r="743" customFormat="false" ht="67.5" hidden="false" customHeight="true" outlineLevel="0" collapsed="false">
      <c r="A743" s="12" t="s">
        <v>727</v>
      </c>
      <c r="B743" s="12"/>
      <c r="C743" s="12"/>
      <c r="D743" s="12"/>
      <c r="E743" s="12" t="s">
        <v>728</v>
      </c>
      <c r="F743" s="12"/>
      <c r="G743" s="12"/>
      <c r="H743" s="12"/>
    </row>
    <row r="744" customFormat="false" ht="42" hidden="false" customHeight="true" outlineLevel="0" collapsed="false">
      <c r="A744" s="12" t="s">
        <v>729</v>
      </c>
      <c r="B744" s="12"/>
      <c r="C744" s="12"/>
      <c r="D744" s="12"/>
      <c r="E744" s="12" t="s">
        <v>730</v>
      </c>
      <c r="F744" s="12"/>
      <c r="G744" s="12"/>
      <c r="H744" s="12"/>
    </row>
    <row r="745" customFormat="false" ht="24" hidden="false" customHeight="true" outlineLevel="0" collapsed="false">
      <c r="A745" s="13" t="s">
        <v>724</v>
      </c>
      <c r="B745" s="13"/>
      <c r="C745" s="13"/>
      <c r="D745" s="13"/>
      <c r="E745" s="13"/>
      <c r="F745" s="13"/>
      <c r="G745" s="13"/>
      <c r="H745" s="13"/>
    </row>
    <row r="746" customFormat="false" ht="7.5" hidden="false" customHeight="true" outlineLevel="0" collapsed="false"/>
    <row r="747" customFormat="false" ht="24" hidden="false" customHeight="true" outlineLevel="0" collapsed="false">
      <c r="A747" s="9" t="s">
        <v>731</v>
      </c>
      <c r="B747" s="9"/>
      <c r="C747" s="9"/>
      <c r="D747" s="9"/>
      <c r="E747" s="9"/>
      <c r="F747" s="9"/>
      <c r="G747" s="9"/>
      <c r="H747" s="9"/>
    </row>
    <row r="748" customFormat="false" ht="60.75" hidden="false" customHeight="true" outlineLevel="0" collapsed="false">
      <c r="A748" s="10" t="s">
        <v>732</v>
      </c>
      <c r="B748" s="10"/>
      <c r="C748" s="10"/>
      <c r="D748" s="10"/>
      <c r="E748" s="10"/>
      <c r="F748" s="10"/>
      <c r="G748" s="10"/>
      <c r="H748" s="10"/>
    </row>
    <row r="749" customFormat="false" ht="42" hidden="false" customHeight="true" outlineLevel="0" collapsed="false">
      <c r="A749" s="11" t="s">
        <v>733</v>
      </c>
      <c r="B749" s="11"/>
      <c r="C749" s="11"/>
      <c r="D749" s="11"/>
      <c r="E749" s="11"/>
      <c r="F749" s="11"/>
      <c r="G749" s="11"/>
      <c r="H749" s="11"/>
    </row>
    <row r="750" customFormat="false" ht="54.75" hidden="false" customHeight="true" outlineLevel="0" collapsed="false">
      <c r="A750" s="12" t="s">
        <v>734</v>
      </c>
      <c r="B750" s="12"/>
      <c r="C750" s="12"/>
      <c r="D750" s="12"/>
      <c r="E750" s="12" t="s">
        <v>735</v>
      </c>
      <c r="F750" s="12"/>
      <c r="G750" s="12"/>
      <c r="H750" s="12"/>
    </row>
    <row r="751" customFormat="false" ht="54.75" hidden="false" customHeight="true" outlineLevel="0" collapsed="false">
      <c r="A751" s="12" t="s">
        <v>736</v>
      </c>
      <c r="B751" s="12"/>
      <c r="C751" s="12"/>
      <c r="D751" s="12"/>
      <c r="E751" s="12" t="s">
        <v>737</v>
      </c>
      <c r="F751" s="12"/>
      <c r="G751" s="12"/>
      <c r="H751" s="12"/>
    </row>
    <row r="752" customFormat="false" ht="24" hidden="false" customHeight="true" outlineLevel="0" collapsed="false">
      <c r="A752" s="13" t="s">
        <v>738</v>
      </c>
      <c r="B752" s="13"/>
      <c r="C752" s="13"/>
      <c r="D752" s="13"/>
      <c r="E752" s="13"/>
      <c r="F752" s="13"/>
      <c r="G752" s="13"/>
      <c r="H752" s="13"/>
    </row>
    <row r="753" customFormat="false" ht="7.5" hidden="false" customHeight="true" outlineLevel="0" collapsed="false"/>
    <row r="754" customFormat="false" ht="24" hidden="false" customHeight="true" outlineLevel="0" collapsed="false">
      <c r="A754" s="9" t="s">
        <v>739</v>
      </c>
      <c r="B754" s="9"/>
      <c r="C754" s="9"/>
      <c r="D754" s="9"/>
      <c r="E754" s="9"/>
      <c r="F754" s="9"/>
      <c r="G754" s="9"/>
      <c r="H754" s="9"/>
    </row>
    <row r="755" customFormat="false" ht="48" hidden="false" customHeight="true" outlineLevel="0" collapsed="false">
      <c r="A755" s="10" t="s">
        <v>740</v>
      </c>
      <c r="B755" s="10"/>
      <c r="C755" s="10"/>
      <c r="D755" s="10"/>
      <c r="E755" s="10"/>
      <c r="F755" s="10"/>
      <c r="G755" s="10"/>
      <c r="H755" s="10"/>
    </row>
    <row r="756" customFormat="false" ht="42" hidden="false" customHeight="true" outlineLevel="0" collapsed="false">
      <c r="A756" s="11" t="s">
        <v>685</v>
      </c>
      <c r="B756" s="11"/>
      <c r="C756" s="11"/>
      <c r="D756" s="11"/>
      <c r="E756" s="11"/>
      <c r="F756" s="11"/>
      <c r="G756" s="11"/>
      <c r="H756" s="11"/>
    </row>
    <row r="757" customFormat="false" ht="81" hidden="false" customHeight="true" outlineLevel="0" collapsed="false">
      <c r="A757" s="12" t="s">
        <v>741</v>
      </c>
      <c r="B757" s="12"/>
      <c r="C757" s="12"/>
      <c r="D757" s="12"/>
      <c r="E757" s="12" t="s">
        <v>742</v>
      </c>
      <c r="F757" s="12"/>
      <c r="G757" s="12"/>
      <c r="H757" s="12"/>
    </row>
    <row r="758" customFormat="false" ht="54.75" hidden="false" customHeight="true" outlineLevel="0" collapsed="false">
      <c r="A758" s="12" t="s">
        <v>743</v>
      </c>
      <c r="B758" s="12"/>
      <c r="C758" s="12"/>
      <c r="D758" s="12"/>
      <c r="E758" s="12" t="s">
        <v>744</v>
      </c>
      <c r="F758" s="12"/>
      <c r="G758" s="12"/>
      <c r="H758" s="12"/>
    </row>
    <row r="759" customFormat="false" ht="24" hidden="false" customHeight="true" outlineLevel="0" collapsed="false">
      <c r="A759" s="13" t="s">
        <v>738</v>
      </c>
      <c r="B759" s="13"/>
      <c r="C759" s="13"/>
      <c r="D759" s="13"/>
      <c r="E759" s="13"/>
      <c r="F759" s="13"/>
      <c r="G759" s="13"/>
      <c r="H759" s="13"/>
    </row>
    <row r="760" customFormat="false" ht="7.5" hidden="false" customHeight="true" outlineLevel="0" collapsed="false"/>
    <row r="761" customFormat="false" ht="24" hidden="false" customHeight="true" outlineLevel="0" collapsed="false">
      <c r="A761" s="9" t="s">
        <v>745</v>
      </c>
      <c r="B761" s="9"/>
      <c r="C761" s="9"/>
      <c r="D761" s="9"/>
      <c r="E761" s="9"/>
      <c r="F761" s="9"/>
      <c r="G761" s="9"/>
      <c r="H761" s="9"/>
    </row>
    <row r="762" customFormat="false" ht="99.75" hidden="false" customHeight="true" outlineLevel="0" collapsed="false">
      <c r="A762" s="10" t="s">
        <v>746</v>
      </c>
      <c r="B762" s="10"/>
      <c r="C762" s="10"/>
      <c r="D762" s="10"/>
      <c r="E762" s="10"/>
      <c r="F762" s="10"/>
      <c r="G762" s="10"/>
      <c r="H762" s="10"/>
    </row>
    <row r="763" customFormat="false" ht="73.5" hidden="false" customHeight="true" outlineLevel="0" collapsed="false">
      <c r="A763" s="10" t="s">
        <v>747</v>
      </c>
      <c r="B763" s="10"/>
      <c r="C763" s="10"/>
      <c r="D763" s="10"/>
      <c r="E763" s="10"/>
      <c r="F763" s="10"/>
      <c r="G763" s="10"/>
      <c r="H763" s="10"/>
    </row>
    <row r="764" customFormat="false" ht="45.75" hidden="false" customHeight="true" outlineLevel="0" collapsed="false">
      <c r="A764" s="11" t="s">
        <v>748</v>
      </c>
      <c r="B764" s="11"/>
      <c r="C764" s="11"/>
      <c r="D764" s="11"/>
      <c r="E764" s="11"/>
      <c r="F764" s="11"/>
      <c r="G764" s="11"/>
      <c r="H764" s="11"/>
    </row>
    <row r="765" customFormat="false" ht="42" hidden="false" customHeight="true" outlineLevel="0" collapsed="false">
      <c r="A765" s="12" t="s">
        <v>749</v>
      </c>
      <c r="B765" s="12"/>
      <c r="C765" s="12"/>
      <c r="D765" s="12"/>
      <c r="E765" s="12" t="s">
        <v>750</v>
      </c>
      <c r="F765" s="12"/>
      <c r="G765" s="12"/>
      <c r="H765" s="12"/>
    </row>
    <row r="766" customFormat="false" ht="42" hidden="false" customHeight="true" outlineLevel="0" collapsed="false">
      <c r="A766" s="12" t="s">
        <v>751</v>
      </c>
      <c r="B766" s="12"/>
      <c r="C766" s="12"/>
      <c r="D766" s="12"/>
      <c r="E766" s="12" t="s">
        <v>500</v>
      </c>
      <c r="F766" s="12"/>
      <c r="G766" s="12"/>
      <c r="H766" s="12"/>
    </row>
    <row r="767" customFormat="false" ht="24" hidden="false" customHeight="true" outlineLevel="0" collapsed="false">
      <c r="A767" s="13" t="s">
        <v>752</v>
      </c>
      <c r="B767" s="13"/>
      <c r="C767" s="13"/>
      <c r="D767" s="13"/>
      <c r="E767" s="13"/>
      <c r="F767" s="13"/>
      <c r="G767" s="13"/>
      <c r="H767" s="13"/>
    </row>
    <row r="768" customFormat="false" ht="7.5" hidden="false" customHeight="true" outlineLevel="0" collapsed="false"/>
    <row r="769" customFormat="false" ht="24" hidden="false" customHeight="true" outlineLevel="0" collapsed="false">
      <c r="A769" s="9" t="s">
        <v>753</v>
      </c>
      <c r="B769" s="9"/>
      <c r="C769" s="9"/>
      <c r="D769" s="9"/>
      <c r="E769" s="9"/>
      <c r="F769" s="9"/>
      <c r="G769" s="9"/>
      <c r="H769" s="9"/>
    </row>
    <row r="770" customFormat="false" ht="48" hidden="false" customHeight="true" outlineLevel="0" collapsed="false">
      <c r="A770" s="10" t="s">
        <v>754</v>
      </c>
      <c r="B770" s="10"/>
      <c r="C770" s="10"/>
      <c r="D770" s="10"/>
      <c r="E770" s="10"/>
      <c r="F770" s="10"/>
      <c r="G770" s="10"/>
      <c r="H770" s="10"/>
    </row>
    <row r="771" customFormat="false" ht="42" hidden="false" customHeight="true" outlineLevel="0" collapsed="false">
      <c r="A771" s="11" t="s">
        <v>755</v>
      </c>
      <c r="B771" s="11"/>
      <c r="C771" s="11"/>
      <c r="D771" s="11"/>
      <c r="E771" s="11"/>
      <c r="F771" s="11"/>
      <c r="G771" s="11"/>
      <c r="H771" s="11"/>
    </row>
    <row r="772" customFormat="false" ht="54.75" hidden="false" customHeight="true" outlineLevel="0" collapsed="false">
      <c r="A772" s="12" t="s">
        <v>756</v>
      </c>
      <c r="B772" s="12"/>
      <c r="C772" s="12"/>
      <c r="D772" s="12"/>
      <c r="E772" s="12" t="s">
        <v>757</v>
      </c>
      <c r="F772" s="12"/>
      <c r="G772" s="12"/>
      <c r="H772" s="12"/>
    </row>
    <row r="773" customFormat="false" ht="54.75" hidden="false" customHeight="true" outlineLevel="0" collapsed="false">
      <c r="A773" s="12" t="s">
        <v>758</v>
      </c>
      <c r="B773" s="12"/>
      <c r="C773" s="12"/>
      <c r="D773" s="12"/>
      <c r="E773" s="12" t="s">
        <v>759</v>
      </c>
      <c r="F773" s="12"/>
      <c r="G773" s="12"/>
      <c r="H773" s="12"/>
    </row>
    <row r="774" customFormat="false" ht="24" hidden="false" customHeight="true" outlineLevel="0" collapsed="false">
      <c r="A774" s="13" t="s">
        <v>752</v>
      </c>
      <c r="B774" s="13"/>
      <c r="C774" s="13"/>
      <c r="D774" s="13"/>
      <c r="E774" s="13"/>
      <c r="F774" s="13"/>
      <c r="G774" s="13"/>
      <c r="H774" s="13"/>
    </row>
    <row r="775" customFormat="false" ht="7.5" hidden="false" customHeight="true" outlineLevel="0" collapsed="false"/>
    <row r="776" customFormat="false" ht="24" hidden="false" customHeight="true" outlineLevel="0" collapsed="false">
      <c r="A776" s="9" t="s">
        <v>760</v>
      </c>
      <c r="B776" s="9"/>
      <c r="C776" s="9"/>
      <c r="D776" s="9"/>
      <c r="E776" s="9"/>
      <c r="F776" s="9"/>
      <c r="G776" s="9"/>
      <c r="H776" s="9"/>
    </row>
    <row r="777" customFormat="false" ht="48" hidden="false" customHeight="true" outlineLevel="0" collapsed="false">
      <c r="A777" s="10" t="s">
        <v>754</v>
      </c>
      <c r="B777" s="10"/>
      <c r="C777" s="10"/>
      <c r="D777" s="10"/>
      <c r="E777" s="10"/>
      <c r="F777" s="10"/>
      <c r="G777" s="10"/>
      <c r="H777" s="10"/>
    </row>
    <row r="778" customFormat="false" ht="45.75" hidden="false" customHeight="true" outlineLevel="0" collapsed="false">
      <c r="A778" s="11" t="s">
        <v>761</v>
      </c>
      <c r="B778" s="11"/>
      <c r="C778" s="11"/>
      <c r="D778" s="11"/>
      <c r="E778" s="11"/>
      <c r="F778" s="11"/>
      <c r="G778" s="11"/>
      <c r="H778" s="11"/>
    </row>
    <row r="779" customFormat="false" ht="54.75" hidden="false" customHeight="true" outlineLevel="0" collapsed="false">
      <c r="A779" s="12" t="s">
        <v>762</v>
      </c>
      <c r="B779" s="12"/>
      <c r="C779" s="12"/>
      <c r="D779" s="12"/>
      <c r="E779" s="12" t="s">
        <v>763</v>
      </c>
      <c r="F779" s="12"/>
      <c r="G779" s="12"/>
      <c r="H779" s="12"/>
    </row>
    <row r="780" customFormat="false" ht="54.75" hidden="false" customHeight="true" outlineLevel="0" collapsed="false">
      <c r="A780" s="12" t="s">
        <v>764</v>
      </c>
      <c r="B780" s="12"/>
      <c r="C780" s="12"/>
      <c r="D780" s="12"/>
      <c r="E780" s="12" t="s">
        <v>765</v>
      </c>
      <c r="F780" s="12"/>
      <c r="G780" s="12"/>
      <c r="H780" s="12"/>
    </row>
    <row r="781" customFormat="false" ht="24" hidden="false" customHeight="true" outlineLevel="0" collapsed="false">
      <c r="A781" s="13" t="s">
        <v>766</v>
      </c>
      <c r="B781" s="13"/>
      <c r="C781" s="13"/>
      <c r="D781" s="13"/>
      <c r="E781" s="13"/>
      <c r="F781" s="13"/>
      <c r="G781" s="13"/>
      <c r="H781" s="13"/>
    </row>
    <row r="782" customFormat="false" ht="7.5" hidden="false" customHeight="true" outlineLevel="0" collapsed="false"/>
    <row r="783" customFormat="false" ht="24" hidden="false" customHeight="true" outlineLevel="0" collapsed="false">
      <c r="A783" s="9" t="s">
        <v>767</v>
      </c>
      <c r="B783" s="9"/>
      <c r="C783" s="9"/>
      <c r="D783" s="9"/>
      <c r="E783" s="9"/>
      <c r="F783" s="9"/>
      <c r="G783" s="9"/>
      <c r="H783" s="9"/>
    </row>
    <row r="784" customFormat="false" ht="48" hidden="false" customHeight="true" outlineLevel="0" collapsed="false">
      <c r="A784" s="10" t="s">
        <v>754</v>
      </c>
      <c r="B784" s="10"/>
      <c r="C784" s="10"/>
      <c r="D784" s="10"/>
      <c r="E784" s="10"/>
      <c r="F784" s="10"/>
      <c r="G784" s="10"/>
      <c r="H784" s="10"/>
    </row>
    <row r="785" customFormat="false" ht="42" hidden="false" customHeight="true" outlineLevel="0" collapsed="false">
      <c r="A785" s="11" t="s">
        <v>768</v>
      </c>
      <c r="B785" s="11"/>
      <c r="C785" s="11"/>
      <c r="D785" s="11"/>
      <c r="E785" s="11"/>
      <c r="F785" s="11"/>
      <c r="G785" s="11"/>
      <c r="H785" s="11"/>
    </row>
    <row r="786" customFormat="false" ht="54.75" hidden="false" customHeight="true" outlineLevel="0" collapsed="false">
      <c r="A786" s="12" t="s">
        <v>769</v>
      </c>
      <c r="B786" s="12"/>
      <c r="C786" s="12"/>
      <c r="D786" s="12"/>
      <c r="E786" s="12" t="s">
        <v>770</v>
      </c>
      <c r="F786" s="12"/>
      <c r="G786" s="12"/>
      <c r="H786" s="12"/>
    </row>
    <row r="787" customFormat="false" ht="54.75" hidden="false" customHeight="true" outlineLevel="0" collapsed="false">
      <c r="A787" s="12" t="s">
        <v>771</v>
      </c>
      <c r="B787" s="12"/>
      <c r="C787" s="12"/>
      <c r="D787" s="12"/>
      <c r="E787" s="12" t="s">
        <v>772</v>
      </c>
      <c r="F787" s="12"/>
      <c r="G787" s="12"/>
      <c r="H787" s="12"/>
    </row>
    <row r="788" customFormat="false" ht="24" hidden="false" customHeight="true" outlineLevel="0" collapsed="false">
      <c r="A788" s="13" t="s">
        <v>766</v>
      </c>
      <c r="B788" s="13"/>
      <c r="C788" s="13"/>
      <c r="D788" s="13"/>
      <c r="E788" s="13"/>
      <c r="F788" s="13"/>
      <c r="G788" s="13"/>
      <c r="H788" s="13"/>
    </row>
    <row r="789" customFormat="false" ht="7.5" hidden="false" customHeight="true" outlineLevel="0" collapsed="false"/>
    <row r="790" customFormat="false" ht="24" hidden="false" customHeight="true" outlineLevel="0" collapsed="false">
      <c r="A790" s="9" t="s">
        <v>773</v>
      </c>
      <c r="B790" s="9"/>
      <c r="C790" s="9"/>
      <c r="D790" s="9"/>
      <c r="E790" s="9"/>
      <c r="F790" s="9"/>
      <c r="G790" s="9"/>
      <c r="H790" s="9"/>
    </row>
    <row r="791" customFormat="false" ht="48" hidden="false" customHeight="true" outlineLevel="0" collapsed="false">
      <c r="A791" s="10" t="s">
        <v>754</v>
      </c>
      <c r="B791" s="10"/>
      <c r="C791" s="10"/>
      <c r="D791" s="10"/>
      <c r="E791" s="10"/>
      <c r="F791" s="10"/>
      <c r="G791" s="10"/>
      <c r="H791" s="10"/>
    </row>
    <row r="792" customFormat="false" ht="42" hidden="false" customHeight="true" outlineLevel="0" collapsed="false">
      <c r="A792" s="11" t="s">
        <v>774</v>
      </c>
      <c r="B792" s="11"/>
      <c r="C792" s="11"/>
      <c r="D792" s="11"/>
      <c r="E792" s="11"/>
      <c r="F792" s="11"/>
      <c r="G792" s="11"/>
      <c r="H792" s="11"/>
    </row>
    <row r="793" customFormat="false" ht="67.5" hidden="false" customHeight="true" outlineLevel="0" collapsed="false">
      <c r="A793" s="12" t="s">
        <v>775</v>
      </c>
      <c r="B793" s="12"/>
      <c r="C793" s="12"/>
      <c r="D793" s="12"/>
      <c r="E793" s="12" t="s">
        <v>776</v>
      </c>
      <c r="F793" s="12"/>
      <c r="G793" s="12"/>
      <c r="H793" s="12"/>
    </row>
    <row r="794" customFormat="false" ht="54.75" hidden="false" customHeight="true" outlineLevel="0" collapsed="false">
      <c r="A794" s="12" t="s">
        <v>777</v>
      </c>
      <c r="B794" s="12"/>
      <c r="C794" s="12"/>
      <c r="D794" s="12"/>
      <c r="E794" s="12" t="s">
        <v>778</v>
      </c>
      <c r="F794" s="12"/>
      <c r="G794" s="12"/>
      <c r="H794" s="12"/>
    </row>
    <row r="795" customFormat="false" ht="24" hidden="false" customHeight="true" outlineLevel="0" collapsed="false">
      <c r="A795" s="13" t="s">
        <v>766</v>
      </c>
      <c r="B795" s="13"/>
      <c r="C795" s="13"/>
      <c r="D795" s="13"/>
      <c r="E795" s="13"/>
      <c r="F795" s="13"/>
      <c r="G795" s="13"/>
      <c r="H795" s="13"/>
    </row>
    <row r="796" customFormat="false" ht="7.5" hidden="false" customHeight="true" outlineLevel="0" collapsed="false"/>
    <row r="797" customFormat="false" ht="24" hidden="false" customHeight="true" outlineLevel="0" collapsed="false">
      <c r="A797" s="9" t="s">
        <v>779</v>
      </c>
      <c r="B797" s="9"/>
      <c r="C797" s="9"/>
      <c r="D797" s="9"/>
      <c r="E797" s="9"/>
      <c r="F797" s="9"/>
      <c r="G797" s="9"/>
      <c r="H797" s="9"/>
    </row>
    <row r="798" customFormat="false" ht="48" hidden="false" customHeight="true" outlineLevel="0" collapsed="false">
      <c r="A798" s="10" t="s">
        <v>754</v>
      </c>
      <c r="B798" s="10"/>
      <c r="C798" s="10"/>
      <c r="D798" s="10"/>
      <c r="E798" s="10"/>
      <c r="F798" s="10"/>
      <c r="G798" s="10"/>
      <c r="H798" s="10"/>
    </row>
    <row r="799" customFormat="false" ht="42" hidden="false" customHeight="true" outlineLevel="0" collapsed="false">
      <c r="A799" s="11" t="s">
        <v>780</v>
      </c>
      <c r="B799" s="11"/>
      <c r="C799" s="11"/>
      <c r="D799" s="11"/>
      <c r="E799" s="11"/>
      <c r="F799" s="11"/>
      <c r="G799" s="11"/>
      <c r="H799" s="11"/>
    </row>
    <row r="800" customFormat="false" ht="42" hidden="false" customHeight="true" outlineLevel="0" collapsed="false">
      <c r="A800" s="12" t="s">
        <v>781</v>
      </c>
      <c r="B800" s="12"/>
      <c r="C800" s="12"/>
      <c r="D800" s="12"/>
      <c r="E800" s="12" t="s">
        <v>782</v>
      </c>
      <c r="F800" s="12"/>
      <c r="G800" s="12"/>
      <c r="H800" s="12"/>
    </row>
    <row r="801" customFormat="false" ht="42" hidden="false" customHeight="true" outlineLevel="0" collapsed="false">
      <c r="A801" s="12" t="s">
        <v>783</v>
      </c>
      <c r="B801" s="12"/>
      <c r="C801" s="12"/>
      <c r="D801" s="12"/>
      <c r="E801" s="12" t="s">
        <v>784</v>
      </c>
      <c r="F801" s="12"/>
      <c r="G801" s="12"/>
      <c r="H801" s="12"/>
    </row>
    <row r="802" customFormat="false" ht="24" hidden="false" customHeight="true" outlineLevel="0" collapsed="false">
      <c r="A802" s="13" t="s">
        <v>785</v>
      </c>
      <c r="B802" s="13"/>
      <c r="C802" s="13"/>
      <c r="D802" s="13"/>
      <c r="E802" s="13"/>
      <c r="F802" s="13"/>
      <c r="G802" s="13"/>
      <c r="H802" s="13"/>
    </row>
    <row r="803" customFormat="false" ht="7.5" hidden="false" customHeight="true" outlineLevel="0" collapsed="false"/>
    <row r="804" customFormat="false" ht="24" hidden="false" customHeight="true" outlineLevel="0" collapsed="false">
      <c r="A804" s="9" t="s">
        <v>786</v>
      </c>
      <c r="B804" s="9"/>
      <c r="C804" s="9"/>
      <c r="D804" s="9"/>
      <c r="E804" s="9"/>
      <c r="F804" s="9"/>
      <c r="G804" s="9"/>
      <c r="H804" s="9"/>
    </row>
    <row r="805" customFormat="false" ht="48" hidden="false" customHeight="true" outlineLevel="0" collapsed="false">
      <c r="A805" s="10" t="s">
        <v>754</v>
      </c>
      <c r="B805" s="10"/>
      <c r="C805" s="10"/>
      <c r="D805" s="10"/>
      <c r="E805" s="10"/>
      <c r="F805" s="10"/>
      <c r="G805" s="10"/>
      <c r="H805" s="10"/>
    </row>
    <row r="806" customFormat="false" ht="42" hidden="false" customHeight="true" outlineLevel="0" collapsed="false">
      <c r="A806" s="11" t="s">
        <v>787</v>
      </c>
      <c r="B806" s="11"/>
      <c r="C806" s="11"/>
      <c r="D806" s="11"/>
      <c r="E806" s="11"/>
      <c r="F806" s="11"/>
      <c r="G806" s="11"/>
      <c r="H806" s="11"/>
    </row>
    <row r="807" customFormat="false" ht="42" hidden="false" customHeight="true" outlineLevel="0" collapsed="false">
      <c r="A807" s="12" t="s">
        <v>788</v>
      </c>
      <c r="B807" s="12"/>
      <c r="C807" s="12"/>
      <c r="D807" s="12"/>
      <c r="E807" s="12" t="s">
        <v>789</v>
      </c>
      <c r="F807" s="12"/>
      <c r="G807" s="12"/>
      <c r="H807" s="12"/>
    </row>
    <row r="808" customFormat="false" ht="42" hidden="false" customHeight="true" outlineLevel="0" collapsed="false">
      <c r="A808" s="12" t="s">
        <v>790</v>
      </c>
      <c r="B808" s="12"/>
      <c r="C808" s="12"/>
      <c r="D808" s="12"/>
      <c r="E808" s="12" t="s">
        <v>267</v>
      </c>
      <c r="F808" s="12"/>
      <c r="G808" s="12"/>
      <c r="H808" s="12"/>
    </row>
    <row r="809" customFormat="false" ht="24" hidden="false" customHeight="true" outlineLevel="0" collapsed="false">
      <c r="A809" s="13" t="s">
        <v>785</v>
      </c>
      <c r="B809" s="13"/>
      <c r="C809" s="13"/>
      <c r="D809" s="13"/>
      <c r="E809" s="13"/>
      <c r="F809" s="13"/>
      <c r="G809" s="13"/>
      <c r="H809" s="13"/>
    </row>
    <row r="810" customFormat="false" ht="7.5" hidden="false" customHeight="true" outlineLevel="0" collapsed="false"/>
    <row r="811" customFormat="false" ht="24" hidden="false" customHeight="true" outlineLevel="0" collapsed="false">
      <c r="A811" s="9" t="s">
        <v>791</v>
      </c>
      <c r="B811" s="9"/>
      <c r="C811" s="9"/>
      <c r="D811" s="9"/>
      <c r="E811" s="9"/>
      <c r="F811" s="9"/>
      <c r="G811" s="9"/>
      <c r="H811" s="9"/>
    </row>
    <row r="812" customFormat="false" ht="48" hidden="false" customHeight="true" outlineLevel="0" collapsed="false">
      <c r="A812" s="10" t="s">
        <v>754</v>
      </c>
      <c r="B812" s="10"/>
      <c r="C812" s="10"/>
      <c r="D812" s="10"/>
      <c r="E812" s="10"/>
      <c r="F812" s="10"/>
      <c r="G812" s="10"/>
      <c r="H812" s="10"/>
    </row>
    <row r="813" customFormat="false" ht="42" hidden="false" customHeight="true" outlineLevel="0" collapsed="false">
      <c r="A813" s="11" t="s">
        <v>792</v>
      </c>
      <c r="B813" s="11"/>
      <c r="C813" s="11"/>
      <c r="D813" s="11"/>
      <c r="E813" s="11"/>
      <c r="F813" s="11"/>
      <c r="G813" s="11"/>
      <c r="H813" s="11"/>
    </row>
    <row r="814" customFormat="false" ht="67.5" hidden="false" customHeight="true" outlineLevel="0" collapsed="false">
      <c r="A814" s="12" t="s">
        <v>793</v>
      </c>
      <c r="B814" s="12"/>
      <c r="C814" s="12"/>
      <c r="D814" s="12"/>
      <c r="E814" s="12" t="s">
        <v>794</v>
      </c>
      <c r="F814" s="12"/>
      <c r="G814" s="12"/>
      <c r="H814" s="12"/>
    </row>
    <row r="815" customFormat="false" ht="54.75" hidden="false" customHeight="true" outlineLevel="0" collapsed="false">
      <c r="A815" s="12" t="s">
        <v>795</v>
      </c>
      <c r="B815" s="12"/>
      <c r="C815" s="12"/>
      <c r="D815" s="12"/>
      <c r="E815" s="12" t="s">
        <v>796</v>
      </c>
      <c r="F815" s="12"/>
      <c r="G815" s="12"/>
      <c r="H815" s="12"/>
    </row>
    <row r="816" customFormat="false" ht="24" hidden="false" customHeight="true" outlineLevel="0" collapsed="false">
      <c r="A816" s="13" t="s">
        <v>785</v>
      </c>
      <c r="B816" s="13"/>
      <c r="C816" s="13"/>
      <c r="D816" s="13"/>
      <c r="E816" s="13"/>
      <c r="F816" s="13"/>
      <c r="G816" s="13"/>
      <c r="H816" s="13"/>
    </row>
    <row r="817" customFormat="false" ht="7.5" hidden="false" customHeight="true" outlineLevel="0" collapsed="false"/>
    <row r="818" customFormat="false" ht="24" hidden="false" customHeight="true" outlineLevel="0" collapsed="false">
      <c r="A818" s="9" t="s">
        <v>797</v>
      </c>
      <c r="B818" s="9"/>
      <c r="C818" s="9"/>
      <c r="D818" s="9"/>
      <c r="E818" s="9"/>
      <c r="F818" s="9"/>
      <c r="G818" s="9"/>
      <c r="H818" s="9"/>
    </row>
    <row r="819" customFormat="false" ht="48" hidden="false" customHeight="true" outlineLevel="0" collapsed="false">
      <c r="A819" s="10" t="s">
        <v>754</v>
      </c>
      <c r="B819" s="10"/>
      <c r="C819" s="10"/>
      <c r="D819" s="10"/>
      <c r="E819" s="10"/>
      <c r="F819" s="10"/>
      <c r="G819" s="10"/>
      <c r="H819" s="10"/>
    </row>
    <row r="820" customFormat="false" ht="42" hidden="false" customHeight="true" outlineLevel="0" collapsed="false">
      <c r="A820" s="11" t="s">
        <v>798</v>
      </c>
      <c r="B820" s="11"/>
      <c r="C820" s="11"/>
      <c r="D820" s="11"/>
      <c r="E820" s="11"/>
      <c r="F820" s="11"/>
      <c r="G820" s="11"/>
      <c r="H820" s="11"/>
    </row>
    <row r="821" customFormat="false" ht="33.75" hidden="false" customHeight="true" outlineLevel="0" collapsed="false">
      <c r="A821" s="12" t="s">
        <v>799</v>
      </c>
      <c r="B821" s="12"/>
      <c r="C821" s="12"/>
      <c r="D821" s="12"/>
      <c r="E821" s="12" t="s">
        <v>800</v>
      </c>
      <c r="F821" s="12"/>
      <c r="G821" s="12"/>
      <c r="H821" s="12"/>
    </row>
    <row r="822" customFormat="false" ht="42" hidden="false" customHeight="true" outlineLevel="0" collapsed="false">
      <c r="A822" s="12" t="s">
        <v>801</v>
      </c>
      <c r="B822" s="12"/>
      <c r="C822" s="12"/>
      <c r="D822" s="12"/>
      <c r="E822" s="12" t="s">
        <v>802</v>
      </c>
      <c r="F822" s="12"/>
      <c r="G822" s="12"/>
      <c r="H822" s="12"/>
    </row>
    <row r="823" customFormat="false" ht="24" hidden="false" customHeight="true" outlineLevel="0" collapsed="false">
      <c r="A823" s="13" t="s">
        <v>803</v>
      </c>
      <c r="B823" s="13"/>
      <c r="C823" s="13"/>
      <c r="D823" s="13"/>
      <c r="E823" s="13"/>
      <c r="F823" s="13"/>
      <c r="G823" s="13"/>
      <c r="H823" s="13"/>
    </row>
    <row r="824" customFormat="false" ht="7.5" hidden="false" customHeight="true" outlineLevel="0" collapsed="false"/>
    <row r="825" customFormat="false" ht="24" hidden="false" customHeight="true" outlineLevel="0" collapsed="false">
      <c r="A825" s="9" t="s">
        <v>804</v>
      </c>
      <c r="B825" s="9"/>
      <c r="C825" s="9"/>
      <c r="D825" s="9"/>
      <c r="E825" s="9"/>
      <c r="F825" s="9"/>
      <c r="G825" s="9"/>
      <c r="H825" s="9"/>
    </row>
    <row r="826" customFormat="false" ht="48" hidden="false" customHeight="true" outlineLevel="0" collapsed="false">
      <c r="A826" s="10" t="s">
        <v>754</v>
      </c>
      <c r="B826" s="10"/>
      <c r="C826" s="10"/>
      <c r="D826" s="10"/>
      <c r="E826" s="10"/>
      <c r="F826" s="10"/>
      <c r="G826" s="10"/>
      <c r="H826" s="10"/>
    </row>
    <row r="827" customFormat="false" ht="42" hidden="false" customHeight="true" outlineLevel="0" collapsed="false">
      <c r="A827" s="11" t="s">
        <v>805</v>
      </c>
      <c r="B827" s="11"/>
      <c r="C827" s="11"/>
      <c r="D827" s="11"/>
      <c r="E827" s="11"/>
      <c r="F827" s="11"/>
      <c r="G827" s="11"/>
      <c r="H827" s="11"/>
    </row>
    <row r="828" customFormat="false" ht="54.75" hidden="false" customHeight="true" outlineLevel="0" collapsed="false">
      <c r="A828" s="12" t="s">
        <v>806</v>
      </c>
      <c r="B828" s="12"/>
      <c r="C828" s="12"/>
      <c r="D828" s="12"/>
      <c r="E828" s="12" t="s">
        <v>807</v>
      </c>
      <c r="F828" s="12"/>
      <c r="G828" s="12"/>
      <c r="H828" s="12"/>
    </row>
    <row r="829" customFormat="false" ht="42" hidden="false" customHeight="true" outlineLevel="0" collapsed="false">
      <c r="A829" s="12" t="s">
        <v>808</v>
      </c>
      <c r="B829" s="12"/>
      <c r="C829" s="12"/>
      <c r="D829" s="12"/>
      <c r="E829" s="12" t="s">
        <v>267</v>
      </c>
      <c r="F829" s="12"/>
      <c r="G829" s="12"/>
      <c r="H829" s="12"/>
    </row>
    <row r="830" customFormat="false" ht="24" hidden="false" customHeight="true" outlineLevel="0" collapsed="false">
      <c r="A830" s="13" t="s">
        <v>803</v>
      </c>
      <c r="B830" s="13"/>
      <c r="C830" s="13"/>
      <c r="D830" s="13"/>
      <c r="E830" s="13"/>
      <c r="F830" s="13"/>
      <c r="G830" s="13"/>
      <c r="H830" s="13"/>
    </row>
    <row r="831" customFormat="false" ht="7.5" hidden="false" customHeight="true" outlineLevel="0" collapsed="false"/>
    <row r="832" customFormat="false" ht="24" hidden="false" customHeight="true" outlineLevel="0" collapsed="false">
      <c r="A832" s="9" t="s">
        <v>809</v>
      </c>
      <c r="B832" s="9"/>
      <c r="C832" s="9"/>
      <c r="D832" s="9"/>
      <c r="E832" s="9"/>
      <c r="F832" s="9"/>
      <c r="G832" s="9"/>
      <c r="H832" s="9"/>
    </row>
    <row r="833" customFormat="false" ht="229.5" hidden="false" customHeight="true" outlineLevel="0" collapsed="false">
      <c r="A833" s="10" t="s">
        <v>810</v>
      </c>
      <c r="B833" s="10"/>
      <c r="C833" s="10"/>
      <c r="D833" s="10"/>
      <c r="E833" s="10"/>
      <c r="F833" s="10"/>
      <c r="G833" s="10"/>
      <c r="H833" s="10"/>
    </row>
    <row r="834" customFormat="false" ht="151.5" hidden="false" customHeight="true" outlineLevel="0" collapsed="false">
      <c r="A834" s="10" t="s">
        <v>811</v>
      </c>
      <c r="B834" s="10"/>
      <c r="C834" s="10"/>
      <c r="D834" s="10"/>
      <c r="E834" s="10"/>
      <c r="F834" s="10"/>
      <c r="G834" s="10"/>
      <c r="H834" s="10"/>
    </row>
    <row r="835" customFormat="false" ht="165" hidden="false" customHeight="true" outlineLevel="0" collapsed="false">
      <c r="A835" s="10" t="s">
        <v>812</v>
      </c>
      <c r="B835" s="10"/>
      <c r="C835" s="10"/>
      <c r="D835" s="10"/>
      <c r="E835" s="10"/>
      <c r="F835" s="10"/>
      <c r="G835" s="10"/>
      <c r="H835" s="10"/>
    </row>
    <row r="836" customFormat="false" ht="99.75" hidden="false" customHeight="true" outlineLevel="0" collapsed="false">
      <c r="A836" s="10" t="s">
        <v>813</v>
      </c>
      <c r="B836" s="10"/>
      <c r="C836" s="10"/>
      <c r="D836" s="10"/>
      <c r="E836" s="10"/>
      <c r="F836" s="10"/>
      <c r="G836" s="10"/>
      <c r="H836" s="10"/>
    </row>
    <row r="837" customFormat="false" ht="112.5" hidden="false" customHeight="true" outlineLevel="0" collapsed="false">
      <c r="A837" s="10" t="s">
        <v>814</v>
      </c>
      <c r="B837" s="10"/>
      <c r="C837" s="10"/>
      <c r="D837" s="10"/>
      <c r="E837" s="10"/>
      <c r="F837" s="10"/>
      <c r="G837" s="10"/>
      <c r="H837" s="10"/>
    </row>
    <row r="838" customFormat="false" ht="42" hidden="false" customHeight="true" outlineLevel="0" collapsed="false">
      <c r="A838" s="11" t="s">
        <v>815</v>
      </c>
      <c r="B838" s="11"/>
      <c r="C838" s="11"/>
      <c r="D838" s="11"/>
      <c r="E838" s="11"/>
      <c r="F838" s="11"/>
      <c r="G838" s="11"/>
      <c r="H838" s="11"/>
    </row>
    <row r="839" customFormat="false" ht="33.75" hidden="false" customHeight="true" outlineLevel="0" collapsed="false">
      <c r="A839" s="12" t="s">
        <v>816</v>
      </c>
      <c r="B839" s="12"/>
      <c r="C839" s="12"/>
      <c r="D839" s="12"/>
      <c r="E839" s="12" t="s">
        <v>817</v>
      </c>
      <c r="F839" s="12"/>
      <c r="G839" s="12"/>
      <c r="H839" s="12"/>
    </row>
    <row r="840" customFormat="false" ht="33.75" hidden="false" customHeight="true" outlineLevel="0" collapsed="false">
      <c r="A840" s="12" t="s">
        <v>534</v>
      </c>
      <c r="B840" s="12"/>
      <c r="C840" s="12"/>
      <c r="D840" s="12"/>
      <c r="E840" s="12" t="s">
        <v>53</v>
      </c>
      <c r="F840" s="12"/>
      <c r="G840" s="12"/>
      <c r="H840" s="12"/>
    </row>
    <row r="841" customFormat="false" ht="24" hidden="false" customHeight="true" outlineLevel="0" collapsed="false">
      <c r="A841" s="13" t="s">
        <v>818</v>
      </c>
      <c r="B841" s="13"/>
      <c r="C841" s="13"/>
      <c r="D841" s="13"/>
      <c r="E841" s="13"/>
      <c r="F841" s="13"/>
      <c r="G841" s="13"/>
      <c r="H841" s="13"/>
    </row>
    <row r="842" customFormat="false" ht="7.5" hidden="false" customHeight="true" outlineLevel="0" collapsed="false"/>
    <row r="843" customFormat="false" ht="24" hidden="false" customHeight="true" outlineLevel="0" collapsed="false">
      <c r="A843" s="9" t="s">
        <v>819</v>
      </c>
      <c r="B843" s="9"/>
      <c r="C843" s="9"/>
      <c r="D843" s="9"/>
      <c r="E843" s="9"/>
      <c r="F843" s="9"/>
      <c r="G843" s="9"/>
      <c r="H843" s="9"/>
    </row>
    <row r="844" customFormat="false" ht="42" hidden="false" customHeight="true" outlineLevel="0" collapsed="false">
      <c r="A844" s="10" t="s">
        <v>820</v>
      </c>
      <c r="B844" s="10"/>
      <c r="C844" s="10"/>
      <c r="D844" s="10"/>
      <c r="E844" s="10"/>
      <c r="F844" s="10"/>
      <c r="G844" s="10"/>
      <c r="H844" s="10"/>
    </row>
    <row r="845" customFormat="false" ht="42" hidden="false" customHeight="true" outlineLevel="0" collapsed="false">
      <c r="A845" s="11" t="s">
        <v>821</v>
      </c>
      <c r="B845" s="11"/>
      <c r="C845" s="11"/>
      <c r="D845" s="11"/>
      <c r="E845" s="11"/>
      <c r="F845" s="11"/>
      <c r="G845" s="11"/>
      <c r="H845" s="11"/>
    </row>
    <row r="846" customFormat="false" ht="42" hidden="false" customHeight="true" outlineLevel="0" collapsed="false">
      <c r="A846" s="12" t="s">
        <v>822</v>
      </c>
      <c r="B846" s="12"/>
      <c r="C846" s="12"/>
      <c r="D846" s="12"/>
      <c r="E846" s="12" t="s">
        <v>823</v>
      </c>
      <c r="F846" s="12"/>
      <c r="G846" s="12"/>
      <c r="H846" s="12"/>
    </row>
    <row r="847" customFormat="false" ht="33.75" hidden="false" customHeight="true" outlineLevel="0" collapsed="false">
      <c r="A847" s="12" t="s">
        <v>824</v>
      </c>
      <c r="B847" s="12"/>
      <c r="C847" s="12"/>
      <c r="D847" s="12"/>
      <c r="E847" s="12" t="s">
        <v>267</v>
      </c>
      <c r="F847" s="12"/>
      <c r="G847" s="12"/>
      <c r="H847" s="12"/>
    </row>
    <row r="848" customFormat="false" ht="24" hidden="false" customHeight="true" outlineLevel="0" collapsed="false">
      <c r="A848" s="13" t="s">
        <v>818</v>
      </c>
      <c r="B848" s="13"/>
      <c r="C848" s="13"/>
      <c r="D848" s="13"/>
      <c r="E848" s="13"/>
      <c r="F848" s="13"/>
      <c r="G848" s="13"/>
      <c r="H848" s="13"/>
    </row>
    <row r="849" customFormat="false" ht="7.5" hidden="false" customHeight="true" outlineLevel="0" collapsed="false"/>
    <row r="850" customFormat="false" ht="24" hidden="false" customHeight="true" outlineLevel="0" collapsed="false">
      <c r="A850" s="9" t="s">
        <v>825</v>
      </c>
      <c r="B850" s="9"/>
      <c r="C850" s="9"/>
      <c r="D850" s="9"/>
      <c r="E850" s="9"/>
      <c r="F850" s="9"/>
      <c r="G850" s="9"/>
      <c r="H850" s="9"/>
    </row>
    <row r="851" customFormat="false" ht="151.5" hidden="false" customHeight="true" outlineLevel="0" collapsed="false">
      <c r="A851" s="10" t="s">
        <v>826</v>
      </c>
      <c r="B851" s="10"/>
      <c r="C851" s="10"/>
      <c r="D851" s="10"/>
      <c r="E851" s="10"/>
      <c r="F851" s="10"/>
      <c r="G851" s="10"/>
      <c r="H851" s="10"/>
    </row>
    <row r="852" customFormat="false" ht="42" hidden="false" customHeight="true" outlineLevel="0" collapsed="false">
      <c r="A852" s="11" t="s">
        <v>827</v>
      </c>
      <c r="B852" s="11"/>
      <c r="C852" s="11"/>
      <c r="D852" s="11"/>
      <c r="E852" s="11"/>
      <c r="F852" s="11"/>
      <c r="G852" s="11"/>
      <c r="H852" s="11"/>
    </row>
    <row r="853" customFormat="false" ht="54.75" hidden="false" customHeight="true" outlineLevel="0" collapsed="false">
      <c r="A853" s="12" t="s">
        <v>828</v>
      </c>
      <c r="B853" s="12"/>
      <c r="C853" s="12"/>
      <c r="D853" s="12"/>
      <c r="E853" s="12" t="s">
        <v>829</v>
      </c>
      <c r="F853" s="12"/>
      <c r="G853" s="12"/>
      <c r="H853" s="12"/>
    </row>
    <row r="854" customFormat="false" ht="33.75" hidden="false" customHeight="true" outlineLevel="0" collapsed="false">
      <c r="A854" s="12" t="s">
        <v>830</v>
      </c>
      <c r="B854" s="12"/>
      <c r="C854" s="12"/>
      <c r="D854" s="12"/>
      <c r="E854" s="12" t="s">
        <v>730</v>
      </c>
      <c r="F854" s="12"/>
      <c r="G854" s="12"/>
      <c r="H854" s="12"/>
    </row>
    <row r="855" customFormat="false" ht="24" hidden="false" customHeight="true" outlineLevel="0" collapsed="false">
      <c r="A855" s="13" t="s">
        <v>831</v>
      </c>
      <c r="B855" s="13"/>
      <c r="C855" s="13"/>
      <c r="D855" s="13"/>
      <c r="E855" s="13"/>
      <c r="F855" s="13"/>
      <c r="G855" s="13"/>
      <c r="H855" s="13"/>
    </row>
    <row r="856" customFormat="false" ht="7.5" hidden="false" customHeight="true" outlineLevel="0" collapsed="false"/>
    <row r="857" customFormat="false" ht="24" hidden="false" customHeight="true" outlineLevel="0" collapsed="false">
      <c r="A857" s="9" t="s">
        <v>832</v>
      </c>
      <c r="B857" s="9"/>
      <c r="C857" s="9"/>
      <c r="D857" s="9"/>
      <c r="E857" s="9"/>
      <c r="F857" s="9"/>
      <c r="G857" s="9"/>
      <c r="H857" s="9"/>
    </row>
    <row r="858" customFormat="false" ht="42" hidden="false" customHeight="true" outlineLevel="0" collapsed="false">
      <c r="A858" s="10" t="s">
        <v>833</v>
      </c>
      <c r="B858" s="10"/>
      <c r="C858" s="10"/>
      <c r="D858" s="10"/>
      <c r="E858" s="10"/>
      <c r="F858" s="10"/>
      <c r="G858" s="10"/>
      <c r="H858" s="10"/>
    </row>
    <row r="859" customFormat="false" ht="42" hidden="false" customHeight="true" outlineLevel="0" collapsed="false">
      <c r="A859" s="11" t="s">
        <v>834</v>
      </c>
      <c r="B859" s="11"/>
      <c r="C859" s="11"/>
      <c r="D859" s="11"/>
      <c r="E859" s="11"/>
      <c r="F859" s="11"/>
      <c r="G859" s="11"/>
      <c r="H859" s="11"/>
    </row>
    <row r="860" customFormat="false" ht="42" hidden="false" customHeight="true" outlineLevel="0" collapsed="false">
      <c r="A860" s="12" t="s">
        <v>835</v>
      </c>
      <c r="B860" s="12"/>
      <c r="C860" s="12"/>
      <c r="D860" s="12"/>
      <c r="E860" s="12" t="s">
        <v>836</v>
      </c>
      <c r="F860" s="12"/>
      <c r="G860" s="12"/>
      <c r="H860" s="12"/>
    </row>
    <row r="861" customFormat="false" ht="33.75" hidden="false" customHeight="true" outlineLevel="0" collapsed="false">
      <c r="A861" s="12" t="s">
        <v>837</v>
      </c>
      <c r="B861" s="12"/>
      <c r="C861" s="12"/>
      <c r="D861" s="12"/>
      <c r="E861" s="12" t="s">
        <v>53</v>
      </c>
      <c r="F861" s="12"/>
      <c r="G861" s="12"/>
      <c r="H861" s="12"/>
    </row>
    <row r="862" customFormat="false" ht="24" hidden="false" customHeight="true" outlineLevel="0" collapsed="false">
      <c r="A862" s="13" t="s">
        <v>838</v>
      </c>
      <c r="B862" s="13"/>
      <c r="C862" s="13"/>
      <c r="D862" s="13"/>
      <c r="E862" s="13"/>
      <c r="F862" s="13"/>
      <c r="G862" s="13"/>
      <c r="H862" s="13"/>
    </row>
    <row r="863" customFormat="false" ht="7.5" hidden="false" customHeight="true" outlineLevel="0" collapsed="false"/>
    <row r="864" customFormat="false" ht="24" hidden="false" customHeight="true" outlineLevel="0" collapsed="false">
      <c r="A864" s="9" t="s">
        <v>839</v>
      </c>
      <c r="B864" s="9"/>
      <c r="C864" s="9"/>
      <c r="D864" s="9"/>
      <c r="E864" s="9"/>
      <c r="F864" s="9"/>
      <c r="G864" s="9"/>
      <c r="H864" s="9"/>
    </row>
    <row r="865" customFormat="false" ht="42" hidden="false" customHeight="true" outlineLevel="0" collapsed="false">
      <c r="A865" s="10" t="s">
        <v>833</v>
      </c>
      <c r="B865" s="10"/>
      <c r="C865" s="10"/>
      <c r="D865" s="10"/>
      <c r="E865" s="10"/>
      <c r="F865" s="10"/>
      <c r="G865" s="10"/>
      <c r="H865" s="10"/>
    </row>
    <row r="866" customFormat="false" ht="42" hidden="false" customHeight="true" outlineLevel="0" collapsed="false">
      <c r="A866" s="11" t="s">
        <v>840</v>
      </c>
      <c r="B866" s="11"/>
      <c r="C866" s="11"/>
      <c r="D866" s="11"/>
      <c r="E866" s="11"/>
      <c r="F866" s="11"/>
      <c r="G866" s="11"/>
      <c r="H866" s="11"/>
    </row>
    <row r="867" customFormat="false" ht="33.75" hidden="false" customHeight="true" outlineLevel="0" collapsed="false">
      <c r="A867" s="12" t="s">
        <v>841</v>
      </c>
      <c r="B867" s="12"/>
      <c r="C867" s="12"/>
      <c r="D867" s="12"/>
      <c r="E867" s="12" t="s">
        <v>842</v>
      </c>
      <c r="F867" s="12"/>
      <c r="G867" s="12"/>
      <c r="H867" s="12"/>
    </row>
    <row r="868" customFormat="false" ht="33.75" hidden="false" customHeight="true" outlineLevel="0" collapsed="false">
      <c r="A868" s="12" t="s">
        <v>843</v>
      </c>
      <c r="B868" s="12"/>
      <c r="C868" s="12"/>
      <c r="D868" s="12"/>
      <c r="E868" s="12" t="s">
        <v>844</v>
      </c>
      <c r="F868" s="12"/>
      <c r="G868" s="12"/>
      <c r="H868" s="12"/>
    </row>
    <row r="869" customFormat="false" ht="24" hidden="false" customHeight="true" outlineLevel="0" collapsed="false">
      <c r="A869" s="13" t="s">
        <v>838</v>
      </c>
      <c r="B869" s="13"/>
      <c r="C869" s="13"/>
      <c r="D869" s="13"/>
      <c r="E869" s="13"/>
      <c r="F869" s="13"/>
      <c r="G869" s="13"/>
      <c r="H869" s="13"/>
    </row>
    <row r="870" customFormat="false" ht="7.5" hidden="false" customHeight="true" outlineLevel="0" collapsed="false"/>
    <row r="871" customFormat="false" ht="24" hidden="false" customHeight="true" outlineLevel="0" collapsed="false">
      <c r="A871" s="9" t="s">
        <v>845</v>
      </c>
      <c r="B871" s="9"/>
      <c r="C871" s="9"/>
      <c r="D871" s="9"/>
      <c r="E871" s="9"/>
      <c r="F871" s="9"/>
      <c r="G871" s="9"/>
      <c r="H871" s="9"/>
    </row>
    <row r="872" customFormat="false" ht="42" hidden="false" customHeight="true" outlineLevel="0" collapsed="false">
      <c r="A872" s="10" t="s">
        <v>833</v>
      </c>
      <c r="B872" s="10"/>
      <c r="C872" s="10"/>
      <c r="D872" s="10"/>
      <c r="E872" s="10"/>
      <c r="F872" s="10"/>
      <c r="G872" s="10"/>
      <c r="H872" s="10"/>
    </row>
    <row r="873" customFormat="false" ht="45.75" hidden="false" customHeight="true" outlineLevel="0" collapsed="false">
      <c r="A873" s="11" t="s">
        <v>846</v>
      </c>
      <c r="B873" s="11"/>
      <c r="C873" s="11"/>
      <c r="D873" s="11"/>
      <c r="E873" s="11"/>
      <c r="F873" s="11"/>
      <c r="G873" s="11"/>
      <c r="H873" s="11"/>
    </row>
    <row r="874" customFormat="false" ht="42" hidden="false" customHeight="true" outlineLevel="0" collapsed="false">
      <c r="A874" s="12" t="s">
        <v>847</v>
      </c>
      <c r="B874" s="12"/>
      <c r="C874" s="12"/>
      <c r="D874" s="12"/>
      <c r="E874" s="12" t="s">
        <v>848</v>
      </c>
      <c r="F874" s="12"/>
      <c r="G874" s="12"/>
      <c r="H874" s="12"/>
    </row>
    <row r="875" customFormat="false" ht="42" hidden="false" customHeight="true" outlineLevel="0" collapsed="false">
      <c r="A875" s="12" t="s">
        <v>849</v>
      </c>
      <c r="B875" s="12"/>
      <c r="C875" s="12"/>
      <c r="D875" s="12"/>
      <c r="E875" s="12" t="s">
        <v>850</v>
      </c>
      <c r="F875" s="12"/>
      <c r="G875" s="12"/>
      <c r="H875" s="12"/>
    </row>
    <row r="876" customFormat="false" ht="24" hidden="false" customHeight="true" outlineLevel="0" collapsed="false">
      <c r="A876" s="13" t="s">
        <v>838</v>
      </c>
      <c r="B876" s="13"/>
      <c r="C876" s="13"/>
      <c r="D876" s="13"/>
      <c r="E876" s="13"/>
      <c r="F876" s="13"/>
      <c r="G876" s="13"/>
      <c r="H876" s="13"/>
    </row>
    <row r="877" customFormat="false" ht="7.5" hidden="false" customHeight="true" outlineLevel="0" collapsed="false"/>
    <row r="878" customFormat="false" ht="24" hidden="false" customHeight="true" outlineLevel="0" collapsed="false">
      <c r="A878" s="9" t="s">
        <v>851</v>
      </c>
      <c r="B878" s="9"/>
      <c r="C878" s="9"/>
      <c r="D878" s="9"/>
      <c r="E878" s="9"/>
      <c r="F878" s="9"/>
      <c r="G878" s="9"/>
      <c r="H878" s="9"/>
    </row>
    <row r="879" customFormat="false" ht="42" hidden="false" customHeight="true" outlineLevel="0" collapsed="false">
      <c r="A879" s="10" t="s">
        <v>833</v>
      </c>
      <c r="B879" s="10"/>
      <c r="C879" s="10"/>
      <c r="D879" s="10"/>
      <c r="E879" s="10"/>
      <c r="F879" s="10"/>
      <c r="G879" s="10"/>
      <c r="H879" s="10"/>
    </row>
    <row r="880" customFormat="false" ht="45.75" hidden="false" customHeight="true" outlineLevel="0" collapsed="false">
      <c r="A880" s="11" t="s">
        <v>852</v>
      </c>
      <c r="B880" s="11"/>
      <c r="C880" s="11"/>
      <c r="D880" s="11"/>
      <c r="E880" s="11"/>
      <c r="F880" s="11"/>
      <c r="G880" s="11"/>
      <c r="H880" s="11"/>
    </row>
    <row r="881" customFormat="false" ht="33.75" hidden="false" customHeight="true" outlineLevel="0" collapsed="false">
      <c r="A881" s="12" t="s">
        <v>853</v>
      </c>
      <c r="B881" s="12"/>
      <c r="C881" s="12"/>
      <c r="D881" s="12"/>
      <c r="E881" s="12" t="s">
        <v>854</v>
      </c>
      <c r="F881" s="12"/>
      <c r="G881" s="12"/>
      <c r="H881" s="12"/>
    </row>
    <row r="882" customFormat="false" ht="33.75" hidden="false" customHeight="true" outlineLevel="0" collapsed="false">
      <c r="A882" s="12" t="s">
        <v>855</v>
      </c>
      <c r="B882" s="12"/>
      <c r="C882" s="12"/>
      <c r="D882" s="12"/>
      <c r="E882" s="12" t="s">
        <v>267</v>
      </c>
      <c r="F882" s="12"/>
      <c r="G882" s="12"/>
      <c r="H882" s="12"/>
    </row>
    <row r="883" customFormat="false" ht="24" hidden="false" customHeight="true" outlineLevel="0" collapsed="false">
      <c r="A883" s="13" t="s">
        <v>838</v>
      </c>
      <c r="B883" s="13"/>
      <c r="C883" s="13"/>
      <c r="D883" s="13"/>
      <c r="E883" s="13"/>
      <c r="F883" s="13"/>
      <c r="G883" s="13"/>
      <c r="H883" s="13"/>
    </row>
    <row r="884" customFormat="false" ht="7.5" hidden="false" customHeight="true" outlineLevel="0" collapsed="false"/>
    <row r="885" customFormat="false" ht="24" hidden="false" customHeight="true" outlineLevel="0" collapsed="false">
      <c r="A885" s="9" t="s">
        <v>856</v>
      </c>
      <c r="B885" s="9"/>
      <c r="C885" s="9"/>
      <c r="D885" s="9"/>
      <c r="E885" s="9"/>
      <c r="F885" s="9"/>
      <c r="G885" s="9"/>
      <c r="H885" s="9"/>
    </row>
    <row r="886" customFormat="false" ht="42" hidden="false" customHeight="true" outlineLevel="0" collapsed="false">
      <c r="A886" s="10" t="s">
        <v>833</v>
      </c>
      <c r="B886" s="10"/>
      <c r="C886" s="10"/>
      <c r="D886" s="10"/>
      <c r="E886" s="10"/>
      <c r="F886" s="10"/>
      <c r="G886" s="10"/>
      <c r="H886" s="10"/>
    </row>
    <row r="887" customFormat="false" ht="42" hidden="false" customHeight="true" outlineLevel="0" collapsed="false">
      <c r="A887" s="11" t="s">
        <v>857</v>
      </c>
      <c r="B887" s="11"/>
      <c r="C887" s="11"/>
      <c r="D887" s="11"/>
      <c r="E887" s="11"/>
      <c r="F887" s="11"/>
      <c r="G887" s="11"/>
      <c r="H887" s="11"/>
    </row>
    <row r="888" customFormat="false" ht="54.75" hidden="false" customHeight="true" outlineLevel="0" collapsed="false">
      <c r="A888" s="12" t="s">
        <v>858</v>
      </c>
      <c r="B888" s="12"/>
      <c r="C888" s="12"/>
      <c r="D888" s="12"/>
      <c r="E888" s="12" t="s">
        <v>859</v>
      </c>
      <c r="F888" s="12"/>
      <c r="G888" s="12"/>
      <c r="H888" s="12"/>
    </row>
    <row r="889" customFormat="false" ht="54.75" hidden="false" customHeight="true" outlineLevel="0" collapsed="false">
      <c r="A889" s="12" t="s">
        <v>860</v>
      </c>
      <c r="B889" s="12"/>
      <c r="C889" s="12"/>
      <c r="D889" s="12"/>
      <c r="E889" s="12" t="s">
        <v>861</v>
      </c>
      <c r="F889" s="12"/>
      <c r="G889" s="12"/>
      <c r="H889" s="12"/>
    </row>
    <row r="890" customFormat="false" ht="24" hidden="false" customHeight="true" outlineLevel="0" collapsed="false">
      <c r="A890" s="13" t="s">
        <v>862</v>
      </c>
      <c r="B890" s="13"/>
      <c r="C890" s="13"/>
      <c r="D890" s="13"/>
      <c r="E890" s="13"/>
      <c r="F890" s="13"/>
      <c r="G890" s="13"/>
      <c r="H890" s="13"/>
    </row>
    <row r="891" customFormat="false" ht="7.5" hidden="false" customHeight="true" outlineLevel="0" collapsed="false"/>
    <row r="892" customFormat="false" ht="24" hidden="false" customHeight="true" outlineLevel="0" collapsed="false">
      <c r="A892" s="9" t="s">
        <v>863</v>
      </c>
      <c r="B892" s="9"/>
      <c r="C892" s="9"/>
      <c r="D892" s="9"/>
      <c r="E892" s="9"/>
      <c r="F892" s="9"/>
      <c r="G892" s="9"/>
      <c r="H892" s="9"/>
    </row>
    <row r="893" customFormat="false" ht="42" hidden="false" customHeight="true" outlineLevel="0" collapsed="false">
      <c r="A893" s="10" t="s">
        <v>833</v>
      </c>
      <c r="B893" s="10"/>
      <c r="C893" s="10"/>
      <c r="D893" s="10"/>
      <c r="E893" s="10"/>
      <c r="F893" s="10"/>
      <c r="G893" s="10"/>
      <c r="H893" s="10"/>
    </row>
    <row r="894" customFormat="false" ht="42" hidden="false" customHeight="true" outlineLevel="0" collapsed="false">
      <c r="A894" s="11" t="s">
        <v>864</v>
      </c>
      <c r="B894" s="11"/>
      <c r="C894" s="11"/>
      <c r="D894" s="11"/>
      <c r="E894" s="11"/>
      <c r="F894" s="11"/>
      <c r="G894" s="11"/>
      <c r="H894" s="11"/>
    </row>
    <row r="895" customFormat="false" ht="42" hidden="false" customHeight="true" outlineLevel="0" collapsed="false">
      <c r="A895" s="12" t="s">
        <v>865</v>
      </c>
      <c r="B895" s="12"/>
      <c r="C895" s="12"/>
      <c r="D895" s="12"/>
      <c r="E895" s="12" t="s">
        <v>866</v>
      </c>
      <c r="F895" s="12"/>
      <c r="G895" s="12"/>
      <c r="H895" s="12"/>
    </row>
    <row r="896" customFormat="false" ht="42" hidden="false" customHeight="true" outlineLevel="0" collapsed="false">
      <c r="A896" s="12" t="s">
        <v>867</v>
      </c>
      <c r="B896" s="12"/>
      <c r="C896" s="12"/>
      <c r="D896" s="12"/>
      <c r="E896" s="12" t="s">
        <v>267</v>
      </c>
      <c r="F896" s="12"/>
      <c r="G896" s="12"/>
      <c r="H896" s="12"/>
    </row>
    <row r="897" customFormat="false" ht="24" hidden="false" customHeight="true" outlineLevel="0" collapsed="false">
      <c r="A897" s="13" t="s">
        <v>862</v>
      </c>
      <c r="B897" s="13"/>
      <c r="C897" s="13"/>
      <c r="D897" s="13"/>
      <c r="E897" s="13"/>
      <c r="F897" s="13"/>
      <c r="G897" s="13"/>
      <c r="H897" s="13"/>
    </row>
    <row r="898" customFormat="false" ht="7.5" hidden="false" customHeight="true" outlineLevel="0" collapsed="false"/>
    <row r="899" customFormat="false" ht="24" hidden="false" customHeight="true" outlineLevel="0" collapsed="false">
      <c r="A899" s="9" t="s">
        <v>868</v>
      </c>
      <c r="B899" s="9"/>
      <c r="C899" s="9"/>
      <c r="D899" s="9"/>
      <c r="E899" s="9"/>
      <c r="F899" s="9"/>
      <c r="G899" s="9"/>
      <c r="H899" s="9"/>
    </row>
    <row r="900" customFormat="false" ht="42" hidden="false" customHeight="true" outlineLevel="0" collapsed="false">
      <c r="A900" s="10" t="s">
        <v>833</v>
      </c>
      <c r="B900" s="10"/>
      <c r="C900" s="10"/>
      <c r="D900" s="10"/>
      <c r="E900" s="10"/>
      <c r="F900" s="10"/>
      <c r="G900" s="10"/>
      <c r="H900" s="10"/>
    </row>
    <row r="901" customFormat="false" ht="42" hidden="false" customHeight="true" outlineLevel="0" collapsed="false">
      <c r="A901" s="11" t="s">
        <v>869</v>
      </c>
      <c r="B901" s="11"/>
      <c r="C901" s="11"/>
      <c r="D901" s="11"/>
      <c r="E901" s="11"/>
      <c r="F901" s="11"/>
      <c r="G901" s="11"/>
      <c r="H901" s="11"/>
    </row>
    <row r="902" customFormat="false" ht="33.75" hidden="false" customHeight="true" outlineLevel="0" collapsed="false">
      <c r="A902" s="12" t="s">
        <v>870</v>
      </c>
      <c r="B902" s="12"/>
      <c r="C902" s="12"/>
      <c r="D902" s="12"/>
      <c r="E902" s="12" t="s">
        <v>871</v>
      </c>
      <c r="F902" s="12"/>
      <c r="G902" s="12"/>
      <c r="H902" s="12"/>
    </row>
    <row r="903" customFormat="false" ht="33.75" hidden="false" customHeight="true" outlineLevel="0" collapsed="false">
      <c r="A903" s="12" t="s">
        <v>872</v>
      </c>
      <c r="B903" s="12"/>
      <c r="C903" s="12"/>
      <c r="D903" s="12"/>
      <c r="E903" s="12" t="s">
        <v>267</v>
      </c>
      <c r="F903" s="12"/>
      <c r="G903" s="12"/>
      <c r="H903" s="12"/>
    </row>
    <row r="904" customFormat="false" ht="24" hidden="false" customHeight="true" outlineLevel="0" collapsed="false">
      <c r="A904" s="13" t="s">
        <v>862</v>
      </c>
      <c r="B904" s="13"/>
      <c r="C904" s="13"/>
      <c r="D904" s="13"/>
      <c r="E904" s="13"/>
      <c r="F904" s="13"/>
      <c r="G904" s="13"/>
      <c r="H904" s="13"/>
    </row>
    <row r="905" customFormat="false" ht="7.5" hidden="false" customHeight="true" outlineLevel="0" collapsed="false"/>
    <row r="906" customFormat="false" ht="24" hidden="false" customHeight="true" outlineLevel="0" collapsed="false">
      <c r="A906" s="9" t="s">
        <v>873</v>
      </c>
      <c r="B906" s="9"/>
      <c r="C906" s="9"/>
      <c r="D906" s="9"/>
      <c r="E906" s="9"/>
      <c r="F906" s="9"/>
      <c r="G906" s="9"/>
      <c r="H906" s="9"/>
    </row>
    <row r="907" customFormat="false" ht="42" hidden="false" customHeight="true" outlineLevel="0" collapsed="false">
      <c r="A907" s="10" t="s">
        <v>833</v>
      </c>
      <c r="B907" s="10"/>
      <c r="C907" s="10"/>
      <c r="D907" s="10"/>
      <c r="E907" s="10"/>
      <c r="F907" s="10"/>
      <c r="G907" s="10"/>
      <c r="H907" s="10"/>
    </row>
    <row r="908" customFormat="false" ht="42" hidden="false" customHeight="true" outlineLevel="0" collapsed="false">
      <c r="A908" s="11" t="s">
        <v>874</v>
      </c>
      <c r="B908" s="11"/>
      <c r="C908" s="11"/>
      <c r="D908" s="11"/>
      <c r="E908" s="11"/>
      <c r="F908" s="11"/>
      <c r="G908" s="11"/>
      <c r="H908" s="11"/>
    </row>
    <row r="909" customFormat="false" ht="33.75" hidden="false" customHeight="true" outlineLevel="0" collapsed="false">
      <c r="A909" s="12" t="s">
        <v>875</v>
      </c>
      <c r="B909" s="12"/>
      <c r="C909" s="12"/>
      <c r="D909" s="12"/>
      <c r="E909" s="12" t="s">
        <v>876</v>
      </c>
      <c r="F909" s="12"/>
      <c r="G909" s="12"/>
      <c r="H909" s="12"/>
    </row>
    <row r="910" customFormat="false" ht="33.75" hidden="false" customHeight="true" outlineLevel="0" collapsed="false">
      <c r="A910" s="12" t="s">
        <v>877</v>
      </c>
      <c r="B910" s="12"/>
      <c r="C910" s="12"/>
      <c r="D910" s="12"/>
      <c r="E910" s="12" t="s">
        <v>53</v>
      </c>
      <c r="F910" s="12"/>
      <c r="G910" s="12"/>
      <c r="H910" s="12"/>
    </row>
    <row r="911" customFormat="false" ht="24" hidden="false" customHeight="true" outlineLevel="0" collapsed="false">
      <c r="A911" s="13" t="s">
        <v>862</v>
      </c>
      <c r="B911" s="13"/>
      <c r="C911" s="13"/>
      <c r="D911" s="13"/>
      <c r="E911" s="13"/>
      <c r="F911" s="13"/>
      <c r="G911" s="13"/>
      <c r="H911" s="13"/>
    </row>
    <row r="912" customFormat="false" ht="7.5" hidden="false" customHeight="true" outlineLevel="0" collapsed="false"/>
    <row r="913" customFormat="false" ht="24" hidden="false" customHeight="true" outlineLevel="0" collapsed="false">
      <c r="A913" s="9" t="s">
        <v>878</v>
      </c>
      <c r="B913" s="9"/>
      <c r="C913" s="9"/>
      <c r="D913" s="9"/>
      <c r="E913" s="9"/>
      <c r="F913" s="9"/>
      <c r="G913" s="9"/>
      <c r="H913" s="9"/>
    </row>
    <row r="914" customFormat="false" ht="42" hidden="false" customHeight="true" outlineLevel="0" collapsed="false">
      <c r="A914" s="10" t="s">
        <v>833</v>
      </c>
      <c r="B914" s="10"/>
      <c r="C914" s="10"/>
      <c r="D914" s="10"/>
      <c r="E914" s="10"/>
      <c r="F914" s="10"/>
      <c r="G914" s="10"/>
      <c r="H914" s="10"/>
    </row>
    <row r="915" customFormat="false" ht="42" hidden="false" customHeight="true" outlineLevel="0" collapsed="false">
      <c r="A915" s="11" t="s">
        <v>879</v>
      </c>
      <c r="B915" s="11"/>
      <c r="C915" s="11"/>
      <c r="D915" s="11"/>
      <c r="E915" s="11"/>
      <c r="F915" s="11"/>
      <c r="G915" s="11"/>
      <c r="H915" s="11"/>
    </row>
    <row r="916" customFormat="false" ht="33.75" hidden="false" customHeight="true" outlineLevel="0" collapsed="false">
      <c r="A916" s="12" t="s">
        <v>880</v>
      </c>
      <c r="B916" s="12"/>
      <c r="C916" s="12"/>
      <c r="D916" s="12"/>
      <c r="E916" s="12" t="s">
        <v>881</v>
      </c>
      <c r="F916" s="12"/>
      <c r="G916" s="12"/>
      <c r="H916" s="12"/>
    </row>
    <row r="917" customFormat="false" ht="33.75" hidden="false" customHeight="true" outlineLevel="0" collapsed="false">
      <c r="A917" s="12" t="s">
        <v>882</v>
      </c>
      <c r="B917" s="12"/>
      <c r="C917" s="12"/>
      <c r="D917" s="12"/>
      <c r="E917" s="12" t="s">
        <v>267</v>
      </c>
      <c r="F917" s="12"/>
      <c r="G917" s="12"/>
      <c r="H917" s="12"/>
    </row>
    <row r="918" customFormat="false" ht="24" hidden="false" customHeight="true" outlineLevel="0" collapsed="false">
      <c r="A918" s="13" t="s">
        <v>883</v>
      </c>
      <c r="B918" s="13"/>
      <c r="C918" s="13"/>
      <c r="D918" s="13"/>
      <c r="E918" s="13"/>
      <c r="F918" s="13"/>
      <c r="G918" s="13"/>
      <c r="H918" s="13"/>
    </row>
    <row r="919" customFormat="false" ht="7.5" hidden="false" customHeight="true" outlineLevel="0" collapsed="false"/>
    <row r="920" customFormat="false" ht="24" hidden="false" customHeight="true" outlineLevel="0" collapsed="false">
      <c r="A920" s="9" t="s">
        <v>884</v>
      </c>
      <c r="B920" s="9"/>
      <c r="C920" s="9"/>
      <c r="D920" s="9"/>
      <c r="E920" s="9"/>
      <c r="F920" s="9"/>
      <c r="G920" s="9"/>
      <c r="H920" s="9"/>
    </row>
    <row r="921" customFormat="false" ht="42" hidden="false" customHeight="true" outlineLevel="0" collapsed="false">
      <c r="A921" s="10" t="s">
        <v>833</v>
      </c>
      <c r="B921" s="10"/>
      <c r="C921" s="10"/>
      <c r="D921" s="10"/>
      <c r="E921" s="10"/>
      <c r="F921" s="10"/>
      <c r="G921" s="10"/>
      <c r="H921" s="10"/>
    </row>
    <row r="922" customFormat="false" ht="45.75" hidden="false" customHeight="true" outlineLevel="0" collapsed="false">
      <c r="A922" s="11" t="s">
        <v>885</v>
      </c>
      <c r="B922" s="11"/>
      <c r="C922" s="11"/>
      <c r="D922" s="11"/>
      <c r="E922" s="11"/>
      <c r="F922" s="11"/>
      <c r="G922" s="11"/>
      <c r="H922" s="11"/>
    </row>
    <row r="923" customFormat="false" ht="33.75" hidden="false" customHeight="true" outlineLevel="0" collapsed="false">
      <c r="A923" s="12" t="s">
        <v>886</v>
      </c>
      <c r="B923" s="12"/>
      <c r="C923" s="12"/>
      <c r="D923" s="12"/>
      <c r="E923" s="12" t="s">
        <v>887</v>
      </c>
      <c r="F923" s="12"/>
      <c r="G923" s="12"/>
      <c r="H923" s="12"/>
    </row>
    <row r="924" customFormat="false" ht="33.75" hidden="false" customHeight="true" outlineLevel="0" collapsed="false">
      <c r="A924" s="12" t="s">
        <v>888</v>
      </c>
      <c r="B924" s="12"/>
      <c r="C924" s="12"/>
      <c r="D924" s="12"/>
      <c r="E924" s="12" t="s">
        <v>889</v>
      </c>
      <c r="F924" s="12"/>
      <c r="G924" s="12"/>
      <c r="H924" s="12"/>
    </row>
    <row r="925" customFormat="false" ht="24" hidden="false" customHeight="true" outlineLevel="0" collapsed="false">
      <c r="A925" s="13" t="s">
        <v>883</v>
      </c>
      <c r="B925" s="13"/>
      <c r="C925" s="13"/>
      <c r="D925" s="13"/>
      <c r="E925" s="13"/>
      <c r="F925" s="13"/>
      <c r="G925" s="13"/>
      <c r="H925" s="13"/>
    </row>
    <row r="926" customFormat="false" ht="7.5" hidden="false" customHeight="true" outlineLevel="0" collapsed="false"/>
    <row r="927" customFormat="false" ht="24" hidden="false" customHeight="true" outlineLevel="0" collapsed="false">
      <c r="A927" s="9" t="s">
        <v>890</v>
      </c>
      <c r="B927" s="9"/>
      <c r="C927" s="9"/>
      <c r="D927" s="9"/>
      <c r="E927" s="9"/>
      <c r="F927" s="9"/>
      <c r="G927" s="9"/>
      <c r="H927" s="9"/>
    </row>
    <row r="928" customFormat="false" ht="42" hidden="false" customHeight="true" outlineLevel="0" collapsed="false">
      <c r="A928" s="10" t="s">
        <v>833</v>
      </c>
      <c r="B928" s="10"/>
      <c r="C928" s="10"/>
      <c r="D928" s="10"/>
      <c r="E928" s="10"/>
      <c r="F928" s="10"/>
      <c r="G928" s="10"/>
      <c r="H928" s="10"/>
    </row>
    <row r="929" customFormat="false" ht="42" hidden="false" customHeight="true" outlineLevel="0" collapsed="false">
      <c r="A929" s="11" t="s">
        <v>891</v>
      </c>
      <c r="B929" s="11"/>
      <c r="C929" s="11"/>
      <c r="D929" s="11"/>
      <c r="E929" s="11"/>
      <c r="F929" s="11"/>
      <c r="G929" s="11"/>
      <c r="H929" s="11"/>
    </row>
    <row r="930" customFormat="false" ht="54.75" hidden="false" customHeight="true" outlineLevel="0" collapsed="false">
      <c r="A930" s="12" t="s">
        <v>892</v>
      </c>
      <c r="B930" s="12"/>
      <c r="C930" s="12"/>
      <c r="D930" s="12"/>
      <c r="E930" s="12" t="s">
        <v>893</v>
      </c>
      <c r="F930" s="12"/>
      <c r="G930" s="12"/>
      <c r="H930" s="12"/>
    </row>
    <row r="931" customFormat="false" ht="54.75" hidden="false" customHeight="true" outlineLevel="0" collapsed="false">
      <c r="A931" s="12" t="s">
        <v>894</v>
      </c>
      <c r="B931" s="12"/>
      <c r="C931" s="12"/>
      <c r="D931" s="12"/>
      <c r="E931" s="12" t="s">
        <v>895</v>
      </c>
      <c r="F931" s="12"/>
      <c r="G931" s="12"/>
      <c r="H931" s="12"/>
    </row>
    <row r="932" customFormat="false" ht="24" hidden="false" customHeight="true" outlineLevel="0" collapsed="false">
      <c r="A932" s="13" t="s">
        <v>883</v>
      </c>
      <c r="B932" s="13"/>
      <c r="C932" s="13"/>
      <c r="D932" s="13"/>
      <c r="E932" s="13"/>
      <c r="F932" s="13"/>
      <c r="G932" s="13"/>
      <c r="H932" s="13"/>
    </row>
    <row r="933" customFormat="false" ht="7.5" hidden="false" customHeight="true" outlineLevel="0" collapsed="false"/>
    <row r="934" customFormat="false" ht="24" hidden="false" customHeight="true" outlineLevel="0" collapsed="false">
      <c r="A934" s="9" t="s">
        <v>896</v>
      </c>
      <c r="B934" s="9"/>
      <c r="C934" s="9"/>
      <c r="D934" s="9"/>
      <c r="E934" s="9"/>
      <c r="F934" s="9"/>
      <c r="G934" s="9"/>
      <c r="H934" s="9"/>
    </row>
    <row r="935" customFormat="false" ht="42" hidden="false" customHeight="true" outlineLevel="0" collapsed="false">
      <c r="A935" s="10" t="s">
        <v>833</v>
      </c>
      <c r="B935" s="10"/>
      <c r="C935" s="10"/>
      <c r="D935" s="10"/>
      <c r="E935" s="10"/>
      <c r="F935" s="10"/>
      <c r="G935" s="10"/>
      <c r="H935" s="10"/>
    </row>
    <row r="936" customFormat="false" ht="42" hidden="false" customHeight="true" outlineLevel="0" collapsed="false">
      <c r="A936" s="11" t="s">
        <v>897</v>
      </c>
      <c r="B936" s="11"/>
      <c r="C936" s="11"/>
      <c r="D936" s="11"/>
      <c r="E936" s="11"/>
      <c r="F936" s="11"/>
      <c r="G936" s="11"/>
      <c r="H936" s="11"/>
    </row>
    <row r="937" customFormat="false" ht="42" hidden="false" customHeight="true" outlineLevel="0" collapsed="false">
      <c r="A937" s="12" t="s">
        <v>898</v>
      </c>
      <c r="B937" s="12"/>
      <c r="C937" s="12"/>
      <c r="D937" s="12"/>
      <c r="E937" s="12" t="s">
        <v>899</v>
      </c>
      <c r="F937" s="12"/>
      <c r="G937" s="12"/>
      <c r="H937" s="12"/>
    </row>
    <row r="938" customFormat="false" ht="54.75" hidden="false" customHeight="true" outlineLevel="0" collapsed="false">
      <c r="A938" s="12" t="s">
        <v>900</v>
      </c>
      <c r="B938" s="12"/>
      <c r="C938" s="12"/>
      <c r="D938" s="12"/>
      <c r="E938" s="12" t="s">
        <v>901</v>
      </c>
      <c r="F938" s="12"/>
      <c r="G938" s="12"/>
      <c r="H938" s="12"/>
    </row>
    <row r="939" customFormat="false" ht="24" hidden="false" customHeight="true" outlineLevel="0" collapsed="false">
      <c r="A939" s="13" t="s">
        <v>883</v>
      </c>
      <c r="B939" s="13"/>
      <c r="C939" s="13"/>
      <c r="D939" s="13"/>
      <c r="E939" s="13"/>
      <c r="F939" s="13"/>
      <c r="G939" s="13"/>
      <c r="H939" s="13"/>
    </row>
    <row r="940" customFormat="false" ht="7.5" hidden="false" customHeight="true" outlineLevel="0" collapsed="false"/>
    <row r="941" customFormat="false" ht="24" hidden="false" customHeight="true" outlineLevel="0" collapsed="false">
      <c r="A941" s="9" t="s">
        <v>902</v>
      </c>
      <c r="B941" s="9"/>
      <c r="C941" s="9"/>
      <c r="D941" s="9"/>
      <c r="E941" s="9"/>
      <c r="F941" s="9"/>
      <c r="G941" s="9"/>
      <c r="H941" s="9"/>
    </row>
    <row r="942" customFormat="false" ht="42" hidden="false" customHeight="true" outlineLevel="0" collapsed="false">
      <c r="A942" s="10" t="s">
        <v>833</v>
      </c>
      <c r="B942" s="10"/>
      <c r="C942" s="10"/>
      <c r="D942" s="10"/>
      <c r="E942" s="10"/>
      <c r="F942" s="10"/>
      <c r="G942" s="10"/>
      <c r="H942" s="10"/>
    </row>
    <row r="943" customFormat="false" ht="60" hidden="false" customHeight="true" outlineLevel="0" collapsed="false">
      <c r="A943" s="11" t="s">
        <v>903</v>
      </c>
      <c r="B943" s="11"/>
      <c r="C943" s="11"/>
      <c r="D943" s="11"/>
      <c r="E943" s="11"/>
      <c r="F943" s="11"/>
      <c r="G943" s="11"/>
      <c r="H943" s="11"/>
    </row>
    <row r="944" customFormat="false" ht="54.75" hidden="false" customHeight="true" outlineLevel="0" collapsed="false">
      <c r="A944" s="12" t="s">
        <v>904</v>
      </c>
      <c r="B944" s="12"/>
      <c r="C944" s="12"/>
      <c r="D944" s="12"/>
      <c r="E944" s="12" t="s">
        <v>905</v>
      </c>
      <c r="F944" s="12"/>
      <c r="G944" s="12"/>
      <c r="H944" s="12"/>
    </row>
    <row r="945" customFormat="false" ht="42" hidden="false" customHeight="true" outlineLevel="0" collapsed="false">
      <c r="A945" s="12" t="s">
        <v>906</v>
      </c>
      <c r="B945" s="12"/>
      <c r="C945" s="12"/>
      <c r="D945" s="12"/>
      <c r="E945" s="12" t="s">
        <v>907</v>
      </c>
      <c r="F945" s="12"/>
      <c r="G945" s="12"/>
      <c r="H945" s="12"/>
    </row>
    <row r="946" customFormat="false" ht="24" hidden="false" customHeight="true" outlineLevel="0" collapsed="false">
      <c r="A946" s="13" t="s">
        <v>908</v>
      </c>
      <c r="B946" s="13"/>
      <c r="C946" s="13"/>
      <c r="D946" s="13"/>
      <c r="E946" s="13"/>
      <c r="F946" s="13"/>
      <c r="G946" s="13"/>
      <c r="H946" s="13"/>
    </row>
    <row r="947" customFormat="false" ht="7.5" hidden="false" customHeight="true" outlineLevel="0" collapsed="false"/>
    <row r="948" customFormat="false" ht="24" hidden="false" customHeight="true" outlineLevel="0" collapsed="false">
      <c r="A948" s="9" t="s">
        <v>909</v>
      </c>
      <c r="B948" s="9"/>
      <c r="C948" s="9"/>
      <c r="D948" s="9"/>
      <c r="E948" s="9"/>
      <c r="F948" s="9"/>
      <c r="G948" s="9"/>
      <c r="H948" s="9"/>
    </row>
    <row r="949" customFormat="false" ht="42" hidden="false" customHeight="true" outlineLevel="0" collapsed="false">
      <c r="A949" s="10" t="s">
        <v>833</v>
      </c>
      <c r="B949" s="10"/>
      <c r="C949" s="10"/>
      <c r="D949" s="10"/>
      <c r="E949" s="10"/>
      <c r="F949" s="10"/>
      <c r="G949" s="10"/>
      <c r="H949" s="10"/>
    </row>
    <row r="950" customFormat="false" ht="42" hidden="false" customHeight="true" outlineLevel="0" collapsed="false">
      <c r="A950" s="11" t="s">
        <v>910</v>
      </c>
      <c r="B950" s="11"/>
      <c r="C950" s="11"/>
      <c r="D950" s="11"/>
      <c r="E950" s="11"/>
      <c r="F950" s="11"/>
      <c r="G950" s="11"/>
      <c r="H950" s="11"/>
    </row>
    <row r="951" customFormat="false" ht="42" hidden="false" customHeight="true" outlineLevel="0" collapsed="false">
      <c r="A951" s="12" t="s">
        <v>911</v>
      </c>
      <c r="B951" s="12"/>
      <c r="C951" s="12"/>
      <c r="D951" s="12"/>
      <c r="E951" s="12" t="s">
        <v>912</v>
      </c>
      <c r="F951" s="12"/>
      <c r="G951" s="12"/>
      <c r="H951" s="12"/>
    </row>
    <row r="952" customFormat="false" ht="42" hidden="false" customHeight="true" outlineLevel="0" collapsed="false">
      <c r="A952" s="12" t="s">
        <v>913</v>
      </c>
      <c r="B952" s="12"/>
      <c r="C952" s="12"/>
      <c r="D952" s="12"/>
      <c r="E952" s="12" t="s">
        <v>914</v>
      </c>
      <c r="F952" s="12"/>
      <c r="G952" s="12"/>
      <c r="H952" s="12"/>
    </row>
    <row r="953" customFormat="false" ht="24" hidden="false" customHeight="true" outlineLevel="0" collapsed="false">
      <c r="A953" s="13" t="s">
        <v>908</v>
      </c>
      <c r="B953" s="13"/>
      <c r="C953" s="13"/>
      <c r="D953" s="13"/>
      <c r="E953" s="13"/>
      <c r="F953" s="13"/>
      <c r="G953" s="13"/>
      <c r="H953" s="13"/>
    </row>
    <row r="954" customFormat="false" ht="7.5" hidden="false" customHeight="true" outlineLevel="0" collapsed="false"/>
    <row r="955" customFormat="false" ht="24" hidden="false" customHeight="true" outlineLevel="0" collapsed="false">
      <c r="A955" s="9" t="s">
        <v>915</v>
      </c>
      <c r="B955" s="9"/>
      <c r="C955" s="9"/>
      <c r="D955" s="9"/>
      <c r="E955" s="9"/>
      <c r="F955" s="9"/>
      <c r="G955" s="9"/>
      <c r="H955" s="9"/>
    </row>
    <row r="956" customFormat="false" ht="60.75" hidden="false" customHeight="true" outlineLevel="0" collapsed="false">
      <c r="A956" s="10" t="s">
        <v>916</v>
      </c>
      <c r="B956" s="10"/>
      <c r="C956" s="10"/>
      <c r="D956" s="10"/>
      <c r="E956" s="10"/>
      <c r="F956" s="10"/>
      <c r="G956" s="10"/>
      <c r="H956" s="10"/>
    </row>
    <row r="957" customFormat="false" ht="42" hidden="false" customHeight="true" outlineLevel="0" collapsed="false">
      <c r="A957" s="11" t="s">
        <v>917</v>
      </c>
      <c r="B957" s="11"/>
      <c r="C957" s="11"/>
      <c r="D957" s="11"/>
      <c r="E957" s="11"/>
      <c r="F957" s="11"/>
      <c r="G957" s="11"/>
      <c r="H957" s="11"/>
    </row>
    <row r="958" customFormat="false" ht="42" hidden="false" customHeight="true" outlineLevel="0" collapsed="false">
      <c r="A958" s="12" t="s">
        <v>918</v>
      </c>
      <c r="B958" s="12"/>
      <c r="C958" s="12"/>
      <c r="D958" s="12"/>
      <c r="E958" s="12" t="s">
        <v>919</v>
      </c>
      <c r="F958" s="12"/>
      <c r="G958" s="12"/>
      <c r="H958" s="12"/>
    </row>
    <row r="959" customFormat="false" ht="42" hidden="false" customHeight="true" outlineLevel="0" collapsed="false">
      <c r="A959" s="12" t="s">
        <v>920</v>
      </c>
      <c r="B959" s="12"/>
      <c r="C959" s="12"/>
      <c r="D959" s="12"/>
      <c r="E959" s="12" t="s">
        <v>921</v>
      </c>
      <c r="F959" s="12"/>
      <c r="G959" s="12"/>
      <c r="H959" s="12"/>
    </row>
    <row r="960" customFormat="false" ht="24" hidden="false" customHeight="true" outlineLevel="0" collapsed="false">
      <c r="A960" s="13" t="s">
        <v>922</v>
      </c>
      <c r="B960" s="13"/>
      <c r="C960" s="13"/>
      <c r="D960" s="13"/>
      <c r="E960" s="13"/>
      <c r="F960" s="13"/>
      <c r="G960" s="13"/>
      <c r="H960" s="13"/>
    </row>
    <row r="961" customFormat="false" ht="7.5" hidden="false" customHeight="true" outlineLevel="0" collapsed="false"/>
    <row r="962" customFormat="false" ht="24" hidden="false" customHeight="true" outlineLevel="0" collapsed="false">
      <c r="A962" s="9" t="s">
        <v>923</v>
      </c>
      <c r="B962" s="9"/>
      <c r="C962" s="9"/>
      <c r="D962" s="9"/>
      <c r="E962" s="9"/>
      <c r="F962" s="9"/>
      <c r="G962" s="9"/>
      <c r="H962" s="9"/>
    </row>
    <row r="963" customFormat="false" ht="48" hidden="false" customHeight="true" outlineLevel="0" collapsed="false">
      <c r="A963" s="10" t="s">
        <v>924</v>
      </c>
      <c r="B963" s="10"/>
      <c r="C963" s="10"/>
      <c r="D963" s="10"/>
      <c r="E963" s="10"/>
      <c r="F963" s="10"/>
      <c r="G963" s="10"/>
      <c r="H963" s="10"/>
    </row>
    <row r="964" customFormat="false" ht="42" hidden="false" customHeight="true" outlineLevel="0" collapsed="false">
      <c r="A964" s="11" t="s">
        <v>925</v>
      </c>
      <c r="B964" s="11"/>
      <c r="C964" s="11"/>
      <c r="D964" s="11"/>
      <c r="E964" s="11"/>
      <c r="F964" s="11"/>
      <c r="G964" s="11"/>
      <c r="H964" s="11"/>
    </row>
    <row r="965" customFormat="false" ht="33.75" hidden="false" customHeight="true" outlineLevel="0" collapsed="false">
      <c r="A965" s="12" t="s">
        <v>926</v>
      </c>
      <c r="B965" s="12"/>
      <c r="C965" s="12"/>
      <c r="D965" s="12"/>
      <c r="E965" s="12" t="s">
        <v>927</v>
      </c>
      <c r="F965" s="12"/>
      <c r="G965" s="12"/>
      <c r="H965" s="12"/>
    </row>
    <row r="966" customFormat="false" ht="33.75" hidden="false" customHeight="true" outlineLevel="0" collapsed="false">
      <c r="A966" s="12" t="s">
        <v>928</v>
      </c>
      <c r="B966" s="12"/>
      <c r="C966" s="12"/>
      <c r="D966" s="12"/>
      <c r="E966" s="12" t="s">
        <v>929</v>
      </c>
      <c r="F966" s="12"/>
      <c r="G966" s="12"/>
      <c r="H966" s="12"/>
    </row>
    <row r="967" customFormat="false" ht="24" hidden="false" customHeight="true" outlineLevel="0" collapsed="false">
      <c r="A967" s="13" t="s">
        <v>930</v>
      </c>
      <c r="B967" s="13"/>
      <c r="C967" s="13"/>
      <c r="D967" s="13"/>
      <c r="E967" s="13"/>
      <c r="F967" s="13"/>
      <c r="G967" s="13"/>
      <c r="H967" s="13"/>
    </row>
    <row r="968" customFormat="false" ht="7.5" hidden="false" customHeight="true" outlineLevel="0" collapsed="false"/>
    <row r="969" customFormat="false" ht="24" hidden="false" customHeight="true" outlineLevel="0" collapsed="false">
      <c r="A969" s="9" t="s">
        <v>931</v>
      </c>
      <c r="B969" s="9"/>
      <c r="C969" s="9"/>
      <c r="D969" s="9"/>
      <c r="E969" s="9"/>
      <c r="F969" s="9"/>
      <c r="G969" s="9"/>
      <c r="H969" s="9"/>
    </row>
    <row r="970" customFormat="false" ht="151.5" hidden="false" customHeight="true" outlineLevel="0" collapsed="false">
      <c r="A970" s="10" t="s">
        <v>932</v>
      </c>
      <c r="B970" s="10"/>
      <c r="C970" s="10"/>
      <c r="D970" s="10"/>
      <c r="E970" s="10"/>
      <c r="F970" s="10"/>
      <c r="G970" s="10"/>
      <c r="H970" s="10"/>
    </row>
    <row r="971" customFormat="false" ht="112.5" hidden="false" customHeight="true" outlineLevel="0" collapsed="false">
      <c r="A971" s="10" t="s">
        <v>933</v>
      </c>
      <c r="B971" s="10"/>
      <c r="C971" s="10"/>
      <c r="D971" s="10"/>
      <c r="E971" s="10"/>
      <c r="F971" s="10"/>
      <c r="G971" s="10"/>
      <c r="H971" s="10"/>
    </row>
    <row r="972" customFormat="false" ht="42" hidden="false" customHeight="true" outlineLevel="0" collapsed="false">
      <c r="A972" s="11" t="s">
        <v>934</v>
      </c>
      <c r="B972" s="11"/>
      <c r="C972" s="11"/>
      <c r="D972" s="11"/>
      <c r="E972" s="11"/>
      <c r="F972" s="11"/>
      <c r="G972" s="11"/>
      <c r="H972" s="11"/>
    </row>
    <row r="973" customFormat="false" ht="33.75" hidden="false" customHeight="true" outlineLevel="0" collapsed="false">
      <c r="A973" s="12" t="s">
        <v>935</v>
      </c>
      <c r="B973" s="12"/>
      <c r="C973" s="12"/>
      <c r="D973" s="12"/>
      <c r="E973" s="12" t="s">
        <v>936</v>
      </c>
      <c r="F973" s="12"/>
      <c r="G973" s="12"/>
      <c r="H973" s="12"/>
    </row>
    <row r="974" customFormat="false" ht="33.75" hidden="false" customHeight="true" outlineLevel="0" collapsed="false">
      <c r="A974" s="12" t="s">
        <v>937</v>
      </c>
      <c r="B974" s="12"/>
      <c r="C974" s="12"/>
      <c r="D974" s="12"/>
      <c r="E974" s="12" t="s">
        <v>938</v>
      </c>
      <c r="F974" s="12"/>
      <c r="G974" s="12"/>
      <c r="H974" s="12"/>
    </row>
    <row r="975" customFormat="false" ht="24" hidden="false" customHeight="true" outlineLevel="0" collapsed="false">
      <c r="A975" s="13" t="s">
        <v>939</v>
      </c>
      <c r="B975" s="13"/>
      <c r="C975" s="13"/>
      <c r="D975" s="13"/>
      <c r="E975" s="13"/>
      <c r="F975" s="13"/>
      <c r="G975" s="13"/>
      <c r="H975" s="13"/>
    </row>
    <row r="976" customFormat="false" ht="7.5" hidden="false" customHeight="true" outlineLevel="0" collapsed="false"/>
    <row r="977" customFormat="false" ht="24" hidden="false" customHeight="true" outlineLevel="0" collapsed="false">
      <c r="A977" s="9" t="s">
        <v>940</v>
      </c>
      <c r="B977" s="9"/>
      <c r="C977" s="9"/>
      <c r="D977" s="9"/>
      <c r="E977" s="9"/>
      <c r="F977" s="9"/>
      <c r="G977" s="9"/>
      <c r="H977" s="9"/>
    </row>
    <row r="978" customFormat="false" ht="48" hidden="false" customHeight="true" outlineLevel="0" collapsed="false">
      <c r="A978" s="10" t="s">
        <v>941</v>
      </c>
      <c r="B978" s="10"/>
      <c r="C978" s="10"/>
      <c r="D978" s="10"/>
      <c r="E978" s="10"/>
      <c r="F978" s="10"/>
      <c r="G978" s="10"/>
      <c r="H978" s="10"/>
    </row>
    <row r="979" customFormat="false" ht="42" hidden="false" customHeight="true" outlineLevel="0" collapsed="false">
      <c r="A979" s="11" t="s">
        <v>942</v>
      </c>
      <c r="B979" s="11"/>
      <c r="C979" s="11"/>
      <c r="D979" s="11"/>
      <c r="E979" s="11"/>
      <c r="F979" s="11"/>
      <c r="G979" s="11"/>
      <c r="H979" s="11"/>
    </row>
    <row r="980" customFormat="false" ht="42" hidden="false" customHeight="true" outlineLevel="0" collapsed="false">
      <c r="A980" s="12" t="s">
        <v>943</v>
      </c>
      <c r="B980" s="12"/>
      <c r="C980" s="12"/>
      <c r="D980" s="12"/>
      <c r="E980" s="12" t="s">
        <v>944</v>
      </c>
      <c r="F980" s="12"/>
      <c r="G980" s="12"/>
      <c r="H980" s="12"/>
    </row>
    <row r="981" customFormat="false" ht="42" hidden="false" customHeight="true" outlineLevel="0" collapsed="false">
      <c r="A981" s="12" t="s">
        <v>945</v>
      </c>
      <c r="B981" s="12"/>
      <c r="C981" s="12"/>
      <c r="D981" s="12"/>
      <c r="E981" s="12" t="s">
        <v>53</v>
      </c>
      <c r="F981" s="12"/>
      <c r="G981" s="12"/>
      <c r="H981" s="12"/>
    </row>
    <row r="982" customFormat="false" ht="24" hidden="false" customHeight="true" outlineLevel="0" collapsed="false">
      <c r="A982" s="13" t="s">
        <v>946</v>
      </c>
      <c r="B982" s="13"/>
      <c r="C982" s="13"/>
      <c r="D982" s="13"/>
      <c r="E982" s="13"/>
      <c r="F982" s="13"/>
      <c r="G982" s="13"/>
      <c r="H982" s="13"/>
    </row>
    <row r="983" customFormat="false" ht="7.5" hidden="false" customHeight="true" outlineLevel="0" collapsed="false"/>
    <row r="984" customFormat="false" ht="24" hidden="false" customHeight="true" outlineLevel="0" collapsed="false">
      <c r="A984" s="9" t="s">
        <v>947</v>
      </c>
      <c r="B984" s="9"/>
      <c r="C984" s="9"/>
      <c r="D984" s="9"/>
      <c r="E984" s="9"/>
      <c r="F984" s="9"/>
      <c r="G984" s="9"/>
      <c r="H984" s="9"/>
    </row>
    <row r="985" customFormat="false" ht="48" hidden="false" customHeight="true" outlineLevel="0" collapsed="false">
      <c r="A985" s="10" t="s">
        <v>941</v>
      </c>
      <c r="B985" s="10"/>
      <c r="C985" s="10"/>
      <c r="D985" s="10"/>
      <c r="E985" s="10"/>
      <c r="F985" s="10"/>
      <c r="G985" s="10"/>
      <c r="H985" s="10"/>
    </row>
    <row r="986" customFormat="false" ht="42" hidden="false" customHeight="true" outlineLevel="0" collapsed="false">
      <c r="A986" s="11" t="s">
        <v>948</v>
      </c>
      <c r="B986" s="11"/>
      <c r="C986" s="11"/>
      <c r="D986" s="11"/>
      <c r="E986" s="11"/>
      <c r="F986" s="11"/>
      <c r="G986" s="11"/>
      <c r="H986" s="11"/>
    </row>
    <row r="987" customFormat="false" ht="42" hidden="false" customHeight="true" outlineLevel="0" collapsed="false">
      <c r="A987" s="12" t="s">
        <v>949</v>
      </c>
      <c r="B987" s="12"/>
      <c r="C987" s="12"/>
      <c r="D987" s="12"/>
      <c r="E987" s="12" t="s">
        <v>950</v>
      </c>
      <c r="F987" s="12"/>
      <c r="G987" s="12"/>
      <c r="H987" s="12"/>
    </row>
    <row r="988" customFormat="false" ht="33.75" hidden="false" customHeight="true" outlineLevel="0" collapsed="false">
      <c r="A988" s="12" t="s">
        <v>951</v>
      </c>
      <c r="B988" s="12"/>
      <c r="C988" s="12"/>
      <c r="D988" s="12"/>
      <c r="E988" s="12" t="s">
        <v>267</v>
      </c>
      <c r="F988" s="12"/>
      <c r="G988" s="12"/>
      <c r="H988" s="12"/>
    </row>
    <row r="989" customFormat="false" ht="24" hidden="false" customHeight="true" outlineLevel="0" collapsed="false">
      <c r="A989" s="13" t="s">
        <v>946</v>
      </c>
      <c r="B989" s="13"/>
      <c r="C989" s="13"/>
      <c r="D989" s="13"/>
      <c r="E989" s="13"/>
      <c r="F989" s="13"/>
      <c r="G989" s="13"/>
      <c r="H989" s="13"/>
    </row>
    <row r="990" customFormat="false" ht="7.5" hidden="false" customHeight="true" outlineLevel="0" collapsed="false"/>
    <row r="991" customFormat="false" ht="24" hidden="false" customHeight="true" outlineLevel="0" collapsed="false">
      <c r="A991" s="9" t="s">
        <v>952</v>
      </c>
      <c r="B991" s="9"/>
      <c r="C991" s="9"/>
      <c r="D991" s="9"/>
      <c r="E991" s="9"/>
      <c r="F991" s="9"/>
      <c r="G991" s="9"/>
      <c r="H991" s="9"/>
    </row>
    <row r="992" customFormat="false" ht="165" hidden="false" customHeight="true" outlineLevel="0" collapsed="false">
      <c r="A992" s="10" t="s">
        <v>953</v>
      </c>
      <c r="B992" s="10"/>
      <c r="C992" s="10"/>
      <c r="D992" s="10"/>
      <c r="E992" s="10"/>
      <c r="F992" s="10"/>
      <c r="G992" s="10"/>
      <c r="H992" s="10"/>
    </row>
    <row r="993" customFormat="false" ht="165" hidden="false" customHeight="true" outlineLevel="0" collapsed="false">
      <c r="A993" s="10" t="s">
        <v>954</v>
      </c>
      <c r="B993" s="10"/>
      <c r="C993" s="10"/>
      <c r="D993" s="10"/>
      <c r="E993" s="10"/>
      <c r="F993" s="10"/>
      <c r="G993" s="10"/>
      <c r="H993" s="10"/>
    </row>
    <row r="994" customFormat="false" ht="48" hidden="false" customHeight="true" outlineLevel="0" collapsed="false">
      <c r="A994" s="10" t="s">
        <v>955</v>
      </c>
      <c r="B994" s="10"/>
      <c r="C994" s="10"/>
      <c r="D994" s="10"/>
      <c r="E994" s="10"/>
      <c r="F994" s="10"/>
      <c r="G994" s="10"/>
      <c r="H994" s="10"/>
    </row>
    <row r="995" customFormat="false" ht="42" hidden="false" customHeight="true" outlineLevel="0" collapsed="false">
      <c r="A995" s="11" t="s">
        <v>956</v>
      </c>
      <c r="B995" s="11"/>
      <c r="C995" s="11"/>
      <c r="D995" s="11"/>
      <c r="E995" s="11"/>
      <c r="F995" s="11"/>
      <c r="G995" s="11"/>
      <c r="H995" s="11"/>
    </row>
    <row r="996" customFormat="false" ht="33.75" hidden="false" customHeight="true" outlineLevel="0" collapsed="false">
      <c r="A996" s="12" t="s">
        <v>957</v>
      </c>
      <c r="B996" s="12"/>
      <c r="C996" s="12"/>
      <c r="D996" s="12"/>
      <c r="E996" s="12" t="s">
        <v>958</v>
      </c>
      <c r="F996" s="12"/>
      <c r="G996" s="12"/>
      <c r="H996" s="12"/>
    </row>
    <row r="997" customFormat="false" ht="33.75" hidden="false" customHeight="true" outlineLevel="0" collapsed="false">
      <c r="A997" s="12" t="s">
        <v>959</v>
      </c>
      <c r="B997" s="12"/>
      <c r="C997" s="12"/>
      <c r="D997" s="12"/>
      <c r="E997" s="12" t="s">
        <v>730</v>
      </c>
      <c r="F997" s="12"/>
      <c r="G997" s="12"/>
      <c r="H997" s="12"/>
    </row>
    <row r="998" customFormat="false" ht="24" hidden="false" customHeight="true" outlineLevel="0" collapsed="false">
      <c r="A998" s="13" t="s">
        <v>960</v>
      </c>
      <c r="B998" s="13"/>
      <c r="C998" s="13"/>
      <c r="D998" s="13"/>
      <c r="E998" s="13"/>
      <c r="F998" s="13"/>
      <c r="G998" s="13"/>
      <c r="H998" s="13"/>
    </row>
    <row r="999" customFormat="false" ht="7.5" hidden="false" customHeight="true" outlineLevel="0" collapsed="false"/>
    <row r="1000" customFormat="false" ht="24" hidden="false" customHeight="true" outlineLevel="0" collapsed="false">
      <c r="A1000" s="9" t="s">
        <v>961</v>
      </c>
      <c r="B1000" s="9"/>
      <c r="C1000" s="9"/>
      <c r="D1000" s="9"/>
      <c r="E1000" s="9"/>
      <c r="F1000" s="9"/>
      <c r="G1000" s="9"/>
      <c r="H1000" s="9"/>
    </row>
    <row r="1001" customFormat="false" ht="48" hidden="false" customHeight="true" outlineLevel="0" collapsed="false">
      <c r="A1001" s="10" t="s">
        <v>962</v>
      </c>
      <c r="B1001" s="10"/>
      <c r="C1001" s="10"/>
      <c r="D1001" s="10"/>
      <c r="E1001" s="10"/>
      <c r="F1001" s="10"/>
      <c r="G1001" s="10"/>
      <c r="H1001" s="10"/>
    </row>
    <row r="1002" customFormat="false" ht="42" hidden="false" customHeight="true" outlineLevel="0" collapsed="false">
      <c r="A1002" s="11" t="s">
        <v>963</v>
      </c>
      <c r="B1002" s="11"/>
      <c r="C1002" s="11"/>
      <c r="D1002" s="11"/>
      <c r="E1002" s="11"/>
      <c r="F1002" s="11"/>
      <c r="G1002" s="11"/>
      <c r="H1002" s="11"/>
    </row>
    <row r="1003" customFormat="false" ht="54.75" hidden="false" customHeight="true" outlineLevel="0" collapsed="false">
      <c r="A1003" s="12" t="s">
        <v>964</v>
      </c>
      <c r="B1003" s="12"/>
      <c r="C1003" s="12"/>
      <c r="D1003" s="12"/>
      <c r="E1003" s="12" t="s">
        <v>965</v>
      </c>
      <c r="F1003" s="12"/>
      <c r="G1003" s="12"/>
      <c r="H1003" s="12"/>
    </row>
    <row r="1004" customFormat="false" ht="54.75" hidden="false" customHeight="true" outlineLevel="0" collapsed="false">
      <c r="A1004" s="12" t="s">
        <v>966</v>
      </c>
      <c r="B1004" s="12"/>
      <c r="C1004" s="12"/>
      <c r="D1004" s="12"/>
      <c r="E1004" s="12" t="s">
        <v>967</v>
      </c>
      <c r="F1004" s="12"/>
      <c r="G1004" s="12"/>
      <c r="H1004" s="12"/>
    </row>
    <row r="1005" customFormat="false" ht="24" hidden="false" customHeight="true" outlineLevel="0" collapsed="false">
      <c r="A1005" s="13" t="s">
        <v>960</v>
      </c>
      <c r="B1005" s="13"/>
      <c r="C1005" s="13"/>
      <c r="D1005" s="13"/>
      <c r="E1005" s="13"/>
      <c r="F1005" s="13"/>
      <c r="G1005" s="13"/>
      <c r="H1005" s="13"/>
    </row>
    <row r="1006" customFormat="false" ht="7.5" hidden="false" customHeight="true" outlineLevel="0" collapsed="false"/>
    <row r="1007" customFormat="false" ht="24" hidden="false" customHeight="true" outlineLevel="0" collapsed="false">
      <c r="A1007" s="9" t="s">
        <v>968</v>
      </c>
      <c r="B1007" s="9"/>
      <c r="C1007" s="9"/>
      <c r="D1007" s="9"/>
      <c r="E1007" s="9"/>
      <c r="F1007" s="9"/>
      <c r="G1007" s="9"/>
      <c r="H1007" s="9"/>
    </row>
    <row r="1008" customFormat="false" ht="112.5" hidden="false" customHeight="true" outlineLevel="0" collapsed="false">
      <c r="A1008" s="10" t="s">
        <v>969</v>
      </c>
      <c r="B1008" s="10"/>
      <c r="C1008" s="10"/>
      <c r="D1008" s="10"/>
      <c r="E1008" s="10"/>
      <c r="F1008" s="10"/>
      <c r="G1008" s="10"/>
      <c r="H1008" s="10"/>
    </row>
    <row r="1009" customFormat="false" ht="216.75" hidden="false" customHeight="true" outlineLevel="0" collapsed="false">
      <c r="A1009" s="10" t="s">
        <v>970</v>
      </c>
      <c r="B1009" s="10"/>
      <c r="C1009" s="10"/>
      <c r="D1009" s="10"/>
      <c r="E1009" s="10"/>
      <c r="F1009" s="10"/>
      <c r="G1009" s="10"/>
      <c r="H1009" s="10"/>
    </row>
    <row r="1010" customFormat="false" ht="216.75" hidden="false" customHeight="true" outlineLevel="0" collapsed="false">
      <c r="A1010" s="10" t="s">
        <v>971</v>
      </c>
      <c r="B1010" s="10"/>
      <c r="C1010" s="10"/>
      <c r="D1010" s="10"/>
      <c r="E1010" s="10"/>
      <c r="F1010" s="10"/>
      <c r="G1010" s="10"/>
      <c r="H1010" s="10"/>
    </row>
    <row r="1011" customFormat="false" ht="229.5" hidden="false" customHeight="true" outlineLevel="0" collapsed="false">
      <c r="A1011" s="10" t="s">
        <v>972</v>
      </c>
      <c r="B1011" s="10"/>
      <c r="C1011" s="10"/>
      <c r="D1011" s="10"/>
      <c r="E1011" s="10"/>
      <c r="F1011" s="10"/>
      <c r="G1011" s="10"/>
      <c r="H1011" s="10"/>
    </row>
    <row r="1012" customFormat="false" ht="165" hidden="false" customHeight="true" outlineLevel="0" collapsed="false">
      <c r="A1012" s="10" t="s">
        <v>973</v>
      </c>
      <c r="B1012" s="10"/>
      <c r="C1012" s="10"/>
      <c r="D1012" s="10"/>
      <c r="E1012" s="10"/>
      <c r="F1012" s="10"/>
      <c r="G1012" s="10"/>
      <c r="H1012" s="10"/>
    </row>
    <row r="1013" customFormat="false" ht="60.75" hidden="false" customHeight="true" outlineLevel="0" collapsed="false">
      <c r="A1013" s="10" t="s">
        <v>974</v>
      </c>
      <c r="B1013" s="10"/>
      <c r="C1013" s="10"/>
      <c r="D1013" s="10"/>
      <c r="E1013" s="10"/>
      <c r="F1013" s="10"/>
      <c r="G1013" s="10"/>
      <c r="H1013" s="10"/>
    </row>
    <row r="1014" customFormat="false" ht="87" hidden="false" customHeight="true" outlineLevel="0" collapsed="false">
      <c r="A1014" s="10" t="s">
        <v>975</v>
      </c>
      <c r="B1014" s="10"/>
      <c r="C1014" s="10"/>
      <c r="D1014" s="10"/>
      <c r="E1014" s="10"/>
      <c r="F1014" s="10"/>
      <c r="G1014" s="10"/>
      <c r="H1014" s="10"/>
    </row>
    <row r="1015" customFormat="false" ht="216.75" hidden="false" customHeight="true" outlineLevel="0" collapsed="false">
      <c r="A1015" s="10" t="s">
        <v>976</v>
      </c>
      <c r="B1015" s="10"/>
      <c r="C1015" s="10"/>
      <c r="D1015" s="10"/>
      <c r="E1015" s="10"/>
      <c r="F1015" s="10"/>
      <c r="G1015" s="10"/>
      <c r="H1015" s="10"/>
    </row>
    <row r="1016" customFormat="false" ht="165" hidden="false" customHeight="true" outlineLevel="0" collapsed="false">
      <c r="A1016" s="10" t="s">
        <v>977</v>
      </c>
      <c r="B1016" s="10"/>
      <c r="C1016" s="10"/>
      <c r="D1016" s="10"/>
      <c r="E1016" s="10"/>
      <c r="F1016" s="10"/>
      <c r="G1016" s="10"/>
      <c r="H1016" s="10"/>
    </row>
    <row r="1017" customFormat="false" ht="60.75" hidden="false" customHeight="true" outlineLevel="0" collapsed="false">
      <c r="A1017" s="10" t="s">
        <v>978</v>
      </c>
      <c r="B1017" s="10"/>
      <c r="C1017" s="10"/>
      <c r="D1017" s="10"/>
      <c r="E1017" s="10"/>
      <c r="F1017" s="10"/>
      <c r="G1017" s="10"/>
      <c r="H1017" s="10"/>
    </row>
    <row r="1018" customFormat="false" ht="73.5" hidden="false" customHeight="true" outlineLevel="0" collapsed="false">
      <c r="A1018" s="10" t="s">
        <v>979</v>
      </c>
      <c r="B1018" s="10"/>
      <c r="C1018" s="10"/>
      <c r="D1018" s="10"/>
      <c r="E1018" s="10"/>
      <c r="F1018" s="10"/>
      <c r="G1018" s="10"/>
      <c r="H1018" s="10"/>
    </row>
    <row r="1019" customFormat="false" ht="60.75" hidden="false" customHeight="true" outlineLevel="0" collapsed="false">
      <c r="A1019" s="10" t="s">
        <v>980</v>
      </c>
      <c r="B1019" s="10"/>
      <c r="C1019" s="10"/>
      <c r="D1019" s="10"/>
      <c r="E1019" s="10"/>
      <c r="F1019" s="10"/>
      <c r="G1019" s="10"/>
      <c r="H1019" s="10"/>
    </row>
    <row r="1020" customFormat="false" ht="42" hidden="false" customHeight="true" outlineLevel="0" collapsed="false">
      <c r="A1020" s="11" t="s">
        <v>981</v>
      </c>
      <c r="B1020" s="11"/>
      <c r="C1020" s="11"/>
      <c r="D1020" s="11"/>
      <c r="E1020" s="11"/>
      <c r="F1020" s="11"/>
      <c r="G1020" s="11"/>
      <c r="H1020" s="11"/>
    </row>
    <row r="1021" customFormat="false" ht="33.75" hidden="false" customHeight="true" outlineLevel="0" collapsed="false">
      <c r="A1021" s="12" t="s">
        <v>982</v>
      </c>
      <c r="B1021" s="12"/>
      <c r="C1021" s="12"/>
      <c r="D1021" s="12"/>
      <c r="E1021" s="12" t="s">
        <v>983</v>
      </c>
      <c r="F1021" s="12"/>
      <c r="G1021" s="12"/>
      <c r="H1021" s="12"/>
    </row>
    <row r="1022" customFormat="false" ht="42" hidden="false" customHeight="true" outlineLevel="0" collapsed="false">
      <c r="A1022" s="12" t="s">
        <v>984</v>
      </c>
      <c r="B1022" s="12"/>
      <c r="C1022" s="12"/>
      <c r="D1022" s="12"/>
      <c r="E1022" s="12" t="s">
        <v>53</v>
      </c>
      <c r="F1022" s="12"/>
      <c r="G1022" s="12"/>
      <c r="H1022" s="12"/>
    </row>
    <row r="1023" customFormat="false" ht="24" hidden="false" customHeight="true" outlineLevel="0" collapsed="false">
      <c r="A1023" s="13" t="s">
        <v>985</v>
      </c>
      <c r="B1023" s="13"/>
      <c r="C1023" s="13"/>
      <c r="D1023" s="13"/>
      <c r="E1023" s="13"/>
      <c r="F1023" s="13"/>
      <c r="G1023" s="13"/>
      <c r="H1023" s="13"/>
    </row>
    <row r="1024" customFormat="false" ht="7.5" hidden="false" customHeight="true" outlineLevel="0" collapsed="false"/>
    <row r="1025" customFormat="false" ht="24" hidden="false" customHeight="true" outlineLevel="0" collapsed="false">
      <c r="A1025" s="9" t="s">
        <v>986</v>
      </c>
      <c r="B1025" s="9"/>
      <c r="C1025" s="9"/>
      <c r="D1025" s="9"/>
      <c r="E1025" s="9"/>
      <c r="F1025" s="9"/>
      <c r="G1025" s="9"/>
      <c r="H1025" s="9"/>
    </row>
    <row r="1026" customFormat="false" ht="42" hidden="false" customHeight="true" outlineLevel="0" collapsed="false">
      <c r="A1026" s="10" t="s">
        <v>987</v>
      </c>
      <c r="B1026" s="10"/>
      <c r="C1026" s="10"/>
      <c r="D1026" s="10"/>
      <c r="E1026" s="10"/>
      <c r="F1026" s="10"/>
      <c r="G1026" s="10"/>
      <c r="H1026" s="10"/>
    </row>
    <row r="1027" customFormat="false" ht="45.75" hidden="false" customHeight="true" outlineLevel="0" collapsed="false">
      <c r="A1027" s="11" t="s">
        <v>988</v>
      </c>
      <c r="B1027" s="11"/>
      <c r="C1027" s="11"/>
      <c r="D1027" s="11"/>
      <c r="E1027" s="11"/>
      <c r="F1027" s="11"/>
      <c r="G1027" s="11"/>
      <c r="H1027" s="11"/>
    </row>
    <row r="1028" customFormat="false" ht="54.75" hidden="false" customHeight="true" outlineLevel="0" collapsed="false">
      <c r="A1028" s="12" t="s">
        <v>989</v>
      </c>
      <c r="B1028" s="12"/>
      <c r="C1028" s="12"/>
      <c r="D1028" s="12"/>
      <c r="E1028" s="12" t="s">
        <v>990</v>
      </c>
      <c r="F1028" s="12"/>
      <c r="G1028" s="12"/>
      <c r="H1028" s="12"/>
    </row>
    <row r="1029" customFormat="false" ht="54.75" hidden="false" customHeight="true" outlineLevel="0" collapsed="false">
      <c r="A1029" s="12" t="s">
        <v>991</v>
      </c>
      <c r="B1029" s="12"/>
      <c r="C1029" s="12"/>
      <c r="D1029" s="12"/>
      <c r="E1029" s="12" t="s">
        <v>717</v>
      </c>
      <c r="F1029" s="12"/>
      <c r="G1029" s="12"/>
      <c r="H1029" s="12"/>
    </row>
    <row r="1030" customFormat="false" ht="24" hidden="false" customHeight="true" outlineLevel="0" collapsed="false">
      <c r="A1030" s="13" t="s">
        <v>985</v>
      </c>
      <c r="B1030" s="13"/>
      <c r="C1030" s="13"/>
      <c r="D1030" s="13"/>
      <c r="E1030" s="13"/>
      <c r="F1030" s="13"/>
      <c r="G1030" s="13"/>
      <c r="H1030" s="13"/>
    </row>
    <row r="1031" customFormat="false" ht="7.5" hidden="false" customHeight="true" outlineLevel="0" collapsed="false"/>
    <row r="1032" customFormat="false" ht="24" hidden="false" customHeight="true" outlineLevel="0" collapsed="false">
      <c r="A1032" s="9" t="s">
        <v>992</v>
      </c>
      <c r="B1032" s="9"/>
      <c r="C1032" s="9"/>
      <c r="D1032" s="9"/>
      <c r="E1032" s="9"/>
      <c r="F1032" s="9"/>
      <c r="G1032" s="9"/>
      <c r="H1032" s="9"/>
    </row>
    <row r="1033" customFormat="false" ht="42" hidden="false" customHeight="true" outlineLevel="0" collapsed="false">
      <c r="A1033" s="10" t="s">
        <v>987</v>
      </c>
      <c r="B1033" s="10"/>
      <c r="C1033" s="10"/>
      <c r="D1033" s="10"/>
      <c r="E1033" s="10"/>
      <c r="F1033" s="10"/>
      <c r="G1033" s="10"/>
      <c r="H1033" s="10"/>
    </row>
    <row r="1034" customFormat="false" ht="42" hidden="false" customHeight="true" outlineLevel="0" collapsed="false">
      <c r="A1034" s="11" t="s">
        <v>993</v>
      </c>
      <c r="B1034" s="11"/>
      <c r="C1034" s="11"/>
      <c r="D1034" s="11"/>
      <c r="E1034" s="11"/>
      <c r="F1034" s="11"/>
      <c r="G1034" s="11"/>
      <c r="H1034" s="11"/>
    </row>
    <row r="1035" customFormat="false" ht="81" hidden="false" customHeight="true" outlineLevel="0" collapsed="false">
      <c r="A1035" s="12" t="s">
        <v>994</v>
      </c>
      <c r="B1035" s="12"/>
      <c r="C1035" s="12"/>
      <c r="D1035" s="12"/>
      <c r="E1035" s="12" t="s">
        <v>995</v>
      </c>
      <c r="F1035" s="12"/>
      <c r="G1035" s="12"/>
      <c r="H1035" s="12"/>
    </row>
    <row r="1036" customFormat="false" ht="54.75" hidden="false" customHeight="true" outlineLevel="0" collapsed="false">
      <c r="A1036" s="12" t="s">
        <v>996</v>
      </c>
      <c r="B1036" s="12"/>
      <c r="C1036" s="12"/>
      <c r="D1036" s="12"/>
      <c r="E1036" s="12" t="s">
        <v>53</v>
      </c>
      <c r="F1036" s="12"/>
      <c r="G1036" s="12"/>
      <c r="H1036" s="12"/>
    </row>
    <row r="1037" customFormat="false" ht="24" hidden="false" customHeight="true" outlineLevel="0" collapsed="false">
      <c r="A1037" s="13" t="s">
        <v>997</v>
      </c>
      <c r="B1037" s="13"/>
      <c r="C1037" s="13"/>
      <c r="D1037" s="13"/>
      <c r="E1037" s="13"/>
      <c r="F1037" s="13"/>
      <c r="G1037" s="13"/>
      <c r="H1037" s="13"/>
    </row>
    <row r="1038" customFormat="false" ht="7.5" hidden="false" customHeight="true" outlineLevel="0" collapsed="false"/>
    <row r="1039" customFormat="false" ht="24" hidden="false" customHeight="true" outlineLevel="0" collapsed="false">
      <c r="A1039" s="9" t="s">
        <v>998</v>
      </c>
      <c r="B1039" s="9"/>
      <c r="C1039" s="9"/>
      <c r="D1039" s="9"/>
      <c r="E1039" s="9"/>
      <c r="F1039" s="9"/>
      <c r="G1039" s="9"/>
      <c r="H1039" s="9"/>
    </row>
    <row r="1040" customFormat="false" ht="42" hidden="false" customHeight="true" outlineLevel="0" collapsed="false">
      <c r="A1040" s="10" t="s">
        <v>987</v>
      </c>
      <c r="B1040" s="10"/>
      <c r="C1040" s="10"/>
      <c r="D1040" s="10"/>
      <c r="E1040" s="10"/>
      <c r="F1040" s="10"/>
      <c r="G1040" s="10"/>
      <c r="H1040" s="10"/>
    </row>
    <row r="1041" customFormat="false" ht="42" hidden="false" customHeight="true" outlineLevel="0" collapsed="false">
      <c r="A1041" s="11" t="s">
        <v>999</v>
      </c>
      <c r="B1041" s="11"/>
      <c r="C1041" s="11"/>
      <c r="D1041" s="11"/>
      <c r="E1041" s="11"/>
      <c r="F1041" s="11"/>
      <c r="G1041" s="11"/>
      <c r="H1041" s="11"/>
    </row>
    <row r="1042" customFormat="false" ht="33.75" hidden="false" customHeight="true" outlineLevel="0" collapsed="false">
      <c r="A1042" s="12" t="s">
        <v>1000</v>
      </c>
      <c r="B1042" s="12"/>
      <c r="C1042" s="12"/>
      <c r="D1042" s="12"/>
      <c r="E1042" s="12" t="s">
        <v>1001</v>
      </c>
      <c r="F1042" s="12"/>
      <c r="G1042" s="12"/>
      <c r="H1042" s="12"/>
    </row>
    <row r="1043" customFormat="false" ht="33.75" hidden="false" customHeight="true" outlineLevel="0" collapsed="false">
      <c r="A1043" s="12" t="s">
        <v>1002</v>
      </c>
      <c r="B1043" s="12"/>
      <c r="C1043" s="12"/>
      <c r="D1043" s="12"/>
      <c r="E1043" s="12" t="s">
        <v>1003</v>
      </c>
      <c r="F1043" s="12"/>
      <c r="G1043" s="12"/>
      <c r="H1043" s="12"/>
    </row>
    <row r="1044" customFormat="false" ht="24" hidden="false" customHeight="true" outlineLevel="0" collapsed="false">
      <c r="A1044" s="13" t="s">
        <v>997</v>
      </c>
      <c r="B1044" s="13"/>
      <c r="C1044" s="13"/>
      <c r="D1044" s="13"/>
      <c r="E1044" s="13"/>
      <c r="F1044" s="13"/>
      <c r="G1044" s="13"/>
      <c r="H1044" s="13"/>
    </row>
    <row r="1045" customFormat="false" ht="7.5" hidden="false" customHeight="true" outlineLevel="0" collapsed="false"/>
    <row r="1046" customFormat="false" ht="24" hidden="false" customHeight="true" outlineLevel="0" collapsed="false">
      <c r="A1046" s="9" t="s">
        <v>1004</v>
      </c>
      <c r="B1046" s="9"/>
      <c r="C1046" s="9"/>
      <c r="D1046" s="9"/>
      <c r="E1046" s="9"/>
      <c r="F1046" s="9"/>
      <c r="G1046" s="9"/>
      <c r="H1046" s="9"/>
    </row>
    <row r="1047" customFormat="false" ht="42" hidden="false" customHeight="true" outlineLevel="0" collapsed="false">
      <c r="A1047" s="10" t="s">
        <v>987</v>
      </c>
      <c r="B1047" s="10"/>
      <c r="C1047" s="10"/>
      <c r="D1047" s="10"/>
      <c r="E1047" s="10"/>
      <c r="F1047" s="10"/>
      <c r="G1047" s="10"/>
      <c r="H1047" s="10"/>
    </row>
    <row r="1048" customFormat="false" ht="45.75" hidden="false" customHeight="true" outlineLevel="0" collapsed="false">
      <c r="A1048" s="11" t="s">
        <v>1005</v>
      </c>
      <c r="B1048" s="11"/>
      <c r="C1048" s="11"/>
      <c r="D1048" s="11"/>
      <c r="E1048" s="11"/>
      <c r="F1048" s="11"/>
      <c r="G1048" s="11"/>
      <c r="H1048" s="11"/>
    </row>
    <row r="1049" customFormat="false" ht="33.75" hidden="false" customHeight="true" outlineLevel="0" collapsed="false">
      <c r="A1049" s="12" t="s">
        <v>1006</v>
      </c>
      <c r="B1049" s="12"/>
      <c r="C1049" s="12"/>
      <c r="D1049" s="12"/>
      <c r="E1049" s="12" t="s">
        <v>1007</v>
      </c>
      <c r="F1049" s="12"/>
      <c r="G1049" s="12"/>
      <c r="H1049" s="12"/>
    </row>
    <row r="1050" customFormat="false" ht="33.75" hidden="false" customHeight="true" outlineLevel="0" collapsed="false">
      <c r="A1050" s="12" t="s">
        <v>1008</v>
      </c>
      <c r="B1050" s="12"/>
      <c r="C1050" s="12"/>
      <c r="D1050" s="12"/>
      <c r="E1050" s="12" t="s">
        <v>1009</v>
      </c>
      <c r="F1050" s="12"/>
      <c r="G1050" s="12"/>
      <c r="H1050" s="12"/>
    </row>
    <row r="1051" customFormat="false" ht="24" hidden="false" customHeight="true" outlineLevel="0" collapsed="false">
      <c r="A1051" s="13" t="s">
        <v>997</v>
      </c>
      <c r="B1051" s="13"/>
      <c r="C1051" s="13"/>
      <c r="D1051" s="13"/>
      <c r="E1051" s="13"/>
      <c r="F1051" s="13"/>
      <c r="G1051" s="13"/>
      <c r="H1051" s="13"/>
    </row>
    <row r="1052" customFormat="false" ht="7.5" hidden="false" customHeight="true" outlineLevel="0" collapsed="false"/>
    <row r="1053" customFormat="false" ht="24" hidden="false" customHeight="true" outlineLevel="0" collapsed="false">
      <c r="A1053" s="9" t="s">
        <v>1010</v>
      </c>
      <c r="B1053" s="9"/>
      <c r="C1053" s="9"/>
      <c r="D1053" s="9"/>
      <c r="E1053" s="9"/>
      <c r="F1053" s="9"/>
      <c r="G1053" s="9"/>
      <c r="H1053" s="9"/>
    </row>
    <row r="1054" customFormat="false" ht="42" hidden="false" customHeight="true" outlineLevel="0" collapsed="false">
      <c r="A1054" s="10" t="s">
        <v>987</v>
      </c>
      <c r="B1054" s="10"/>
      <c r="C1054" s="10"/>
      <c r="D1054" s="10"/>
      <c r="E1054" s="10"/>
      <c r="F1054" s="10"/>
      <c r="G1054" s="10"/>
      <c r="H1054" s="10"/>
    </row>
    <row r="1055" customFormat="false" ht="42" hidden="false" customHeight="true" outlineLevel="0" collapsed="false">
      <c r="A1055" s="11" t="s">
        <v>1011</v>
      </c>
      <c r="B1055" s="11"/>
      <c r="C1055" s="11"/>
      <c r="D1055" s="11"/>
      <c r="E1055" s="11"/>
      <c r="F1055" s="11"/>
      <c r="G1055" s="11"/>
      <c r="H1055" s="11"/>
    </row>
    <row r="1056" customFormat="false" ht="33.75" hidden="false" customHeight="true" outlineLevel="0" collapsed="false">
      <c r="A1056" s="12" t="s">
        <v>1012</v>
      </c>
      <c r="B1056" s="12"/>
      <c r="C1056" s="12"/>
      <c r="D1056" s="12"/>
      <c r="E1056" s="12" t="s">
        <v>1013</v>
      </c>
      <c r="F1056" s="12"/>
      <c r="G1056" s="12"/>
      <c r="H1056" s="12"/>
    </row>
    <row r="1057" customFormat="false" ht="33.75" hidden="false" customHeight="true" outlineLevel="0" collapsed="false">
      <c r="A1057" s="12" t="s">
        <v>1014</v>
      </c>
      <c r="B1057" s="12"/>
      <c r="C1057" s="12"/>
      <c r="D1057" s="12"/>
      <c r="E1057" s="12" t="s">
        <v>1015</v>
      </c>
      <c r="F1057" s="12"/>
      <c r="G1057" s="12"/>
      <c r="H1057" s="12"/>
    </row>
    <row r="1058" customFormat="false" ht="24" hidden="false" customHeight="true" outlineLevel="0" collapsed="false">
      <c r="A1058" s="13" t="s">
        <v>997</v>
      </c>
      <c r="B1058" s="13"/>
      <c r="C1058" s="13"/>
      <c r="D1058" s="13"/>
      <c r="E1058" s="13"/>
      <c r="F1058" s="13"/>
      <c r="G1058" s="13"/>
      <c r="H1058" s="13"/>
    </row>
    <row r="1059" customFormat="false" ht="7.5" hidden="false" customHeight="true" outlineLevel="0" collapsed="false"/>
    <row r="1060" customFormat="false" ht="24" hidden="false" customHeight="true" outlineLevel="0" collapsed="false">
      <c r="A1060" s="9" t="s">
        <v>1016</v>
      </c>
      <c r="B1060" s="9"/>
      <c r="C1060" s="9"/>
      <c r="D1060" s="9"/>
      <c r="E1060" s="9"/>
      <c r="F1060" s="9"/>
      <c r="G1060" s="9"/>
      <c r="H1060" s="9"/>
    </row>
    <row r="1061" customFormat="false" ht="42" hidden="false" customHeight="true" outlineLevel="0" collapsed="false">
      <c r="A1061" s="10" t="s">
        <v>987</v>
      </c>
      <c r="B1061" s="10"/>
      <c r="C1061" s="10"/>
      <c r="D1061" s="10"/>
      <c r="E1061" s="10"/>
      <c r="F1061" s="10"/>
      <c r="G1061" s="10"/>
      <c r="H1061" s="10"/>
    </row>
    <row r="1062" customFormat="false" ht="42" hidden="false" customHeight="true" outlineLevel="0" collapsed="false">
      <c r="A1062" s="11" t="s">
        <v>1017</v>
      </c>
      <c r="B1062" s="11"/>
      <c r="C1062" s="11"/>
      <c r="D1062" s="11"/>
      <c r="E1062" s="11"/>
      <c r="F1062" s="11"/>
      <c r="G1062" s="11"/>
      <c r="H1062" s="11"/>
    </row>
    <row r="1063" customFormat="false" ht="54.75" hidden="false" customHeight="true" outlineLevel="0" collapsed="false">
      <c r="A1063" s="12" t="s">
        <v>1018</v>
      </c>
      <c r="B1063" s="12"/>
      <c r="C1063" s="12"/>
      <c r="D1063" s="12"/>
      <c r="E1063" s="12" t="s">
        <v>1019</v>
      </c>
      <c r="F1063" s="12"/>
      <c r="G1063" s="12"/>
      <c r="H1063" s="12"/>
    </row>
    <row r="1064" customFormat="false" ht="54.75" hidden="false" customHeight="true" outlineLevel="0" collapsed="false">
      <c r="A1064" s="12" t="s">
        <v>1020</v>
      </c>
      <c r="B1064" s="12"/>
      <c r="C1064" s="12"/>
      <c r="D1064" s="12"/>
      <c r="E1064" s="12" t="s">
        <v>1021</v>
      </c>
      <c r="F1064" s="12"/>
      <c r="G1064" s="12"/>
      <c r="H1064" s="12"/>
    </row>
    <row r="1065" customFormat="false" ht="24" hidden="false" customHeight="true" outlineLevel="0" collapsed="false">
      <c r="A1065" s="13" t="s">
        <v>1022</v>
      </c>
      <c r="B1065" s="13"/>
      <c r="C1065" s="13"/>
      <c r="D1065" s="13"/>
      <c r="E1065" s="13"/>
      <c r="F1065" s="13"/>
      <c r="G1065" s="13"/>
      <c r="H1065" s="13"/>
    </row>
    <row r="1066" customFormat="false" ht="7.5" hidden="false" customHeight="true" outlineLevel="0" collapsed="false"/>
    <row r="1067" customFormat="false" ht="24" hidden="false" customHeight="true" outlineLevel="0" collapsed="false">
      <c r="A1067" s="9" t="s">
        <v>1023</v>
      </c>
      <c r="B1067" s="9"/>
      <c r="C1067" s="9"/>
      <c r="D1067" s="9"/>
      <c r="E1067" s="9"/>
      <c r="F1067" s="9"/>
      <c r="G1067" s="9"/>
      <c r="H1067" s="9"/>
    </row>
    <row r="1068" customFormat="false" ht="42" hidden="false" customHeight="true" outlineLevel="0" collapsed="false">
      <c r="A1068" s="10" t="s">
        <v>987</v>
      </c>
      <c r="B1068" s="10"/>
      <c r="C1068" s="10"/>
      <c r="D1068" s="10"/>
      <c r="E1068" s="10"/>
      <c r="F1068" s="10"/>
      <c r="G1068" s="10"/>
      <c r="H1068" s="10"/>
    </row>
    <row r="1069" customFormat="false" ht="45.75" hidden="false" customHeight="true" outlineLevel="0" collapsed="false">
      <c r="A1069" s="11" t="s">
        <v>1024</v>
      </c>
      <c r="B1069" s="11"/>
      <c r="C1069" s="11"/>
      <c r="D1069" s="11"/>
      <c r="E1069" s="11"/>
      <c r="F1069" s="11"/>
      <c r="G1069" s="11"/>
      <c r="H1069" s="11"/>
    </row>
    <row r="1070" customFormat="false" ht="54.75" hidden="false" customHeight="true" outlineLevel="0" collapsed="false">
      <c r="A1070" s="12" t="s">
        <v>1025</v>
      </c>
      <c r="B1070" s="12"/>
      <c r="C1070" s="12"/>
      <c r="D1070" s="12"/>
      <c r="E1070" s="12" t="s">
        <v>1026</v>
      </c>
      <c r="F1070" s="12"/>
      <c r="G1070" s="12"/>
      <c r="H1070" s="12"/>
    </row>
    <row r="1071" customFormat="false" ht="67.5" hidden="false" customHeight="true" outlineLevel="0" collapsed="false">
      <c r="A1071" s="12" t="s">
        <v>1027</v>
      </c>
      <c r="B1071" s="12"/>
      <c r="C1071" s="12"/>
      <c r="D1071" s="12"/>
      <c r="E1071" s="12" t="s">
        <v>1028</v>
      </c>
      <c r="F1071" s="12"/>
      <c r="G1071" s="12"/>
      <c r="H1071" s="12"/>
    </row>
    <row r="1072" customFormat="false" ht="24" hidden="false" customHeight="true" outlineLevel="0" collapsed="false">
      <c r="A1072" s="13" t="s">
        <v>1022</v>
      </c>
      <c r="B1072" s="13"/>
      <c r="C1072" s="13"/>
      <c r="D1072" s="13"/>
      <c r="E1072" s="13"/>
      <c r="F1072" s="13"/>
      <c r="G1072" s="13"/>
      <c r="H1072" s="13"/>
    </row>
    <row r="1073" customFormat="false" ht="7.5" hidden="false" customHeight="true" outlineLevel="0" collapsed="false"/>
    <row r="1074" customFormat="false" ht="24" hidden="false" customHeight="true" outlineLevel="0" collapsed="false">
      <c r="A1074" s="9" t="s">
        <v>1029</v>
      </c>
      <c r="B1074" s="9"/>
      <c r="C1074" s="9"/>
      <c r="D1074" s="9"/>
      <c r="E1074" s="9"/>
      <c r="F1074" s="9"/>
      <c r="G1074" s="9"/>
      <c r="H1074" s="9"/>
    </row>
    <row r="1075" customFormat="false" ht="42" hidden="false" customHeight="true" outlineLevel="0" collapsed="false">
      <c r="A1075" s="10" t="s">
        <v>987</v>
      </c>
      <c r="B1075" s="10"/>
      <c r="C1075" s="10"/>
      <c r="D1075" s="10"/>
      <c r="E1075" s="10"/>
      <c r="F1075" s="10"/>
      <c r="G1075" s="10"/>
      <c r="H1075" s="10"/>
    </row>
    <row r="1076" customFormat="false" ht="45.75" hidden="false" customHeight="true" outlineLevel="0" collapsed="false">
      <c r="A1076" s="11" t="s">
        <v>1030</v>
      </c>
      <c r="B1076" s="11"/>
      <c r="C1076" s="11"/>
      <c r="D1076" s="11"/>
      <c r="E1076" s="11"/>
      <c r="F1076" s="11"/>
      <c r="G1076" s="11"/>
      <c r="H1076" s="11"/>
    </row>
    <row r="1077" customFormat="false" ht="106.5" hidden="false" customHeight="true" outlineLevel="0" collapsed="false">
      <c r="A1077" s="12" t="s">
        <v>1031</v>
      </c>
      <c r="B1077" s="12"/>
      <c r="C1077" s="12"/>
      <c r="D1077" s="12"/>
      <c r="E1077" s="12" t="s">
        <v>1032</v>
      </c>
      <c r="F1077" s="12"/>
      <c r="G1077" s="12"/>
      <c r="H1077" s="12"/>
    </row>
    <row r="1078" customFormat="false" ht="67.5" hidden="false" customHeight="true" outlineLevel="0" collapsed="false">
      <c r="A1078" s="12" t="s">
        <v>1033</v>
      </c>
      <c r="B1078" s="12"/>
      <c r="C1078" s="12"/>
      <c r="D1078" s="12"/>
      <c r="E1078" s="12" t="s">
        <v>1028</v>
      </c>
      <c r="F1078" s="12"/>
      <c r="G1078" s="12"/>
      <c r="H1078" s="12"/>
    </row>
    <row r="1079" customFormat="false" ht="24" hidden="false" customHeight="true" outlineLevel="0" collapsed="false">
      <c r="A1079" s="13" t="s">
        <v>1022</v>
      </c>
      <c r="B1079" s="13"/>
      <c r="C1079" s="13"/>
      <c r="D1079" s="13"/>
      <c r="E1079" s="13"/>
      <c r="F1079" s="13"/>
      <c r="G1079" s="13"/>
      <c r="H1079" s="13"/>
    </row>
    <row r="1080" customFormat="false" ht="7.5" hidden="false" customHeight="true" outlineLevel="0" collapsed="false"/>
    <row r="1081" customFormat="false" ht="24" hidden="false" customHeight="true" outlineLevel="0" collapsed="false">
      <c r="A1081" s="9" t="s">
        <v>1034</v>
      </c>
      <c r="B1081" s="9"/>
      <c r="C1081" s="9"/>
      <c r="D1081" s="9"/>
      <c r="E1081" s="9"/>
      <c r="F1081" s="9"/>
      <c r="G1081" s="9"/>
      <c r="H1081" s="9"/>
    </row>
    <row r="1082" customFormat="false" ht="42" hidden="false" customHeight="true" outlineLevel="0" collapsed="false">
      <c r="A1082" s="10" t="s">
        <v>987</v>
      </c>
      <c r="B1082" s="10"/>
      <c r="C1082" s="10"/>
      <c r="D1082" s="10"/>
      <c r="E1082" s="10"/>
      <c r="F1082" s="10"/>
      <c r="G1082" s="10"/>
      <c r="H1082" s="10"/>
    </row>
    <row r="1083" customFormat="false" ht="42" hidden="false" customHeight="true" outlineLevel="0" collapsed="false">
      <c r="A1083" s="11" t="s">
        <v>1035</v>
      </c>
      <c r="B1083" s="11"/>
      <c r="C1083" s="11"/>
      <c r="D1083" s="11"/>
      <c r="E1083" s="11"/>
      <c r="F1083" s="11"/>
      <c r="G1083" s="11"/>
      <c r="H1083" s="11"/>
    </row>
    <row r="1084" customFormat="false" ht="42" hidden="false" customHeight="true" outlineLevel="0" collapsed="false">
      <c r="A1084" s="12" t="s">
        <v>1036</v>
      </c>
      <c r="B1084" s="12"/>
      <c r="C1084" s="12"/>
      <c r="D1084" s="12"/>
      <c r="E1084" s="12" t="s">
        <v>1037</v>
      </c>
      <c r="F1084" s="12"/>
      <c r="G1084" s="12"/>
      <c r="H1084" s="12"/>
    </row>
    <row r="1085" customFormat="false" ht="54.75" hidden="false" customHeight="true" outlineLevel="0" collapsed="false">
      <c r="A1085" s="12" t="s">
        <v>1038</v>
      </c>
      <c r="B1085" s="12"/>
      <c r="C1085" s="12"/>
      <c r="D1085" s="12"/>
      <c r="E1085" s="12" t="s">
        <v>1039</v>
      </c>
      <c r="F1085" s="12"/>
      <c r="G1085" s="12"/>
      <c r="H1085" s="12"/>
    </row>
    <row r="1086" customFormat="false" ht="24" hidden="false" customHeight="true" outlineLevel="0" collapsed="false">
      <c r="A1086" s="13" t="s">
        <v>1040</v>
      </c>
      <c r="B1086" s="13"/>
      <c r="C1086" s="13"/>
      <c r="D1086" s="13"/>
      <c r="E1086" s="13"/>
      <c r="F1086" s="13"/>
      <c r="G1086" s="13"/>
      <c r="H1086" s="13"/>
    </row>
    <row r="1087" customFormat="false" ht="7.5" hidden="false" customHeight="true" outlineLevel="0" collapsed="false"/>
    <row r="1088" customFormat="false" ht="24" hidden="false" customHeight="true" outlineLevel="0" collapsed="false">
      <c r="A1088" s="9" t="s">
        <v>1041</v>
      </c>
      <c r="B1088" s="9"/>
      <c r="C1088" s="9"/>
      <c r="D1088" s="9"/>
      <c r="E1088" s="9"/>
      <c r="F1088" s="9"/>
      <c r="G1088" s="9"/>
      <c r="H1088" s="9"/>
    </row>
    <row r="1089" customFormat="false" ht="42" hidden="false" customHeight="true" outlineLevel="0" collapsed="false">
      <c r="A1089" s="10" t="s">
        <v>987</v>
      </c>
      <c r="B1089" s="10"/>
      <c r="C1089" s="10"/>
      <c r="D1089" s="10"/>
      <c r="E1089" s="10"/>
      <c r="F1089" s="10"/>
      <c r="G1089" s="10"/>
      <c r="H1089" s="10"/>
    </row>
    <row r="1090" customFormat="false" ht="42" hidden="false" customHeight="true" outlineLevel="0" collapsed="false">
      <c r="A1090" s="11" t="s">
        <v>1042</v>
      </c>
      <c r="B1090" s="11"/>
      <c r="C1090" s="11"/>
      <c r="D1090" s="11"/>
      <c r="E1090" s="11"/>
      <c r="F1090" s="11"/>
      <c r="G1090" s="11"/>
      <c r="H1090" s="11"/>
    </row>
    <row r="1091" customFormat="false" ht="42" hidden="false" customHeight="true" outlineLevel="0" collapsed="false">
      <c r="A1091" s="12" t="s">
        <v>1043</v>
      </c>
      <c r="B1091" s="12"/>
      <c r="C1091" s="12"/>
      <c r="D1091" s="12"/>
      <c r="E1091" s="12" t="s">
        <v>1044</v>
      </c>
      <c r="F1091" s="12"/>
      <c r="G1091" s="12"/>
      <c r="H1091" s="12"/>
    </row>
    <row r="1092" customFormat="false" ht="42" hidden="false" customHeight="true" outlineLevel="0" collapsed="false">
      <c r="A1092" s="12" t="s">
        <v>1045</v>
      </c>
      <c r="B1092" s="12"/>
      <c r="C1092" s="12"/>
      <c r="D1092" s="12"/>
      <c r="E1092" s="12" t="s">
        <v>1046</v>
      </c>
      <c r="F1092" s="12"/>
      <c r="G1092" s="12"/>
      <c r="H1092" s="12"/>
    </row>
    <row r="1093" customFormat="false" ht="24" hidden="false" customHeight="true" outlineLevel="0" collapsed="false">
      <c r="A1093" s="13" t="s">
        <v>1040</v>
      </c>
      <c r="B1093" s="13"/>
      <c r="C1093" s="13"/>
      <c r="D1093" s="13"/>
      <c r="E1093" s="13"/>
      <c r="F1093" s="13"/>
      <c r="G1093" s="13"/>
      <c r="H1093" s="13"/>
    </row>
    <row r="1094" customFormat="false" ht="7.5" hidden="false" customHeight="true" outlineLevel="0" collapsed="false"/>
    <row r="1095" customFormat="false" ht="24" hidden="false" customHeight="true" outlineLevel="0" collapsed="false">
      <c r="A1095" s="9" t="s">
        <v>1047</v>
      </c>
      <c r="B1095" s="9"/>
      <c r="C1095" s="9"/>
      <c r="D1095" s="9"/>
      <c r="E1095" s="9"/>
      <c r="F1095" s="9"/>
      <c r="G1095" s="9"/>
      <c r="H1095" s="9"/>
    </row>
    <row r="1096" customFormat="false" ht="42" hidden="false" customHeight="true" outlineLevel="0" collapsed="false">
      <c r="A1096" s="10" t="s">
        <v>987</v>
      </c>
      <c r="B1096" s="10"/>
      <c r="C1096" s="10"/>
      <c r="D1096" s="10"/>
      <c r="E1096" s="10"/>
      <c r="F1096" s="10"/>
      <c r="G1096" s="10"/>
      <c r="H1096" s="10"/>
    </row>
    <row r="1097" customFormat="false" ht="42" hidden="false" customHeight="true" outlineLevel="0" collapsed="false">
      <c r="A1097" s="11" t="s">
        <v>1048</v>
      </c>
      <c r="B1097" s="11"/>
      <c r="C1097" s="11"/>
      <c r="D1097" s="11"/>
      <c r="E1097" s="11"/>
      <c r="F1097" s="11"/>
      <c r="G1097" s="11"/>
      <c r="H1097" s="11"/>
    </row>
    <row r="1098" customFormat="false" ht="67.5" hidden="false" customHeight="true" outlineLevel="0" collapsed="false">
      <c r="A1098" s="12" t="s">
        <v>1049</v>
      </c>
      <c r="B1098" s="12"/>
      <c r="C1098" s="12"/>
      <c r="D1098" s="12"/>
      <c r="E1098" s="12" t="s">
        <v>1050</v>
      </c>
      <c r="F1098" s="12"/>
      <c r="G1098" s="12"/>
      <c r="H1098" s="12"/>
    </row>
    <row r="1099" customFormat="false" ht="67.5" hidden="false" customHeight="true" outlineLevel="0" collapsed="false">
      <c r="A1099" s="12" t="s">
        <v>1051</v>
      </c>
      <c r="B1099" s="12"/>
      <c r="C1099" s="12"/>
      <c r="D1099" s="12"/>
      <c r="E1099" s="12" t="s">
        <v>1052</v>
      </c>
      <c r="F1099" s="12"/>
      <c r="G1099" s="12"/>
      <c r="H1099" s="12"/>
    </row>
    <row r="1100" customFormat="false" ht="24" hidden="false" customHeight="true" outlineLevel="0" collapsed="false">
      <c r="A1100" s="13" t="s">
        <v>1040</v>
      </c>
      <c r="B1100" s="13"/>
      <c r="C1100" s="13"/>
      <c r="D1100" s="13"/>
      <c r="E1100" s="13"/>
      <c r="F1100" s="13"/>
      <c r="G1100" s="13"/>
      <c r="H1100" s="13"/>
    </row>
    <row r="1101" customFormat="false" ht="7.5" hidden="false" customHeight="true" outlineLevel="0" collapsed="false"/>
    <row r="1102" customFormat="false" ht="24" hidden="false" customHeight="true" outlineLevel="0" collapsed="false">
      <c r="A1102" s="9" t="s">
        <v>1053</v>
      </c>
      <c r="B1102" s="9"/>
      <c r="C1102" s="9"/>
      <c r="D1102" s="9"/>
      <c r="E1102" s="9"/>
      <c r="F1102" s="9"/>
      <c r="G1102" s="9"/>
      <c r="H1102" s="9"/>
    </row>
    <row r="1103" customFormat="false" ht="42" hidden="false" customHeight="true" outlineLevel="0" collapsed="false">
      <c r="A1103" s="10" t="s">
        <v>987</v>
      </c>
      <c r="B1103" s="10"/>
      <c r="C1103" s="10"/>
      <c r="D1103" s="10"/>
      <c r="E1103" s="10"/>
      <c r="F1103" s="10"/>
      <c r="G1103" s="10"/>
      <c r="H1103" s="10"/>
    </row>
    <row r="1104" customFormat="false" ht="42" hidden="false" customHeight="true" outlineLevel="0" collapsed="false">
      <c r="A1104" s="11" t="s">
        <v>1054</v>
      </c>
      <c r="B1104" s="11"/>
      <c r="C1104" s="11"/>
      <c r="D1104" s="11"/>
      <c r="E1104" s="11"/>
      <c r="F1104" s="11"/>
      <c r="G1104" s="11"/>
      <c r="H1104" s="11"/>
    </row>
    <row r="1105" customFormat="false" ht="33.75" hidden="false" customHeight="true" outlineLevel="0" collapsed="false">
      <c r="A1105" s="12" t="s">
        <v>1055</v>
      </c>
      <c r="B1105" s="12"/>
      <c r="C1105" s="12"/>
      <c r="D1105" s="12"/>
      <c r="E1105" s="12" t="s">
        <v>1056</v>
      </c>
      <c r="F1105" s="12"/>
      <c r="G1105" s="12"/>
      <c r="H1105" s="12"/>
    </row>
    <row r="1106" customFormat="false" ht="33.75" hidden="false" customHeight="true" outlineLevel="0" collapsed="false">
      <c r="A1106" s="12" t="s">
        <v>1057</v>
      </c>
      <c r="B1106" s="12"/>
      <c r="C1106" s="12"/>
      <c r="D1106" s="12"/>
      <c r="E1106" s="12" t="s">
        <v>1058</v>
      </c>
      <c r="F1106" s="12"/>
      <c r="G1106" s="12"/>
      <c r="H1106" s="12"/>
    </row>
    <row r="1107" customFormat="false" ht="24" hidden="false" customHeight="true" outlineLevel="0" collapsed="false">
      <c r="A1107" s="13" t="s">
        <v>1040</v>
      </c>
      <c r="B1107" s="13"/>
      <c r="C1107" s="13"/>
      <c r="D1107" s="13"/>
      <c r="E1107" s="13"/>
      <c r="F1107" s="13"/>
      <c r="G1107" s="13"/>
      <c r="H1107" s="13"/>
    </row>
    <row r="1108" customFormat="false" ht="7.5" hidden="false" customHeight="true" outlineLevel="0" collapsed="false"/>
    <row r="1109" customFormat="false" ht="24" hidden="false" customHeight="true" outlineLevel="0" collapsed="false">
      <c r="A1109" s="9" t="s">
        <v>1059</v>
      </c>
      <c r="B1109" s="9"/>
      <c r="C1109" s="9"/>
      <c r="D1109" s="9"/>
      <c r="E1109" s="9"/>
      <c r="F1109" s="9"/>
      <c r="G1109" s="9"/>
      <c r="H1109" s="9"/>
    </row>
    <row r="1110" customFormat="false" ht="42" hidden="false" customHeight="true" outlineLevel="0" collapsed="false">
      <c r="A1110" s="10" t="s">
        <v>987</v>
      </c>
      <c r="B1110" s="10"/>
      <c r="C1110" s="10"/>
      <c r="D1110" s="10"/>
      <c r="E1110" s="10"/>
      <c r="F1110" s="10"/>
      <c r="G1110" s="10"/>
      <c r="H1110" s="10"/>
    </row>
    <row r="1111" customFormat="false" ht="42" hidden="false" customHeight="true" outlineLevel="0" collapsed="false">
      <c r="A1111" s="11" t="s">
        <v>1060</v>
      </c>
      <c r="B1111" s="11"/>
      <c r="C1111" s="11"/>
      <c r="D1111" s="11"/>
      <c r="E1111" s="11"/>
      <c r="F1111" s="11"/>
      <c r="G1111" s="11"/>
      <c r="H1111" s="11"/>
    </row>
    <row r="1112" customFormat="false" ht="54.75" hidden="false" customHeight="true" outlineLevel="0" collapsed="false">
      <c r="A1112" s="12" t="s">
        <v>1061</v>
      </c>
      <c r="B1112" s="12"/>
      <c r="C1112" s="12"/>
      <c r="D1112" s="12"/>
      <c r="E1112" s="12" t="s">
        <v>1062</v>
      </c>
      <c r="F1112" s="12"/>
      <c r="G1112" s="12"/>
      <c r="H1112" s="12"/>
    </row>
    <row r="1113" customFormat="false" ht="54.75" hidden="false" customHeight="true" outlineLevel="0" collapsed="false">
      <c r="A1113" s="12" t="s">
        <v>1063</v>
      </c>
      <c r="B1113" s="12"/>
      <c r="C1113" s="12"/>
      <c r="D1113" s="12"/>
      <c r="E1113" s="12" t="s">
        <v>1064</v>
      </c>
      <c r="F1113" s="12"/>
      <c r="G1113" s="12"/>
      <c r="H1113" s="12"/>
    </row>
    <row r="1114" customFormat="false" ht="24" hidden="false" customHeight="true" outlineLevel="0" collapsed="false">
      <c r="A1114" s="13" t="s">
        <v>1065</v>
      </c>
      <c r="B1114" s="13"/>
      <c r="C1114" s="13"/>
      <c r="D1114" s="13"/>
      <c r="E1114" s="13"/>
      <c r="F1114" s="13"/>
      <c r="G1114" s="13"/>
      <c r="H1114" s="13"/>
    </row>
    <row r="1115" customFormat="false" ht="7.5" hidden="false" customHeight="true" outlineLevel="0" collapsed="false"/>
    <row r="1116" customFormat="false" ht="24" hidden="false" customHeight="true" outlineLevel="0" collapsed="false">
      <c r="A1116" s="9" t="s">
        <v>1066</v>
      </c>
      <c r="B1116" s="9"/>
      <c r="C1116" s="9"/>
      <c r="D1116" s="9"/>
      <c r="E1116" s="9"/>
      <c r="F1116" s="9"/>
      <c r="G1116" s="9"/>
      <c r="H1116" s="9"/>
    </row>
    <row r="1117" customFormat="false" ht="42" hidden="false" customHeight="true" outlineLevel="0" collapsed="false">
      <c r="A1117" s="10" t="s">
        <v>987</v>
      </c>
      <c r="B1117" s="10"/>
      <c r="C1117" s="10"/>
      <c r="D1117" s="10"/>
      <c r="E1117" s="10"/>
      <c r="F1117" s="10"/>
      <c r="G1117" s="10"/>
      <c r="H1117" s="10"/>
    </row>
    <row r="1118" customFormat="false" ht="42" hidden="false" customHeight="true" outlineLevel="0" collapsed="false">
      <c r="A1118" s="11" t="s">
        <v>1067</v>
      </c>
      <c r="B1118" s="11"/>
      <c r="C1118" s="11"/>
      <c r="D1118" s="11"/>
      <c r="E1118" s="11"/>
      <c r="F1118" s="11"/>
      <c r="G1118" s="11"/>
      <c r="H1118" s="11"/>
    </row>
    <row r="1119" customFormat="false" ht="81" hidden="false" customHeight="true" outlineLevel="0" collapsed="false">
      <c r="A1119" s="12" t="s">
        <v>1068</v>
      </c>
      <c r="B1119" s="12"/>
      <c r="C1119" s="12"/>
      <c r="D1119" s="12"/>
      <c r="E1119" s="12" t="s">
        <v>1069</v>
      </c>
      <c r="F1119" s="12"/>
      <c r="G1119" s="12"/>
      <c r="H1119" s="12"/>
    </row>
    <row r="1120" customFormat="false" ht="54.75" hidden="false" customHeight="true" outlineLevel="0" collapsed="false">
      <c r="A1120" s="12" t="s">
        <v>1070</v>
      </c>
      <c r="B1120" s="12"/>
      <c r="C1120" s="12"/>
      <c r="D1120" s="12"/>
      <c r="E1120" s="12" t="s">
        <v>1071</v>
      </c>
      <c r="F1120" s="12"/>
      <c r="G1120" s="12"/>
      <c r="H1120" s="12"/>
    </row>
    <row r="1121" customFormat="false" ht="24" hidden="false" customHeight="true" outlineLevel="0" collapsed="false">
      <c r="A1121" s="13" t="s">
        <v>1065</v>
      </c>
      <c r="B1121" s="13"/>
      <c r="C1121" s="13"/>
      <c r="D1121" s="13"/>
      <c r="E1121" s="13"/>
      <c r="F1121" s="13"/>
      <c r="G1121" s="13"/>
      <c r="H1121" s="13"/>
    </row>
    <row r="1122" customFormat="false" ht="7.5" hidden="false" customHeight="true" outlineLevel="0" collapsed="false"/>
    <row r="1123" customFormat="false" ht="24" hidden="false" customHeight="true" outlineLevel="0" collapsed="false">
      <c r="A1123" s="9" t="s">
        <v>1072</v>
      </c>
      <c r="B1123" s="9"/>
      <c r="C1123" s="9"/>
      <c r="D1123" s="9"/>
      <c r="E1123" s="9"/>
      <c r="F1123" s="9"/>
      <c r="G1123" s="9"/>
      <c r="H1123" s="9"/>
    </row>
    <row r="1124" customFormat="false" ht="42" hidden="false" customHeight="true" outlineLevel="0" collapsed="false">
      <c r="A1124" s="10" t="s">
        <v>987</v>
      </c>
      <c r="B1124" s="10"/>
      <c r="C1124" s="10"/>
      <c r="D1124" s="10"/>
      <c r="E1124" s="10"/>
      <c r="F1124" s="10"/>
      <c r="G1124" s="10"/>
      <c r="H1124" s="10"/>
    </row>
    <row r="1125" customFormat="false" ht="45.75" hidden="false" customHeight="true" outlineLevel="0" collapsed="false">
      <c r="A1125" s="11" t="s">
        <v>1073</v>
      </c>
      <c r="B1125" s="11"/>
      <c r="C1125" s="11"/>
      <c r="D1125" s="11"/>
      <c r="E1125" s="11"/>
      <c r="F1125" s="11"/>
      <c r="G1125" s="11"/>
      <c r="H1125" s="11"/>
    </row>
    <row r="1126" customFormat="false" ht="54.75" hidden="false" customHeight="true" outlineLevel="0" collapsed="false">
      <c r="A1126" s="12" t="s">
        <v>1074</v>
      </c>
      <c r="B1126" s="12"/>
      <c r="C1126" s="12"/>
      <c r="D1126" s="12"/>
      <c r="E1126" s="12" t="s">
        <v>1075</v>
      </c>
      <c r="F1126" s="12"/>
      <c r="G1126" s="12"/>
      <c r="H1126" s="12"/>
    </row>
    <row r="1127" customFormat="false" ht="67.5" hidden="false" customHeight="true" outlineLevel="0" collapsed="false">
      <c r="A1127" s="12" t="s">
        <v>1076</v>
      </c>
      <c r="B1127" s="12"/>
      <c r="C1127" s="12"/>
      <c r="D1127" s="12"/>
      <c r="E1127" s="12" t="s">
        <v>53</v>
      </c>
      <c r="F1127" s="12"/>
      <c r="G1127" s="12"/>
      <c r="H1127" s="12"/>
    </row>
    <row r="1128" customFormat="false" ht="24" hidden="false" customHeight="true" outlineLevel="0" collapsed="false">
      <c r="A1128" s="13" t="s">
        <v>1065</v>
      </c>
      <c r="B1128" s="13"/>
      <c r="C1128" s="13"/>
      <c r="D1128" s="13"/>
      <c r="E1128" s="13"/>
      <c r="F1128" s="13"/>
      <c r="G1128" s="13"/>
      <c r="H1128" s="13"/>
    </row>
    <row r="1129" customFormat="false" ht="7.5" hidden="false" customHeight="true" outlineLevel="0" collapsed="false"/>
    <row r="1130" customFormat="false" ht="24" hidden="false" customHeight="true" outlineLevel="0" collapsed="false">
      <c r="A1130" s="9" t="s">
        <v>1077</v>
      </c>
      <c r="B1130" s="9"/>
      <c r="C1130" s="9"/>
      <c r="D1130" s="9"/>
      <c r="E1130" s="9"/>
      <c r="F1130" s="9"/>
      <c r="G1130" s="9"/>
      <c r="H1130" s="9"/>
    </row>
    <row r="1131" customFormat="false" ht="42" hidden="false" customHeight="true" outlineLevel="0" collapsed="false">
      <c r="A1131" s="10" t="s">
        <v>987</v>
      </c>
      <c r="B1131" s="10"/>
      <c r="C1131" s="10"/>
      <c r="D1131" s="10"/>
      <c r="E1131" s="10"/>
      <c r="F1131" s="10"/>
      <c r="G1131" s="10"/>
      <c r="H1131" s="10"/>
    </row>
    <row r="1132" customFormat="false" ht="45.75" hidden="false" customHeight="true" outlineLevel="0" collapsed="false">
      <c r="A1132" s="11" t="s">
        <v>1078</v>
      </c>
      <c r="B1132" s="11"/>
      <c r="C1132" s="11"/>
      <c r="D1132" s="11"/>
      <c r="E1132" s="11"/>
      <c r="F1132" s="11"/>
      <c r="G1132" s="11"/>
      <c r="H1132" s="11"/>
    </row>
    <row r="1133" customFormat="false" ht="33.75" hidden="false" customHeight="true" outlineLevel="0" collapsed="false">
      <c r="A1133" s="12" t="s">
        <v>1079</v>
      </c>
      <c r="B1133" s="12"/>
      <c r="C1133" s="12"/>
      <c r="D1133" s="12"/>
      <c r="E1133" s="12" t="s">
        <v>1080</v>
      </c>
      <c r="F1133" s="12"/>
      <c r="G1133" s="12"/>
      <c r="H1133" s="12"/>
    </row>
    <row r="1134" customFormat="false" ht="33.75" hidden="false" customHeight="true" outlineLevel="0" collapsed="false">
      <c r="A1134" s="12" t="s">
        <v>1081</v>
      </c>
      <c r="B1134" s="12"/>
      <c r="C1134" s="12"/>
      <c r="D1134" s="12"/>
      <c r="E1134" s="12" t="s">
        <v>1082</v>
      </c>
      <c r="F1134" s="12"/>
      <c r="G1134" s="12"/>
      <c r="H1134" s="12"/>
    </row>
    <row r="1135" customFormat="false" ht="24" hidden="false" customHeight="true" outlineLevel="0" collapsed="false">
      <c r="A1135" s="13" t="s">
        <v>1083</v>
      </c>
      <c r="B1135" s="13"/>
      <c r="C1135" s="13"/>
      <c r="D1135" s="13"/>
      <c r="E1135" s="13"/>
      <c r="F1135" s="13"/>
      <c r="G1135" s="13"/>
      <c r="H1135" s="13"/>
    </row>
    <row r="1136" customFormat="false" ht="7.5" hidden="false" customHeight="true" outlineLevel="0" collapsed="false"/>
    <row r="1137" customFormat="false" ht="24" hidden="false" customHeight="true" outlineLevel="0" collapsed="false">
      <c r="A1137" s="9" t="s">
        <v>1084</v>
      </c>
      <c r="B1137" s="9"/>
      <c r="C1137" s="9"/>
      <c r="D1137" s="9"/>
      <c r="E1137" s="9"/>
      <c r="F1137" s="9"/>
      <c r="G1137" s="9"/>
      <c r="H1137" s="9"/>
    </row>
    <row r="1138" customFormat="false" ht="42" hidden="false" customHeight="true" outlineLevel="0" collapsed="false">
      <c r="A1138" s="10" t="s">
        <v>987</v>
      </c>
      <c r="B1138" s="10"/>
      <c r="C1138" s="10"/>
      <c r="D1138" s="10"/>
      <c r="E1138" s="10"/>
      <c r="F1138" s="10"/>
      <c r="G1138" s="10"/>
      <c r="H1138" s="10"/>
    </row>
    <row r="1139" customFormat="false" ht="45.75" hidden="false" customHeight="true" outlineLevel="0" collapsed="false">
      <c r="A1139" s="11" t="s">
        <v>1085</v>
      </c>
      <c r="B1139" s="11"/>
      <c r="C1139" s="11"/>
      <c r="D1139" s="11"/>
      <c r="E1139" s="11"/>
      <c r="F1139" s="11"/>
      <c r="G1139" s="11"/>
      <c r="H1139" s="11"/>
    </row>
    <row r="1140" customFormat="false" ht="33.75" hidden="false" customHeight="true" outlineLevel="0" collapsed="false">
      <c r="A1140" s="12" t="s">
        <v>1086</v>
      </c>
      <c r="B1140" s="12"/>
      <c r="C1140" s="12"/>
      <c r="D1140" s="12"/>
      <c r="E1140" s="12" t="s">
        <v>1087</v>
      </c>
      <c r="F1140" s="12"/>
      <c r="G1140" s="12"/>
      <c r="H1140" s="12"/>
    </row>
    <row r="1141" customFormat="false" ht="33.75" hidden="false" customHeight="true" outlineLevel="0" collapsed="false">
      <c r="A1141" s="12" t="s">
        <v>1088</v>
      </c>
      <c r="B1141" s="12"/>
      <c r="C1141" s="12"/>
      <c r="D1141" s="12"/>
      <c r="E1141" s="12" t="s">
        <v>1089</v>
      </c>
      <c r="F1141" s="12"/>
      <c r="G1141" s="12"/>
      <c r="H1141" s="12"/>
    </row>
    <row r="1142" customFormat="false" ht="24" hidden="false" customHeight="true" outlineLevel="0" collapsed="false">
      <c r="A1142" s="13" t="s">
        <v>1083</v>
      </c>
      <c r="B1142" s="13"/>
      <c r="C1142" s="13"/>
      <c r="D1142" s="13"/>
      <c r="E1142" s="13"/>
      <c r="F1142" s="13"/>
      <c r="G1142" s="13"/>
      <c r="H1142" s="13"/>
    </row>
    <row r="1143" customFormat="false" ht="7.5" hidden="false" customHeight="true" outlineLevel="0" collapsed="false"/>
    <row r="1144" customFormat="false" ht="24" hidden="false" customHeight="true" outlineLevel="0" collapsed="false">
      <c r="A1144" s="9" t="s">
        <v>1090</v>
      </c>
      <c r="B1144" s="9"/>
      <c r="C1144" s="9"/>
      <c r="D1144" s="9"/>
      <c r="E1144" s="9"/>
      <c r="F1144" s="9"/>
      <c r="G1144" s="9"/>
      <c r="H1144" s="9"/>
    </row>
    <row r="1145" customFormat="false" ht="42" hidden="false" customHeight="true" outlineLevel="0" collapsed="false">
      <c r="A1145" s="10" t="s">
        <v>987</v>
      </c>
      <c r="B1145" s="10"/>
      <c r="C1145" s="10"/>
      <c r="D1145" s="10"/>
      <c r="E1145" s="10"/>
      <c r="F1145" s="10"/>
      <c r="G1145" s="10"/>
      <c r="H1145" s="10"/>
    </row>
    <row r="1146" customFormat="false" ht="42" hidden="false" customHeight="true" outlineLevel="0" collapsed="false">
      <c r="A1146" s="11" t="s">
        <v>1091</v>
      </c>
      <c r="B1146" s="11"/>
      <c r="C1146" s="11"/>
      <c r="D1146" s="11"/>
      <c r="E1146" s="11"/>
      <c r="F1146" s="11"/>
      <c r="G1146" s="11"/>
      <c r="H1146" s="11"/>
    </row>
    <row r="1147" customFormat="false" ht="33.75" hidden="false" customHeight="true" outlineLevel="0" collapsed="false">
      <c r="A1147" s="12" t="s">
        <v>1092</v>
      </c>
      <c r="B1147" s="12"/>
      <c r="C1147" s="12"/>
      <c r="D1147" s="12"/>
      <c r="E1147" s="12" t="s">
        <v>1093</v>
      </c>
      <c r="F1147" s="12"/>
      <c r="G1147" s="12"/>
      <c r="H1147" s="12"/>
    </row>
    <row r="1148" customFormat="false" ht="33.75" hidden="false" customHeight="true" outlineLevel="0" collapsed="false">
      <c r="A1148" s="12" t="s">
        <v>1094</v>
      </c>
      <c r="B1148" s="12"/>
      <c r="C1148" s="12"/>
      <c r="D1148" s="12"/>
      <c r="E1148" s="12" t="s">
        <v>1095</v>
      </c>
      <c r="F1148" s="12"/>
      <c r="G1148" s="12"/>
      <c r="H1148" s="12"/>
    </row>
    <row r="1149" customFormat="false" ht="24" hidden="false" customHeight="true" outlineLevel="0" collapsed="false">
      <c r="A1149" s="13" t="s">
        <v>1083</v>
      </c>
      <c r="B1149" s="13"/>
      <c r="C1149" s="13"/>
      <c r="D1149" s="13"/>
      <c r="E1149" s="13"/>
      <c r="F1149" s="13"/>
      <c r="G1149" s="13"/>
      <c r="H1149" s="13"/>
    </row>
    <row r="1150" customFormat="false" ht="7.5" hidden="false" customHeight="true" outlineLevel="0" collapsed="false"/>
    <row r="1151" customFormat="false" ht="24" hidden="false" customHeight="true" outlineLevel="0" collapsed="false">
      <c r="A1151" s="9" t="s">
        <v>1096</v>
      </c>
      <c r="B1151" s="9"/>
      <c r="C1151" s="9"/>
      <c r="D1151" s="9"/>
      <c r="E1151" s="9"/>
      <c r="F1151" s="9"/>
      <c r="G1151" s="9"/>
      <c r="H1151" s="9"/>
    </row>
    <row r="1152" customFormat="false" ht="42" hidden="false" customHeight="true" outlineLevel="0" collapsed="false">
      <c r="A1152" s="10" t="s">
        <v>987</v>
      </c>
      <c r="B1152" s="10"/>
      <c r="C1152" s="10"/>
      <c r="D1152" s="10"/>
      <c r="E1152" s="10"/>
      <c r="F1152" s="10"/>
      <c r="G1152" s="10"/>
      <c r="H1152" s="10"/>
    </row>
    <row r="1153" customFormat="false" ht="42" hidden="false" customHeight="true" outlineLevel="0" collapsed="false">
      <c r="A1153" s="11" t="s">
        <v>1097</v>
      </c>
      <c r="B1153" s="11"/>
      <c r="C1153" s="11"/>
      <c r="D1153" s="11"/>
      <c r="E1153" s="11"/>
      <c r="F1153" s="11"/>
      <c r="G1153" s="11"/>
      <c r="H1153" s="11"/>
    </row>
    <row r="1154" customFormat="false" ht="33.75" hidden="false" customHeight="true" outlineLevel="0" collapsed="false">
      <c r="A1154" s="12" t="s">
        <v>1098</v>
      </c>
      <c r="B1154" s="12"/>
      <c r="C1154" s="12"/>
      <c r="D1154" s="12"/>
      <c r="E1154" s="12" t="s">
        <v>1099</v>
      </c>
      <c r="F1154" s="12"/>
      <c r="G1154" s="12"/>
      <c r="H1154" s="12"/>
    </row>
    <row r="1155" customFormat="false" ht="33.75" hidden="false" customHeight="true" outlineLevel="0" collapsed="false">
      <c r="A1155" s="12" t="s">
        <v>1100</v>
      </c>
      <c r="B1155" s="12"/>
      <c r="C1155" s="12"/>
      <c r="D1155" s="12"/>
      <c r="E1155" s="12" t="s">
        <v>1101</v>
      </c>
      <c r="F1155" s="12"/>
      <c r="G1155" s="12"/>
      <c r="H1155" s="12"/>
    </row>
    <row r="1156" customFormat="false" ht="24" hidden="false" customHeight="true" outlineLevel="0" collapsed="false">
      <c r="A1156" s="13" t="s">
        <v>1083</v>
      </c>
      <c r="B1156" s="13"/>
      <c r="C1156" s="13"/>
      <c r="D1156" s="13"/>
      <c r="E1156" s="13"/>
      <c r="F1156" s="13"/>
      <c r="G1156" s="13"/>
      <c r="H1156" s="13"/>
    </row>
    <row r="1157" customFormat="false" ht="7.5" hidden="false" customHeight="true" outlineLevel="0" collapsed="false"/>
    <row r="1158" customFormat="false" ht="24" hidden="false" customHeight="true" outlineLevel="0" collapsed="false">
      <c r="A1158" s="9" t="s">
        <v>1102</v>
      </c>
      <c r="B1158" s="9"/>
      <c r="C1158" s="9"/>
      <c r="D1158" s="9"/>
      <c r="E1158" s="9"/>
      <c r="F1158" s="9"/>
      <c r="G1158" s="9"/>
      <c r="H1158" s="9"/>
    </row>
    <row r="1159" customFormat="false" ht="42" hidden="false" customHeight="true" outlineLevel="0" collapsed="false">
      <c r="A1159" s="10" t="s">
        <v>987</v>
      </c>
      <c r="B1159" s="10"/>
      <c r="C1159" s="10"/>
      <c r="D1159" s="10"/>
      <c r="E1159" s="10"/>
      <c r="F1159" s="10"/>
      <c r="G1159" s="10"/>
      <c r="H1159" s="10"/>
    </row>
    <row r="1160" customFormat="false" ht="42" hidden="false" customHeight="true" outlineLevel="0" collapsed="false">
      <c r="A1160" s="11" t="s">
        <v>1103</v>
      </c>
      <c r="B1160" s="11"/>
      <c r="C1160" s="11"/>
      <c r="D1160" s="11"/>
      <c r="E1160" s="11"/>
      <c r="F1160" s="11"/>
      <c r="G1160" s="11"/>
      <c r="H1160" s="11"/>
    </row>
    <row r="1161" customFormat="false" ht="42" hidden="false" customHeight="true" outlineLevel="0" collapsed="false">
      <c r="A1161" s="12" t="s">
        <v>1104</v>
      </c>
      <c r="B1161" s="12"/>
      <c r="C1161" s="12"/>
      <c r="D1161" s="12"/>
      <c r="E1161" s="12" t="s">
        <v>1105</v>
      </c>
      <c r="F1161" s="12"/>
      <c r="G1161" s="12"/>
      <c r="H1161" s="12"/>
    </row>
    <row r="1162" customFormat="false" ht="33.75" hidden="false" customHeight="true" outlineLevel="0" collapsed="false">
      <c r="A1162" s="12" t="s">
        <v>1106</v>
      </c>
      <c r="B1162" s="12"/>
      <c r="C1162" s="12"/>
      <c r="D1162" s="12"/>
      <c r="E1162" s="12" t="s">
        <v>1028</v>
      </c>
      <c r="F1162" s="12"/>
      <c r="G1162" s="12"/>
      <c r="H1162" s="12"/>
    </row>
    <row r="1163" customFormat="false" ht="24" hidden="false" customHeight="true" outlineLevel="0" collapsed="false">
      <c r="A1163" s="13" t="s">
        <v>1107</v>
      </c>
      <c r="B1163" s="13"/>
      <c r="C1163" s="13"/>
      <c r="D1163" s="13"/>
      <c r="E1163" s="13"/>
      <c r="F1163" s="13"/>
      <c r="G1163" s="13"/>
      <c r="H1163" s="13"/>
    </row>
    <row r="1164" customFormat="false" ht="7.5" hidden="false" customHeight="true" outlineLevel="0" collapsed="false"/>
    <row r="1165" customFormat="false" ht="24" hidden="false" customHeight="true" outlineLevel="0" collapsed="false">
      <c r="A1165" s="9" t="s">
        <v>1108</v>
      </c>
      <c r="B1165" s="9"/>
      <c r="C1165" s="9"/>
      <c r="D1165" s="9"/>
      <c r="E1165" s="9"/>
      <c r="F1165" s="9"/>
      <c r="G1165" s="9"/>
      <c r="H1165" s="9"/>
    </row>
    <row r="1166" customFormat="false" ht="42" hidden="false" customHeight="true" outlineLevel="0" collapsed="false">
      <c r="A1166" s="10" t="s">
        <v>987</v>
      </c>
      <c r="B1166" s="10"/>
      <c r="C1166" s="10"/>
      <c r="D1166" s="10"/>
      <c r="E1166" s="10"/>
      <c r="F1166" s="10"/>
      <c r="G1166" s="10"/>
      <c r="H1166" s="10"/>
    </row>
    <row r="1167" customFormat="false" ht="42" hidden="false" customHeight="true" outlineLevel="0" collapsed="false">
      <c r="A1167" s="11" t="s">
        <v>1109</v>
      </c>
      <c r="B1167" s="11"/>
      <c r="C1167" s="11"/>
      <c r="D1167" s="11"/>
      <c r="E1167" s="11"/>
      <c r="F1167" s="11"/>
      <c r="G1167" s="11"/>
      <c r="H1167" s="11"/>
    </row>
    <row r="1168" customFormat="false" ht="33.75" hidden="false" customHeight="true" outlineLevel="0" collapsed="false">
      <c r="A1168" s="12" t="s">
        <v>1110</v>
      </c>
      <c r="B1168" s="12"/>
      <c r="C1168" s="12"/>
      <c r="D1168" s="12"/>
      <c r="E1168" s="12" t="s">
        <v>1111</v>
      </c>
      <c r="F1168" s="12"/>
      <c r="G1168" s="12"/>
      <c r="H1168" s="12"/>
    </row>
    <row r="1169" customFormat="false" ht="33.75" hidden="false" customHeight="true" outlineLevel="0" collapsed="false">
      <c r="A1169" s="12" t="s">
        <v>1112</v>
      </c>
      <c r="B1169" s="12"/>
      <c r="C1169" s="12"/>
      <c r="D1169" s="12"/>
      <c r="E1169" s="12" t="s">
        <v>1113</v>
      </c>
      <c r="F1169" s="12"/>
      <c r="G1169" s="12"/>
      <c r="H1169" s="12"/>
    </row>
    <row r="1170" customFormat="false" ht="24" hidden="false" customHeight="true" outlineLevel="0" collapsed="false">
      <c r="A1170" s="13" t="s">
        <v>1107</v>
      </c>
      <c r="B1170" s="13"/>
      <c r="C1170" s="13"/>
      <c r="D1170" s="13"/>
      <c r="E1170" s="13"/>
      <c r="F1170" s="13"/>
      <c r="G1170" s="13"/>
      <c r="H1170" s="13"/>
    </row>
    <row r="1171" customFormat="false" ht="7.5" hidden="false" customHeight="true" outlineLevel="0" collapsed="false"/>
    <row r="1172" customFormat="false" ht="24" hidden="false" customHeight="true" outlineLevel="0" collapsed="false">
      <c r="A1172" s="9" t="s">
        <v>1114</v>
      </c>
      <c r="B1172" s="9"/>
      <c r="C1172" s="9"/>
      <c r="D1172" s="9"/>
      <c r="E1172" s="9"/>
      <c r="F1172" s="9"/>
      <c r="G1172" s="9"/>
      <c r="H1172" s="9"/>
    </row>
    <row r="1173" customFormat="false" ht="42" hidden="false" customHeight="true" outlineLevel="0" collapsed="false">
      <c r="A1173" s="10" t="s">
        <v>987</v>
      </c>
      <c r="B1173" s="10"/>
      <c r="C1173" s="10"/>
      <c r="D1173" s="10"/>
      <c r="E1173" s="10"/>
      <c r="F1173" s="10"/>
      <c r="G1173" s="10"/>
      <c r="H1173" s="10"/>
    </row>
    <row r="1174" customFormat="false" ht="45.75" hidden="false" customHeight="true" outlineLevel="0" collapsed="false">
      <c r="A1174" s="11" t="s">
        <v>1115</v>
      </c>
      <c r="B1174" s="11"/>
      <c r="C1174" s="11"/>
      <c r="D1174" s="11"/>
      <c r="E1174" s="11"/>
      <c r="F1174" s="11"/>
      <c r="G1174" s="11"/>
      <c r="H1174" s="11"/>
    </row>
    <row r="1175" customFormat="false" ht="54.75" hidden="false" customHeight="true" outlineLevel="0" collapsed="false">
      <c r="A1175" s="12" t="s">
        <v>1116</v>
      </c>
      <c r="B1175" s="12"/>
      <c r="C1175" s="12"/>
      <c r="D1175" s="12"/>
      <c r="E1175" s="12" t="s">
        <v>1117</v>
      </c>
      <c r="F1175" s="12"/>
      <c r="G1175" s="12"/>
      <c r="H1175" s="12"/>
    </row>
    <row r="1176" customFormat="false" ht="42" hidden="false" customHeight="true" outlineLevel="0" collapsed="false">
      <c r="A1176" s="12" t="s">
        <v>1118</v>
      </c>
      <c r="B1176" s="12"/>
      <c r="C1176" s="12"/>
      <c r="D1176" s="12"/>
      <c r="E1176" s="12" t="s">
        <v>1028</v>
      </c>
      <c r="F1176" s="12"/>
      <c r="G1176" s="12"/>
      <c r="H1176" s="12"/>
    </row>
    <row r="1177" customFormat="false" ht="24" hidden="false" customHeight="true" outlineLevel="0" collapsed="false">
      <c r="A1177" s="13" t="s">
        <v>1107</v>
      </c>
      <c r="B1177" s="13"/>
      <c r="C1177" s="13"/>
      <c r="D1177" s="13"/>
      <c r="E1177" s="13"/>
      <c r="F1177" s="13"/>
      <c r="G1177" s="13"/>
      <c r="H1177" s="13"/>
    </row>
    <row r="1178" customFormat="false" ht="7.5" hidden="false" customHeight="true" outlineLevel="0" collapsed="false"/>
    <row r="1179" customFormat="false" ht="24" hidden="false" customHeight="true" outlineLevel="0" collapsed="false">
      <c r="A1179" s="9" t="s">
        <v>1119</v>
      </c>
      <c r="B1179" s="9"/>
      <c r="C1179" s="9"/>
      <c r="D1179" s="9"/>
      <c r="E1179" s="9"/>
      <c r="F1179" s="9"/>
      <c r="G1179" s="9"/>
      <c r="H1179" s="9"/>
    </row>
    <row r="1180" customFormat="false" ht="42" hidden="false" customHeight="true" outlineLevel="0" collapsed="false">
      <c r="A1180" s="10" t="s">
        <v>987</v>
      </c>
      <c r="B1180" s="10"/>
      <c r="C1180" s="10"/>
      <c r="D1180" s="10"/>
      <c r="E1180" s="10"/>
      <c r="F1180" s="10"/>
      <c r="G1180" s="10"/>
      <c r="H1180" s="10"/>
    </row>
    <row r="1181" customFormat="false" ht="45.75" hidden="false" customHeight="true" outlineLevel="0" collapsed="false">
      <c r="A1181" s="11" t="s">
        <v>1120</v>
      </c>
      <c r="B1181" s="11"/>
      <c r="C1181" s="11"/>
      <c r="D1181" s="11"/>
      <c r="E1181" s="11"/>
      <c r="F1181" s="11"/>
      <c r="G1181" s="11"/>
      <c r="H1181" s="11"/>
    </row>
    <row r="1182" customFormat="false" ht="54.75" hidden="false" customHeight="true" outlineLevel="0" collapsed="false">
      <c r="A1182" s="12" t="s">
        <v>1121</v>
      </c>
      <c r="B1182" s="12"/>
      <c r="C1182" s="12"/>
      <c r="D1182" s="12"/>
      <c r="E1182" s="12" t="s">
        <v>1122</v>
      </c>
      <c r="F1182" s="12"/>
      <c r="G1182" s="12"/>
      <c r="H1182" s="12"/>
    </row>
    <row r="1183" customFormat="false" ht="54.75" hidden="false" customHeight="true" outlineLevel="0" collapsed="false">
      <c r="A1183" s="12" t="s">
        <v>1123</v>
      </c>
      <c r="B1183" s="12"/>
      <c r="C1183" s="12"/>
      <c r="D1183" s="12"/>
      <c r="E1183" s="12" t="s">
        <v>1124</v>
      </c>
      <c r="F1183" s="12"/>
      <c r="G1183" s="12"/>
      <c r="H1183" s="12"/>
    </row>
    <row r="1184" customFormat="false" ht="24" hidden="false" customHeight="true" outlineLevel="0" collapsed="false">
      <c r="A1184" s="13" t="s">
        <v>1125</v>
      </c>
      <c r="B1184" s="13"/>
      <c r="C1184" s="13"/>
      <c r="D1184" s="13"/>
      <c r="E1184" s="13"/>
      <c r="F1184" s="13"/>
      <c r="G1184" s="13"/>
      <c r="H1184" s="13"/>
    </row>
    <row r="1185" customFormat="false" ht="7.5" hidden="false" customHeight="true" outlineLevel="0" collapsed="false"/>
    <row r="1186" customFormat="false" ht="24" hidden="false" customHeight="true" outlineLevel="0" collapsed="false">
      <c r="A1186" s="9" t="s">
        <v>1126</v>
      </c>
      <c r="B1186" s="9"/>
      <c r="C1186" s="9"/>
      <c r="D1186" s="9"/>
      <c r="E1186" s="9"/>
      <c r="F1186" s="9"/>
      <c r="G1186" s="9"/>
      <c r="H1186" s="9"/>
    </row>
    <row r="1187" customFormat="false" ht="87" hidden="false" customHeight="true" outlineLevel="0" collapsed="false">
      <c r="A1187" s="10" t="s">
        <v>1127</v>
      </c>
      <c r="B1187" s="10"/>
      <c r="C1187" s="10"/>
      <c r="D1187" s="10"/>
      <c r="E1187" s="10"/>
      <c r="F1187" s="10"/>
      <c r="G1187" s="10"/>
      <c r="H1187" s="10"/>
    </row>
    <row r="1188" customFormat="false" ht="99.75" hidden="false" customHeight="true" outlineLevel="0" collapsed="false">
      <c r="A1188" s="10" t="s">
        <v>1128</v>
      </c>
      <c r="B1188" s="10"/>
      <c r="C1188" s="10"/>
      <c r="D1188" s="10"/>
      <c r="E1188" s="10"/>
      <c r="F1188" s="10"/>
      <c r="G1188" s="10"/>
      <c r="H1188" s="10"/>
    </row>
    <row r="1189" customFormat="false" ht="45.75" hidden="false" customHeight="true" outlineLevel="0" collapsed="false">
      <c r="A1189" s="11" t="s">
        <v>1129</v>
      </c>
      <c r="B1189" s="11"/>
      <c r="C1189" s="11"/>
      <c r="D1189" s="11"/>
      <c r="E1189" s="11"/>
      <c r="F1189" s="11"/>
      <c r="G1189" s="11"/>
      <c r="H1189" s="11"/>
    </row>
    <row r="1190" customFormat="false" ht="33.75" hidden="false" customHeight="true" outlineLevel="0" collapsed="false">
      <c r="A1190" s="12" t="s">
        <v>1130</v>
      </c>
      <c r="B1190" s="12"/>
      <c r="C1190" s="12"/>
      <c r="D1190" s="12"/>
      <c r="E1190" s="12" t="s">
        <v>1131</v>
      </c>
      <c r="F1190" s="12"/>
      <c r="G1190" s="12"/>
      <c r="H1190" s="12"/>
    </row>
    <row r="1191" customFormat="false" ht="33.75" hidden="false" customHeight="true" outlineLevel="0" collapsed="false">
      <c r="A1191" s="12" t="s">
        <v>1132</v>
      </c>
      <c r="B1191" s="12"/>
      <c r="C1191" s="12"/>
      <c r="D1191" s="12"/>
      <c r="E1191" s="12" t="s">
        <v>1133</v>
      </c>
      <c r="F1191" s="12"/>
      <c r="G1191" s="12"/>
      <c r="H1191" s="12"/>
    </row>
    <row r="1192" customFormat="false" ht="24" hidden="false" customHeight="true" outlineLevel="0" collapsed="false">
      <c r="A1192" s="13" t="s">
        <v>1134</v>
      </c>
      <c r="B1192" s="13"/>
      <c r="C1192" s="13"/>
      <c r="D1192" s="13"/>
      <c r="E1192" s="13"/>
      <c r="F1192" s="13"/>
      <c r="G1192" s="13"/>
      <c r="H1192" s="13"/>
    </row>
    <row r="1193" customFormat="false" ht="7.5" hidden="false" customHeight="true" outlineLevel="0" collapsed="false"/>
    <row r="1194" customFormat="false" ht="24" hidden="false" customHeight="true" outlineLevel="0" collapsed="false">
      <c r="A1194" s="9" t="s">
        <v>1135</v>
      </c>
      <c r="B1194" s="9"/>
      <c r="C1194" s="9"/>
      <c r="D1194" s="9"/>
      <c r="E1194" s="9"/>
      <c r="F1194" s="9"/>
      <c r="G1194" s="9"/>
      <c r="H1194" s="9"/>
    </row>
    <row r="1195" customFormat="false" ht="42" hidden="false" customHeight="true" outlineLevel="0" collapsed="false">
      <c r="A1195" s="10" t="s">
        <v>1136</v>
      </c>
      <c r="B1195" s="10"/>
      <c r="C1195" s="10"/>
      <c r="D1195" s="10"/>
      <c r="E1195" s="10"/>
      <c r="F1195" s="10"/>
      <c r="G1195" s="10"/>
      <c r="H1195" s="10"/>
    </row>
    <row r="1196" customFormat="false" ht="45.75" hidden="false" customHeight="true" outlineLevel="0" collapsed="false">
      <c r="A1196" s="11" t="s">
        <v>1137</v>
      </c>
      <c r="B1196" s="11"/>
      <c r="C1196" s="11"/>
      <c r="D1196" s="11"/>
      <c r="E1196" s="11"/>
      <c r="F1196" s="11"/>
      <c r="G1196" s="11"/>
      <c r="H1196" s="11"/>
    </row>
    <row r="1197" customFormat="false" ht="42" hidden="false" customHeight="true" outlineLevel="0" collapsed="false">
      <c r="A1197" s="12" t="s">
        <v>1138</v>
      </c>
      <c r="B1197" s="12"/>
      <c r="C1197" s="12"/>
      <c r="D1197" s="12"/>
      <c r="E1197" s="12" t="s">
        <v>1139</v>
      </c>
      <c r="F1197" s="12"/>
      <c r="G1197" s="12"/>
      <c r="H1197" s="12"/>
    </row>
    <row r="1198" customFormat="false" ht="42" hidden="false" customHeight="true" outlineLevel="0" collapsed="false">
      <c r="A1198" s="12" t="s">
        <v>1140</v>
      </c>
      <c r="B1198" s="12"/>
      <c r="C1198" s="12"/>
      <c r="D1198" s="12"/>
      <c r="E1198" s="12" t="s">
        <v>1141</v>
      </c>
      <c r="F1198" s="12"/>
      <c r="G1198" s="12"/>
      <c r="H1198" s="12"/>
    </row>
    <row r="1199" customFormat="false" ht="24" hidden="false" customHeight="true" outlineLevel="0" collapsed="false">
      <c r="A1199" s="13" t="s">
        <v>1134</v>
      </c>
      <c r="B1199" s="13"/>
      <c r="C1199" s="13"/>
      <c r="D1199" s="13"/>
      <c r="E1199" s="13"/>
      <c r="F1199" s="13"/>
      <c r="G1199" s="13"/>
      <c r="H1199" s="13"/>
    </row>
    <row r="1200" customFormat="false" ht="7.5" hidden="false" customHeight="true" outlineLevel="0" collapsed="false"/>
    <row r="1201" customFormat="false" ht="24" hidden="false" customHeight="true" outlineLevel="0" collapsed="false">
      <c r="A1201" s="9" t="s">
        <v>1142</v>
      </c>
      <c r="B1201" s="9"/>
      <c r="C1201" s="9"/>
      <c r="D1201" s="9"/>
      <c r="E1201" s="9"/>
      <c r="F1201" s="9"/>
      <c r="G1201" s="9"/>
      <c r="H1201" s="9"/>
    </row>
    <row r="1202" customFormat="false" ht="42" hidden="false" customHeight="true" outlineLevel="0" collapsed="false">
      <c r="A1202" s="10" t="s">
        <v>1136</v>
      </c>
      <c r="B1202" s="10"/>
      <c r="C1202" s="10"/>
      <c r="D1202" s="10"/>
      <c r="E1202" s="10"/>
      <c r="F1202" s="10"/>
      <c r="G1202" s="10"/>
      <c r="H1202" s="10"/>
    </row>
    <row r="1203" customFormat="false" ht="45.75" hidden="false" customHeight="true" outlineLevel="0" collapsed="false">
      <c r="A1203" s="11" t="s">
        <v>1143</v>
      </c>
      <c r="B1203" s="11"/>
      <c r="C1203" s="11"/>
      <c r="D1203" s="11"/>
      <c r="E1203" s="11"/>
      <c r="F1203" s="11"/>
      <c r="G1203" s="11"/>
      <c r="H1203" s="11"/>
    </row>
    <row r="1204" customFormat="false" ht="67.5" hidden="false" customHeight="true" outlineLevel="0" collapsed="false">
      <c r="A1204" s="12" t="s">
        <v>1144</v>
      </c>
      <c r="B1204" s="12"/>
      <c r="C1204" s="12"/>
      <c r="D1204" s="12"/>
      <c r="E1204" s="12" t="s">
        <v>1145</v>
      </c>
      <c r="F1204" s="12"/>
      <c r="G1204" s="12"/>
      <c r="H1204" s="12"/>
    </row>
    <row r="1205" customFormat="false" ht="67.5" hidden="false" customHeight="true" outlineLevel="0" collapsed="false">
      <c r="A1205" s="12" t="s">
        <v>1146</v>
      </c>
      <c r="B1205" s="12"/>
      <c r="C1205" s="12"/>
      <c r="D1205" s="12"/>
      <c r="E1205" s="12" t="s">
        <v>1147</v>
      </c>
      <c r="F1205" s="12"/>
      <c r="G1205" s="12"/>
      <c r="H1205" s="12"/>
    </row>
    <row r="1206" customFormat="false" ht="24" hidden="false" customHeight="true" outlineLevel="0" collapsed="false">
      <c r="A1206" s="13" t="s">
        <v>1134</v>
      </c>
      <c r="B1206" s="13"/>
      <c r="C1206" s="13"/>
      <c r="D1206" s="13"/>
      <c r="E1206" s="13"/>
      <c r="F1206" s="13"/>
      <c r="G1206" s="13"/>
      <c r="H1206" s="13"/>
    </row>
    <row r="1207" customFormat="false" ht="7.5" hidden="false" customHeight="true" outlineLevel="0" collapsed="false"/>
    <row r="1208" customFormat="false" ht="24" hidden="false" customHeight="true" outlineLevel="0" collapsed="false">
      <c r="A1208" s="9" t="s">
        <v>1148</v>
      </c>
      <c r="B1208" s="9"/>
      <c r="C1208" s="9"/>
      <c r="D1208" s="9"/>
      <c r="E1208" s="9"/>
      <c r="F1208" s="9"/>
      <c r="G1208" s="9"/>
      <c r="H1208" s="9"/>
    </row>
    <row r="1209" customFormat="false" ht="42" hidden="false" customHeight="true" outlineLevel="0" collapsed="false">
      <c r="A1209" s="10" t="s">
        <v>1136</v>
      </c>
      <c r="B1209" s="10"/>
      <c r="C1209" s="10"/>
      <c r="D1209" s="10"/>
      <c r="E1209" s="10"/>
      <c r="F1209" s="10"/>
      <c r="G1209" s="10"/>
      <c r="H1209" s="10"/>
    </row>
    <row r="1210" customFormat="false" ht="45.75" hidden="false" customHeight="true" outlineLevel="0" collapsed="false">
      <c r="A1210" s="11" t="s">
        <v>1149</v>
      </c>
      <c r="B1210" s="11"/>
      <c r="C1210" s="11"/>
      <c r="D1210" s="11"/>
      <c r="E1210" s="11"/>
      <c r="F1210" s="11"/>
      <c r="G1210" s="11"/>
      <c r="H1210" s="11"/>
    </row>
    <row r="1211" customFormat="false" ht="42" hidden="false" customHeight="true" outlineLevel="0" collapsed="false">
      <c r="A1211" s="12" t="s">
        <v>1150</v>
      </c>
      <c r="B1211" s="12"/>
      <c r="C1211" s="12"/>
      <c r="D1211" s="12"/>
      <c r="E1211" s="12" t="s">
        <v>1151</v>
      </c>
      <c r="F1211" s="12"/>
      <c r="G1211" s="12"/>
      <c r="H1211" s="12"/>
    </row>
    <row r="1212" customFormat="false" ht="42" hidden="false" customHeight="true" outlineLevel="0" collapsed="false">
      <c r="A1212" s="12" t="s">
        <v>1152</v>
      </c>
      <c r="B1212" s="12"/>
      <c r="C1212" s="12"/>
      <c r="D1212" s="12"/>
      <c r="E1212" s="12" t="s">
        <v>1153</v>
      </c>
      <c r="F1212" s="12"/>
      <c r="G1212" s="12"/>
      <c r="H1212" s="12"/>
    </row>
    <row r="1213" customFormat="false" ht="24" hidden="false" customHeight="true" outlineLevel="0" collapsed="false">
      <c r="A1213" s="13" t="s">
        <v>1154</v>
      </c>
      <c r="B1213" s="13"/>
      <c r="C1213" s="13"/>
      <c r="D1213" s="13"/>
      <c r="E1213" s="13"/>
      <c r="F1213" s="13"/>
      <c r="G1213" s="13"/>
      <c r="H1213" s="13"/>
    </row>
    <row r="1214" customFormat="false" ht="7.5" hidden="false" customHeight="true" outlineLevel="0" collapsed="false"/>
    <row r="1215" customFormat="false" ht="24" hidden="false" customHeight="true" outlineLevel="0" collapsed="false">
      <c r="A1215" s="9" t="s">
        <v>1155</v>
      </c>
      <c r="B1215" s="9"/>
      <c r="C1215" s="9"/>
      <c r="D1215" s="9"/>
      <c r="E1215" s="9"/>
      <c r="F1215" s="9"/>
      <c r="G1215" s="9"/>
      <c r="H1215" s="9"/>
    </row>
    <row r="1216" customFormat="false" ht="42" hidden="false" customHeight="true" outlineLevel="0" collapsed="false">
      <c r="A1216" s="10" t="s">
        <v>1136</v>
      </c>
      <c r="B1216" s="10"/>
      <c r="C1216" s="10"/>
      <c r="D1216" s="10"/>
      <c r="E1216" s="10"/>
      <c r="F1216" s="10"/>
      <c r="G1216" s="10"/>
      <c r="H1216" s="10"/>
    </row>
    <row r="1217" customFormat="false" ht="45.75" hidden="false" customHeight="true" outlineLevel="0" collapsed="false">
      <c r="A1217" s="11" t="s">
        <v>1156</v>
      </c>
      <c r="B1217" s="11"/>
      <c r="C1217" s="11"/>
      <c r="D1217" s="11"/>
      <c r="E1217" s="11"/>
      <c r="F1217" s="11"/>
      <c r="G1217" s="11"/>
      <c r="H1217" s="11"/>
    </row>
    <row r="1218" customFormat="false" ht="33.75" hidden="false" customHeight="true" outlineLevel="0" collapsed="false">
      <c r="A1218" s="12" t="s">
        <v>1157</v>
      </c>
      <c r="B1218" s="12"/>
      <c r="C1218" s="12"/>
      <c r="D1218" s="12"/>
      <c r="E1218" s="12" t="s">
        <v>1158</v>
      </c>
      <c r="F1218" s="12"/>
      <c r="G1218" s="12"/>
      <c r="H1218" s="12"/>
    </row>
    <row r="1219" customFormat="false" ht="33.75" hidden="false" customHeight="true" outlineLevel="0" collapsed="false">
      <c r="A1219" s="12" t="s">
        <v>1159</v>
      </c>
      <c r="B1219" s="12"/>
      <c r="C1219" s="12"/>
      <c r="D1219" s="12"/>
      <c r="E1219" s="12" t="s">
        <v>1160</v>
      </c>
      <c r="F1219" s="12"/>
      <c r="G1219" s="12"/>
      <c r="H1219" s="12"/>
    </row>
    <row r="1220" customFormat="false" ht="24" hidden="false" customHeight="true" outlineLevel="0" collapsed="false">
      <c r="A1220" s="13" t="s">
        <v>1154</v>
      </c>
      <c r="B1220" s="13"/>
      <c r="C1220" s="13"/>
      <c r="D1220" s="13"/>
      <c r="E1220" s="13"/>
      <c r="F1220" s="13"/>
      <c r="G1220" s="13"/>
      <c r="H1220" s="13"/>
    </row>
    <row r="1221" customFormat="false" ht="7.5" hidden="false" customHeight="true" outlineLevel="0" collapsed="false"/>
    <row r="1222" customFormat="false" ht="24" hidden="false" customHeight="true" outlineLevel="0" collapsed="false">
      <c r="A1222" s="9" t="s">
        <v>1161</v>
      </c>
      <c r="B1222" s="9"/>
      <c r="C1222" s="9"/>
      <c r="D1222" s="9"/>
      <c r="E1222" s="9"/>
      <c r="F1222" s="9"/>
      <c r="G1222" s="9"/>
      <c r="H1222" s="9"/>
    </row>
    <row r="1223" customFormat="false" ht="42" hidden="false" customHeight="true" outlineLevel="0" collapsed="false">
      <c r="A1223" s="10" t="s">
        <v>1136</v>
      </c>
      <c r="B1223" s="10"/>
      <c r="C1223" s="10"/>
      <c r="D1223" s="10"/>
      <c r="E1223" s="10"/>
      <c r="F1223" s="10"/>
      <c r="G1223" s="10"/>
      <c r="H1223" s="10"/>
    </row>
    <row r="1224" customFormat="false" ht="73.5" hidden="false" customHeight="true" outlineLevel="0" collapsed="false">
      <c r="A1224" s="11" t="s">
        <v>1162</v>
      </c>
      <c r="B1224" s="11"/>
      <c r="C1224" s="11"/>
      <c r="D1224" s="11"/>
      <c r="E1224" s="11"/>
      <c r="F1224" s="11"/>
      <c r="G1224" s="11"/>
      <c r="H1224" s="11"/>
    </row>
    <row r="1225" customFormat="false" ht="33.75" hidden="false" customHeight="true" outlineLevel="0" collapsed="false">
      <c r="A1225" s="12" t="s">
        <v>1163</v>
      </c>
      <c r="B1225" s="12"/>
      <c r="C1225" s="12"/>
      <c r="D1225" s="12"/>
      <c r="E1225" s="12" t="s">
        <v>1164</v>
      </c>
      <c r="F1225" s="12"/>
      <c r="G1225" s="12"/>
      <c r="H1225" s="12"/>
    </row>
    <row r="1226" customFormat="false" ht="33.75" hidden="false" customHeight="true" outlineLevel="0" collapsed="false">
      <c r="A1226" s="12" t="s">
        <v>1165</v>
      </c>
      <c r="B1226" s="12"/>
      <c r="C1226" s="12"/>
      <c r="D1226" s="12"/>
      <c r="E1226" s="12" t="s">
        <v>1166</v>
      </c>
      <c r="F1226" s="12"/>
      <c r="G1226" s="12"/>
      <c r="H1226" s="12"/>
    </row>
    <row r="1227" customFormat="false" ht="24" hidden="false" customHeight="true" outlineLevel="0" collapsed="false">
      <c r="A1227" s="13" t="s">
        <v>1154</v>
      </c>
      <c r="B1227" s="13"/>
      <c r="C1227" s="13"/>
      <c r="D1227" s="13"/>
      <c r="E1227" s="13"/>
      <c r="F1227" s="13"/>
      <c r="G1227" s="13"/>
      <c r="H1227" s="13"/>
    </row>
    <row r="1228" customFormat="false" ht="7.5" hidden="false" customHeight="true" outlineLevel="0" collapsed="false"/>
    <row r="1229" customFormat="false" ht="24" hidden="false" customHeight="true" outlineLevel="0" collapsed="false">
      <c r="A1229" s="9" t="s">
        <v>1167</v>
      </c>
      <c r="B1229" s="9"/>
      <c r="C1229" s="9"/>
      <c r="D1229" s="9"/>
      <c r="E1229" s="9"/>
      <c r="F1229" s="9"/>
      <c r="G1229" s="9"/>
      <c r="H1229" s="9"/>
    </row>
    <row r="1230" customFormat="false" ht="48" hidden="false" customHeight="true" outlineLevel="0" collapsed="false">
      <c r="A1230" s="10" t="s">
        <v>1168</v>
      </c>
      <c r="B1230" s="10"/>
      <c r="C1230" s="10"/>
      <c r="D1230" s="10"/>
      <c r="E1230" s="10"/>
      <c r="F1230" s="10"/>
      <c r="G1230" s="10"/>
      <c r="H1230" s="10"/>
    </row>
    <row r="1231" customFormat="false" ht="42" hidden="false" customHeight="true" outlineLevel="0" collapsed="false">
      <c r="A1231" s="11" t="s">
        <v>1169</v>
      </c>
      <c r="B1231" s="11"/>
      <c r="C1231" s="11"/>
      <c r="D1231" s="11"/>
      <c r="E1231" s="11"/>
      <c r="F1231" s="11"/>
      <c r="G1231" s="11"/>
      <c r="H1231" s="11"/>
    </row>
    <row r="1232" customFormat="false" ht="54.75" hidden="false" customHeight="true" outlineLevel="0" collapsed="false">
      <c r="A1232" s="12" t="s">
        <v>1170</v>
      </c>
      <c r="B1232" s="12"/>
      <c r="C1232" s="12"/>
      <c r="D1232" s="12"/>
      <c r="E1232" s="12" t="s">
        <v>1171</v>
      </c>
      <c r="F1232" s="12"/>
      <c r="G1232" s="12"/>
      <c r="H1232" s="12"/>
    </row>
    <row r="1233" customFormat="false" ht="42" hidden="false" customHeight="true" outlineLevel="0" collapsed="false">
      <c r="A1233" s="12" t="s">
        <v>1172</v>
      </c>
      <c r="B1233" s="12"/>
      <c r="C1233" s="12"/>
      <c r="D1233" s="12"/>
      <c r="E1233" s="12" t="s">
        <v>1173</v>
      </c>
      <c r="F1233" s="12"/>
      <c r="G1233" s="12"/>
      <c r="H1233" s="12"/>
    </row>
    <row r="1234" customFormat="false" ht="24" hidden="false" customHeight="true" outlineLevel="0" collapsed="false">
      <c r="A1234" s="13" t="s">
        <v>1174</v>
      </c>
      <c r="B1234" s="13"/>
      <c r="C1234" s="13"/>
      <c r="D1234" s="13"/>
      <c r="E1234" s="13"/>
      <c r="F1234" s="13"/>
      <c r="G1234" s="13"/>
      <c r="H1234" s="13"/>
    </row>
    <row r="1235" customFormat="false" ht="7.5" hidden="false" customHeight="true" outlineLevel="0" collapsed="false"/>
    <row r="1236" customFormat="false" ht="24" hidden="false" customHeight="true" outlineLevel="0" collapsed="false">
      <c r="A1236" s="9" t="s">
        <v>1175</v>
      </c>
      <c r="B1236" s="9"/>
      <c r="C1236" s="9"/>
      <c r="D1236" s="9"/>
      <c r="E1236" s="9"/>
      <c r="F1236" s="9"/>
      <c r="G1236" s="9"/>
      <c r="H1236" s="9"/>
    </row>
    <row r="1237" customFormat="false" ht="42" hidden="false" customHeight="true" outlineLevel="0" collapsed="false">
      <c r="A1237" s="10" t="s">
        <v>1176</v>
      </c>
      <c r="B1237" s="10"/>
      <c r="C1237" s="10"/>
      <c r="D1237" s="10"/>
      <c r="E1237" s="10"/>
      <c r="F1237" s="10"/>
      <c r="G1237" s="10"/>
      <c r="H1237" s="10"/>
    </row>
    <row r="1238" customFormat="false" ht="45.75" hidden="false" customHeight="true" outlineLevel="0" collapsed="false">
      <c r="A1238" s="11" t="s">
        <v>1177</v>
      </c>
      <c r="B1238" s="11"/>
      <c r="C1238" s="11"/>
      <c r="D1238" s="11"/>
      <c r="E1238" s="11"/>
      <c r="F1238" s="11"/>
      <c r="G1238" s="11"/>
      <c r="H1238" s="11"/>
    </row>
    <row r="1239" customFormat="false" ht="67.5" hidden="false" customHeight="true" outlineLevel="0" collapsed="false">
      <c r="A1239" s="12" t="s">
        <v>1178</v>
      </c>
      <c r="B1239" s="12"/>
      <c r="C1239" s="12"/>
      <c r="D1239" s="12"/>
      <c r="E1239" s="12" t="s">
        <v>1179</v>
      </c>
      <c r="F1239" s="12"/>
      <c r="G1239" s="12"/>
      <c r="H1239" s="12"/>
    </row>
    <row r="1240" customFormat="false" ht="54.75" hidden="false" customHeight="true" outlineLevel="0" collapsed="false">
      <c r="A1240" s="12" t="s">
        <v>1180</v>
      </c>
      <c r="B1240" s="12"/>
      <c r="C1240" s="12"/>
      <c r="D1240" s="12"/>
      <c r="E1240" s="12" t="s">
        <v>1181</v>
      </c>
      <c r="F1240" s="12"/>
      <c r="G1240" s="12"/>
      <c r="H1240" s="12"/>
    </row>
    <row r="1241" customFormat="false" ht="24" hidden="false" customHeight="true" outlineLevel="0" collapsed="false">
      <c r="A1241" s="13" t="s">
        <v>1174</v>
      </c>
      <c r="B1241" s="13"/>
      <c r="C1241" s="13"/>
      <c r="D1241" s="13"/>
      <c r="E1241" s="13"/>
      <c r="F1241" s="13"/>
      <c r="G1241" s="13"/>
      <c r="H1241" s="13"/>
    </row>
    <row r="1242" customFormat="false" ht="7.5" hidden="false" customHeight="true" outlineLevel="0" collapsed="false"/>
    <row r="1243" customFormat="false" ht="24" hidden="false" customHeight="true" outlineLevel="0" collapsed="false">
      <c r="A1243" s="9" t="s">
        <v>1182</v>
      </c>
      <c r="B1243" s="9"/>
      <c r="C1243" s="9"/>
      <c r="D1243" s="9"/>
      <c r="E1243" s="9"/>
      <c r="F1243" s="9"/>
      <c r="G1243" s="9"/>
      <c r="H1243" s="9"/>
    </row>
    <row r="1244" customFormat="false" ht="42" hidden="false" customHeight="true" outlineLevel="0" collapsed="false">
      <c r="A1244" s="10" t="s">
        <v>1176</v>
      </c>
      <c r="B1244" s="10"/>
      <c r="C1244" s="10"/>
      <c r="D1244" s="10"/>
      <c r="E1244" s="10"/>
      <c r="F1244" s="10"/>
      <c r="G1244" s="10"/>
      <c r="H1244" s="10"/>
    </row>
    <row r="1245" customFormat="false" ht="45.75" hidden="false" customHeight="true" outlineLevel="0" collapsed="false">
      <c r="A1245" s="11" t="s">
        <v>1183</v>
      </c>
      <c r="B1245" s="11"/>
      <c r="C1245" s="11"/>
      <c r="D1245" s="11"/>
      <c r="E1245" s="11"/>
      <c r="F1245" s="11"/>
      <c r="G1245" s="11"/>
      <c r="H1245" s="11"/>
    </row>
    <row r="1246" customFormat="false" ht="67.5" hidden="false" customHeight="true" outlineLevel="0" collapsed="false">
      <c r="A1246" s="12" t="s">
        <v>1184</v>
      </c>
      <c r="B1246" s="12"/>
      <c r="C1246" s="12"/>
      <c r="D1246" s="12"/>
      <c r="E1246" s="12" t="s">
        <v>1185</v>
      </c>
      <c r="F1246" s="12"/>
      <c r="G1246" s="12"/>
      <c r="H1246" s="12"/>
    </row>
    <row r="1247" customFormat="false" ht="81" hidden="false" customHeight="true" outlineLevel="0" collapsed="false">
      <c r="A1247" s="12" t="s">
        <v>1186</v>
      </c>
      <c r="B1247" s="12"/>
      <c r="C1247" s="12"/>
      <c r="D1247" s="12"/>
      <c r="E1247" s="12" t="s">
        <v>1187</v>
      </c>
      <c r="F1247" s="12"/>
      <c r="G1247" s="12"/>
      <c r="H1247" s="12"/>
    </row>
    <row r="1248" customFormat="false" ht="24" hidden="false" customHeight="true" outlineLevel="0" collapsed="false">
      <c r="A1248" s="13" t="s">
        <v>1174</v>
      </c>
      <c r="B1248" s="13"/>
      <c r="C1248" s="13"/>
      <c r="D1248" s="13"/>
      <c r="E1248" s="13"/>
      <c r="F1248" s="13"/>
      <c r="G1248" s="13"/>
      <c r="H1248" s="13"/>
    </row>
    <row r="1249" customFormat="false" ht="7.5" hidden="false" customHeight="true" outlineLevel="0" collapsed="false"/>
    <row r="1250" customFormat="false" ht="24" hidden="false" customHeight="true" outlineLevel="0" collapsed="false">
      <c r="A1250" s="9" t="s">
        <v>1188</v>
      </c>
      <c r="B1250" s="9"/>
      <c r="C1250" s="9"/>
      <c r="D1250" s="9"/>
      <c r="E1250" s="9"/>
      <c r="F1250" s="9"/>
      <c r="G1250" s="9"/>
      <c r="H1250" s="9"/>
    </row>
    <row r="1251" customFormat="false" ht="42" hidden="false" customHeight="true" outlineLevel="0" collapsed="false">
      <c r="A1251" s="10" t="s">
        <v>1176</v>
      </c>
      <c r="B1251" s="10"/>
      <c r="C1251" s="10"/>
      <c r="D1251" s="10"/>
      <c r="E1251" s="10"/>
      <c r="F1251" s="10"/>
      <c r="G1251" s="10"/>
      <c r="H1251" s="10"/>
    </row>
    <row r="1252" customFormat="false" ht="45.75" hidden="false" customHeight="true" outlineLevel="0" collapsed="false">
      <c r="A1252" s="11" t="s">
        <v>1189</v>
      </c>
      <c r="B1252" s="11"/>
      <c r="C1252" s="11"/>
      <c r="D1252" s="11"/>
      <c r="E1252" s="11"/>
      <c r="F1252" s="11"/>
      <c r="G1252" s="11"/>
      <c r="H1252" s="11"/>
    </row>
    <row r="1253" customFormat="false" ht="42" hidden="false" customHeight="true" outlineLevel="0" collapsed="false">
      <c r="A1253" s="12" t="s">
        <v>1190</v>
      </c>
      <c r="B1253" s="12"/>
      <c r="C1253" s="12"/>
      <c r="D1253" s="12"/>
      <c r="E1253" s="12" t="s">
        <v>1191</v>
      </c>
      <c r="F1253" s="12"/>
      <c r="G1253" s="12"/>
      <c r="H1253" s="12"/>
    </row>
    <row r="1254" customFormat="false" ht="42" hidden="false" customHeight="true" outlineLevel="0" collapsed="false">
      <c r="A1254" s="12" t="s">
        <v>1192</v>
      </c>
      <c r="B1254" s="12"/>
      <c r="C1254" s="12"/>
      <c r="D1254" s="12"/>
      <c r="E1254" s="12" t="s">
        <v>1193</v>
      </c>
      <c r="F1254" s="12"/>
      <c r="G1254" s="12"/>
      <c r="H1254" s="12"/>
    </row>
    <row r="1255" customFormat="false" ht="24" hidden="false" customHeight="true" outlineLevel="0" collapsed="false">
      <c r="A1255" s="13" t="s">
        <v>1194</v>
      </c>
      <c r="B1255" s="13"/>
      <c r="C1255" s="13"/>
      <c r="D1255" s="13"/>
      <c r="E1255" s="13"/>
      <c r="F1255" s="13"/>
      <c r="G1255" s="13"/>
      <c r="H1255" s="13"/>
    </row>
    <row r="1256" customFormat="false" ht="7.5" hidden="false" customHeight="true" outlineLevel="0" collapsed="false"/>
    <row r="1257" customFormat="false" ht="24" hidden="false" customHeight="true" outlineLevel="0" collapsed="false">
      <c r="A1257" s="9" t="s">
        <v>1195</v>
      </c>
      <c r="B1257" s="9"/>
      <c r="C1257" s="9"/>
      <c r="D1257" s="9"/>
      <c r="E1257" s="9"/>
      <c r="F1257" s="9"/>
      <c r="G1257" s="9"/>
      <c r="H1257" s="9"/>
    </row>
    <row r="1258" customFormat="false" ht="42" hidden="false" customHeight="true" outlineLevel="0" collapsed="false">
      <c r="A1258" s="10" t="s">
        <v>1176</v>
      </c>
      <c r="B1258" s="10"/>
      <c r="C1258" s="10"/>
      <c r="D1258" s="10"/>
      <c r="E1258" s="10"/>
      <c r="F1258" s="10"/>
      <c r="G1258" s="10"/>
      <c r="H1258" s="10"/>
    </row>
    <row r="1259" customFormat="false" ht="45.75" hidden="false" customHeight="true" outlineLevel="0" collapsed="false">
      <c r="A1259" s="11" t="s">
        <v>1196</v>
      </c>
      <c r="B1259" s="11"/>
      <c r="C1259" s="11"/>
      <c r="D1259" s="11"/>
      <c r="E1259" s="11"/>
      <c r="F1259" s="11"/>
      <c r="G1259" s="11"/>
      <c r="H1259" s="11"/>
    </row>
    <row r="1260" customFormat="false" ht="42" hidden="false" customHeight="true" outlineLevel="0" collapsed="false">
      <c r="A1260" s="12" t="s">
        <v>1197</v>
      </c>
      <c r="B1260" s="12"/>
      <c r="C1260" s="12"/>
      <c r="D1260" s="12"/>
      <c r="E1260" s="12" t="s">
        <v>1198</v>
      </c>
      <c r="F1260" s="12"/>
      <c r="G1260" s="12"/>
      <c r="H1260" s="12"/>
    </row>
    <row r="1261" customFormat="false" ht="42" hidden="false" customHeight="true" outlineLevel="0" collapsed="false">
      <c r="A1261" s="12" t="s">
        <v>1199</v>
      </c>
      <c r="B1261" s="12"/>
      <c r="C1261" s="12"/>
      <c r="D1261" s="12"/>
      <c r="E1261" s="12" t="s">
        <v>1200</v>
      </c>
      <c r="F1261" s="12"/>
      <c r="G1261" s="12"/>
      <c r="H1261" s="12"/>
    </row>
    <row r="1262" customFormat="false" ht="24" hidden="false" customHeight="true" outlineLevel="0" collapsed="false">
      <c r="A1262" s="13" t="s">
        <v>1194</v>
      </c>
      <c r="B1262" s="13"/>
      <c r="C1262" s="13"/>
      <c r="D1262" s="13"/>
      <c r="E1262" s="13"/>
      <c r="F1262" s="13"/>
      <c r="G1262" s="13"/>
      <c r="H1262" s="13"/>
    </row>
    <row r="1263" customFormat="false" ht="7.5" hidden="false" customHeight="true" outlineLevel="0" collapsed="false"/>
    <row r="1264" customFormat="false" ht="24" hidden="false" customHeight="true" outlineLevel="0" collapsed="false">
      <c r="A1264" s="9" t="s">
        <v>1201</v>
      </c>
      <c r="B1264" s="9"/>
      <c r="C1264" s="9"/>
      <c r="D1264" s="9"/>
      <c r="E1264" s="9"/>
      <c r="F1264" s="9"/>
      <c r="G1264" s="9"/>
      <c r="H1264" s="9"/>
    </row>
    <row r="1265" customFormat="false" ht="42" hidden="false" customHeight="true" outlineLevel="0" collapsed="false">
      <c r="A1265" s="10" t="s">
        <v>1176</v>
      </c>
      <c r="B1265" s="10"/>
      <c r="C1265" s="10"/>
      <c r="D1265" s="10"/>
      <c r="E1265" s="10"/>
      <c r="F1265" s="10"/>
      <c r="G1265" s="10"/>
      <c r="H1265" s="10"/>
    </row>
    <row r="1266" customFormat="false" ht="45.75" hidden="false" customHeight="true" outlineLevel="0" collapsed="false">
      <c r="A1266" s="11" t="s">
        <v>1202</v>
      </c>
      <c r="B1266" s="11"/>
      <c r="C1266" s="11"/>
      <c r="D1266" s="11"/>
      <c r="E1266" s="11"/>
      <c r="F1266" s="11"/>
      <c r="G1266" s="11"/>
      <c r="H1266" s="11"/>
    </row>
    <row r="1267" customFormat="false" ht="54.75" hidden="false" customHeight="true" outlineLevel="0" collapsed="false">
      <c r="A1267" s="12" t="s">
        <v>1203</v>
      </c>
      <c r="B1267" s="12"/>
      <c r="C1267" s="12"/>
      <c r="D1267" s="12"/>
      <c r="E1267" s="12" t="s">
        <v>1204</v>
      </c>
      <c r="F1267" s="12"/>
      <c r="G1267" s="12"/>
      <c r="H1267" s="12"/>
    </row>
    <row r="1268" customFormat="false" ht="54.75" hidden="false" customHeight="true" outlineLevel="0" collapsed="false">
      <c r="A1268" s="12" t="s">
        <v>1205</v>
      </c>
      <c r="B1268" s="12"/>
      <c r="C1268" s="12"/>
      <c r="D1268" s="12"/>
      <c r="E1268" s="12" t="s">
        <v>1206</v>
      </c>
      <c r="F1268" s="12"/>
      <c r="G1268" s="12"/>
      <c r="H1268" s="12"/>
    </row>
    <row r="1269" customFormat="false" ht="24" hidden="false" customHeight="true" outlineLevel="0" collapsed="false">
      <c r="A1269" s="13" t="s">
        <v>1194</v>
      </c>
      <c r="B1269" s="13"/>
      <c r="C1269" s="13"/>
      <c r="D1269" s="13"/>
      <c r="E1269" s="13"/>
      <c r="F1269" s="13"/>
      <c r="G1269" s="13"/>
      <c r="H1269" s="13"/>
    </row>
    <row r="1270" customFormat="false" ht="7.5" hidden="false" customHeight="true" outlineLevel="0" collapsed="false"/>
    <row r="1271" customFormat="false" ht="24" hidden="false" customHeight="true" outlineLevel="0" collapsed="false">
      <c r="A1271" s="9" t="s">
        <v>1207</v>
      </c>
      <c r="B1271" s="9"/>
      <c r="C1271" s="9"/>
      <c r="D1271" s="9"/>
      <c r="E1271" s="9"/>
      <c r="F1271" s="9"/>
      <c r="G1271" s="9"/>
      <c r="H1271" s="9"/>
    </row>
    <row r="1272" customFormat="false" ht="87" hidden="false" customHeight="true" outlineLevel="0" collapsed="false">
      <c r="A1272" s="10" t="s">
        <v>1208</v>
      </c>
      <c r="B1272" s="10"/>
      <c r="C1272" s="10"/>
      <c r="D1272" s="10"/>
      <c r="E1272" s="10"/>
      <c r="F1272" s="10"/>
      <c r="G1272" s="10"/>
      <c r="H1272" s="10"/>
    </row>
    <row r="1273" customFormat="false" ht="60.75" hidden="false" customHeight="true" outlineLevel="0" collapsed="false">
      <c r="A1273" s="10" t="s">
        <v>1209</v>
      </c>
      <c r="B1273" s="10"/>
      <c r="C1273" s="10"/>
      <c r="D1273" s="10"/>
      <c r="E1273" s="10"/>
      <c r="F1273" s="10"/>
      <c r="G1273" s="10"/>
      <c r="H1273" s="10"/>
    </row>
    <row r="1274" customFormat="false" ht="60.75" hidden="false" customHeight="true" outlineLevel="0" collapsed="false">
      <c r="A1274" s="10" t="s">
        <v>1210</v>
      </c>
      <c r="B1274" s="10"/>
      <c r="C1274" s="10"/>
      <c r="D1274" s="10"/>
      <c r="E1274" s="10"/>
      <c r="F1274" s="10"/>
      <c r="G1274" s="10"/>
      <c r="H1274" s="10"/>
    </row>
    <row r="1275" customFormat="false" ht="42" hidden="false" customHeight="true" outlineLevel="0" collapsed="false">
      <c r="A1275" s="11" t="s">
        <v>1211</v>
      </c>
      <c r="B1275" s="11"/>
      <c r="C1275" s="11"/>
      <c r="D1275" s="11"/>
      <c r="E1275" s="11"/>
      <c r="F1275" s="11"/>
      <c r="G1275" s="11"/>
      <c r="H1275" s="11"/>
    </row>
    <row r="1276" customFormat="false" ht="42" hidden="false" customHeight="true" outlineLevel="0" collapsed="false">
      <c r="A1276" s="12" t="s">
        <v>1212</v>
      </c>
      <c r="B1276" s="12"/>
      <c r="C1276" s="12"/>
      <c r="D1276" s="12"/>
      <c r="E1276" s="12" t="s">
        <v>1213</v>
      </c>
      <c r="F1276" s="12"/>
      <c r="G1276" s="12"/>
      <c r="H1276" s="12"/>
    </row>
    <row r="1277" customFormat="false" ht="42" hidden="false" customHeight="true" outlineLevel="0" collapsed="false">
      <c r="A1277" s="12" t="s">
        <v>1214</v>
      </c>
      <c r="B1277" s="12"/>
      <c r="C1277" s="12"/>
      <c r="D1277" s="12"/>
      <c r="E1277" s="12" t="s">
        <v>1215</v>
      </c>
      <c r="F1277" s="12"/>
      <c r="G1277" s="12"/>
      <c r="H1277" s="12"/>
    </row>
    <row r="1278" customFormat="false" ht="24" hidden="false" customHeight="true" outlineLevel="0" collapsed="false">
      <c r="A1278" s="13" t="s">
        <v>1216</v>
      </c>
      <c r="B1278" s="13"/>
      <c r="C1278" s="13"/>
      <c r="D1278" s="13"/>
      <c r="E1278" s="13"/>
      <c r="F1278" s="13"/>
      <c r="G1278" s="13"/>
      <c r="H1278" s="13"/>
    </row>
    <row r="1279" customFormat="false" ht="7.5" hidden="false" customHeight="true" outlineLevel="0" collapsed="false"/>
    <row r="1280" customFormat="false" ht="24" hidden="false" customHeight="true" outlineLevel="0" collapsed="false">
      <c r="A1280" s="9" t="s">
        <v>1217</v>
      </c>
      <c r="B1280" s="9"/>
      <c r="C1280" s="9"/>
      <c r="D1280" s="9"/>
      <c r="E1280" s="9"/>
      <c r="F1280" s="9"/>
      <c r="G1280" s="9"/>
      <c r="H1280" s="9"/>
    </row>
    <row r="1281" customFormat="false" ht="42" hidden="false" customHeight="true" outlineLevel="0" collapsed="false">
      <c r="A1281" s="10" t="s">
        <v>1218</v>
      </c>
      <c r="B1281" s="10"/>
      <c r="C1281" s="10"/>
      <c r="D1281" s="10"/>
      <c r="E1281" s="10"/>
      <c r="F1281" s="10"/>
      <c r="G1281" s="10"/>
      <c r="H1281" s="10"/>
    </row>
    <row r="1282" customFormat="false" ht="42" hidden="false" customHeight="true" outlineLevel="0" collapsed="false">
      <c r="A1282" s="11" t="s">
        <v>1219</v>
      </c>
      <c r="B1282" s="11"/>
      <c r="C1282" s="11"/>
      <c r="D1282" s="11"/>
      <c r="E1282" s="11"/>
      <c r="F1282" s="11"/>
      <c r="G1282" s="11"/>
      <c r="H1282" s="11"/>
    </row>
    <row r="1283" customFormat="false" ht="33.75" hidden="false" customHeight="true" outlineLevel="0" collapsed="false">
      <c r="A1283" s="12" t="s">
        <v>1220</v>
      </c>
      <c r="B1283" s="12"/>
      <c r="C1283" s="12"/>
      <c r="D1283" s="12"/>
      <c r="E1283" s="12" t="s">
        <v>1221</v>
      </c>
      <c r="F1283" s="12"/>
      <c r="G1283" s="12"/>
      <c r="H1283" s="12"/>
    </row>
    <row r="1284" customFormat="false" ht="33.75" hidden="false" customHeight="true" outlineLevel="0" collapsed="false">
      <c r="A1284" s="12" t="s">
        <v>1222</v>
      </c>
      <c r="B1284" s="12"/>
      <c r="C1284" s="12"/>
      <c r="D1284" s="12"/>
      <c r="E1284" s="12" t="s">
        <v>1223</v>
      </c>
      <c r="F1284" s="12"/>
      <c r="G1284" s="12"/>
      <c r="H1284" s="12"/>
    </row>
    <row r="1285" customFormat="false" ht="24" hidden="false" customHeight="true" outlineLevel="0" collapsed="false">
      <c r="A1285" s="13" t="s">
        <v>1216</v>
      </c>
      <c r="B1285" s="13"/>
      <c r="C1285" s="13"/>
      <c r="D1285" s="13"/>
      <c r="E1285" s="13"/>
      <c r="F1285" s="13"/>
      <c r="G1285" s="13"/>
      <c r="H1285" s="13"/>
    </row>
    <row r="1286" customFormat="false" ht="7.5" hidden="false" customHeight="true" outlineLevel="0" collapsed="false"/>
    <row r="1287" customFormat="false" ht="24" hidden="false" customHeight="true" outlineLevel="0" collapsed="false">
      <c r="A1287" s="9" t="s">
        <v>1224</v>
      </c>
      <c r="B1287" s="9"/>
      <c r="C1287" s="9"/>
      <c r="D1287" s="9"/>
      <c r="E1287" s="9"/>
      <c r="F1287" s="9"/>
      <c r="G1287" s="9"/>
      <c r="H1287" s="9"/>
    </row>
    <row r="1288" customFormat="false" ht="42" hidden="false" customHeight="true" outlineLevel="0" collapsed="false">
      <c r="A1288" s="10" t="s">
        <v>1218</v>
      </c>
      <c r="B1288" s="10"/>
      <c r="C1288" s="10"/>
      <c r="D1288" s="10"/>
      <c r="E1288" s="10"/>
      <c r="F1288" s="10"/>
      <c r="G1288" s="10"/>
      <c r="H1288" s="10"/>
    </row>
    <row r="1289" customFormat="false" ht="45.75" hidden="false" customHeight="true" outlineLevel="0" collapsed="false">
      <c r="A1289" s="11" t="s">
        <v>1225</v>
      </c>
      <c r="B1289" s="11"/>
      <c r="C1289" s="11"/>
      <c r="D1289" s="11"/>
      <c r="E1289" s="11"/>
      <c r="F1289" s="11"/>
      <c r="G1289" s="11"/>
      <c r="H1289" s="11"/>
    </row>
    <row r="1290" customFormat="false" ht="33.75" hidden="false" customHeight="true" outlineLevel="0" collapsed="false">
      <c r="A1290" s="12" t="s">
        <v>1226</v>
      </c>
      <c r="B1290" s="12"/>
      <c r="C1290" s="12"/>
      <c r="D1290" s="12"/>
      <c r="E1290" s="12" t="s">
        <v>1227</v>
      </c>
      <c r="F1290" s="12"/>
      <c r="G1290" s="12"/>
      <c r="H1290" s="12"/>
    </row>
    <row r="1291" customFormat="false" ht="33.75" hidden="false" customHeight="true" outlineLevel="0" collapsed="false">
      <c r="A1291" s="12" t="s">
        <v>1228</v>
      </c>
      <c r="B1291" s="12"/>
      <c r="C1291" s="12"/>
      <c r="D1291" s="12"/>
      <c r="E1291" s="12" t="s">
        <v>1229</v>
      </c>
      <c r="F1291" s="12"/>
      <c r="G1291" s="12"/>
      <c r="H1291" s="12"/>
    </row>
    <row r="1292" customFormat="false" ht="24" hidden="false" customHeight="true" outlineLevel="0" collapsed="false">
      <c r="A1292" s="13" t="s">
        <v>1216</v>
      </c>
      <c r="B1292" s="13"/>
      <c r="C1292" s="13"/>
      <c r="D1292" s="13"/>
      <c r="E1292" s="13"/>
      <c r="F1292" s="13"/>
      <c r="G1292" s="13"/>
      <c r="H1292" s="13"/>
    </row>
    <row r="1293" customFormat="false" ht="7.5" hidden="false" customHeight="true" outlineLevel="0" collapsed="false"/>
    <row r="1294" customFormat="false" ht="24" hidden="false" customHeight="true" outlineLevel="0" collapsed="false">
      <c r="A1294" s="9" t="s">
        <v>1230</v>
      </c>
      <c r="B1294" s="9"/>
      <c r="C1294" s="9"/>
      <c r="D1294" s="9"/>
      <c r="E1294" s="9"/>
      <c r="F1294" s="9"/>
      <c r="G1294" s="9"/>
      <c r="H1294" s="9"/>
    </row>
    <row r="1295" customFormat="false" ht="42" hidden="false" customHeight="true" outlineLevel="0" collapsed="false">
      <c r="A1295" s="10" t="s">
        <v>1218</v>
      </c>
      <c r="B1295" s="10"/>
      <c r="C1295" s="10"/>
      <c r="D1295" s="10"/>
      <c r="E1295" s="10"/>
      <c r="F1295" s="10"/>
      <c r="G1295" s="10"/>
      <c r="H1295" s="10"/>
    </row>
    <row r="1296" customFormat="false" ht="60" hidden="false" customHeight="true" outlineLevel="0" collapsed="false">
      <c r="A1296" s="11" t="s">
        <v>1231</v>
      </c>
      <c r="B1296" s="11"/>
      <c r="C1296" s="11"/>
      <c r="D1296" s="11"/>
      <c r="E1296" s="11"/>
      <c r="F1296" s="11"/>
      <c r="G1296" s="11"/>
      <c r="H1296" s="11"/>
    </row>
    <row r="1297" customFormat="false" ht="33.75" hidden="false" customHeight="true" outlineLevel="0" collapsed="false">
      <c r="A1297" s="12" t="s">
        <v>1232</v>
      </c>
      <c r="B1297" s="12"/>
      <c r="C1297" s="12"/>
      <c r="D1297" s="12"/>
      <c r="E1297" s="12" t="s">
        <v>1233</v>
      </c>
      <c r="F1297" s="12"/>
      <c r="G1297" s="12"/>
      <c r="H1297" s="12"/>
    </row>
    <row r="1298" customFormat="false" ht="33.75" hidden="false" customHeight="true" outlineLevel="0" collapsed="false">
      <c r="A1298" s="12" t="s">
        <v>1234</v>
      </c>
      <c r="B1298" s="12"/>
      <c r="C1298" s="12"/>
      <c r="D1298" s="12"/>
      <c r="E1298" s="12" t="s">
        <v>1235</v>
      </c>
      <c r="F1298" s="12"/>
      <c r="G1298" s="12"/>
      <c r="H1298" s="12"/>
    </row>
    <row r="1299" customFormat="false" ht="24" hidden="false" customHeight="true" outlineLevel="0" collapsed="false">
      <c r="A1299" s="13" t="s">
        <v>1236</v>
      </c>
      <c r="B1299" s="13"/>
      <c r="C1299" s="13"/>
      <c r="D1299" s="13"/>
      <c r="E1299" s="13"/>
      <c r="F1299" s="13"/>
      <c r="G1299" s="13"/>
      <c r="H1299" s="13"/>
    </row>
    <row r="1300" customFormat="false" ht="7.5" hidden="false" customHeight="true" outlineLevel="0" collapsed="false"/>
    <row r="1301" customFormat="false" ht="24" hidden="false" customHeight="true" outlineLevel="0" collapsed="false">
      <c r="A1301" s="9" t="s">
        <v>1237</v>
      </c>
      <c r="B1301" s="9"/>
      <c r="C1301" s="9"/>
      <c r="D1301" s="9"/>
      <c r="E1301" s="9"/>
      <c r="F1301" s="9"/>
      <c r="G1301" s="9"/>
      <c r="H1301" s="9"/>
    </row>
    <row r="1302" customFormat="false" ht="42" hidden="false" customHeight="true" outlineLevel="0" collapsed="false">
      <c r="A1302" s="10" t="s">
        <v>1218</v>
      </c>
      <c r="B1302" s="10"/>
      <c r="C1302" s="10"/>
      <c r="D1302" s="10"/>
      <c r="E1302" s="10"/>
      <c r="F1302" s="10"/>
      <c r="G1302" s="10"/>
      <c r="H1302" s="10"/>
    </row>
    <row r="1303" customFormat="false" ht="45.75" hidden="false" customHeight="true" outlineLevel="0" collapsed="false">
      <c r="A1303" s="11" t="s">
        <v>1238</v>
      </c>
      <c r="B1303" s="11"/>
      <c r="C1303" s="11"/>
      <c r="D1303" s="11"/>
      <c r="E1303" s="11"/>
      <c r="F1303" s="11"/>
      <c r="G1303" s="11"/>
      <c r="H1303" s="11"/>
    </row>
    <row r="1304" customFormat="false" ht="33.75" hidden="false" customHeight="true" outlineLevel="0" collapsed="false">
      <c r="A1304" s="12" t="s">
        <v>1239</v>
      </c>
      <c r="B1304" s="12"/>
      <c r="C1304" s="12"/>
      <c r="D1304" s="12"/>
      <c r="E1304" s="12" t="s">
        <v>1240</v>
      </c>
      <c r="F1304" s="12"/>
      <c r="G1304" s="12"/>
      <c r="H1304" s="12"/>
    </row>
    <row r="1305" customFormat="false" ht="42" hidden="false" customHeight="true" outlineLevel="0" collapsed="false">
      <c r="A1305" s="12" t="s">
        <v>1241</v>
      </c>
      <c r="B1305" s="12"/>
      <c r="C1305" s="12"/>
      <c r="D1305" s="12"/>
      <c r="E1305" s="12" t="s">
        <v>1242</v>
      </c>
      <c r="F1305" s="12"/>
      <c r="G1305" s="12"/>
      <c r="H1305" s="12"/>
    </row>
    <row r="1306" customFormat="false" ht="24" hidden="false" customHeight="true" outlineLevel="0" collapsed="false">
      <c r="A1306" s="13" t="s">
        <v>1236</v>
      </c>
      <c r="B1306" s="13"/>
      <c r="C1306" s="13"/>
      <c r="D1306" s="13"/>
      <c r="E1306" s="13"/>
      <c r="F1306" s="13"/>
      <c r="G1306" s="13"/>
      <c r="H1306" s="13"/>
    </row>
    <row r="1307" customFormat="false" ht="7.5" hidden="false" customHeight="true" outlineLevel="0" collapsed="false"/>
    <row r="1308" customFormat="false" ht="24" hidden="false" customHeight="true" outlineLevel="0" collapsed="false">
      <c r="A1308" s="9" t="s">
        <v>1243</v>
      </c>
      <c r="B1308" s="9"/>
      <c r="C1308" s="9"/>
      <c r="D1308" s="9"/>
      <c r="E1308" s="9"/>
      <c r="F1308" s="9"/>
      <c r="G1308" s="9"/>
      <c r="H1308" s="9"/>
    </row>
    <row r="1309" customFormat="false" ht="42" hidden="false" customHeight="true" outlineLevel="0" collapsed="false">
      <c r="A1309" s="10" t="s">
        <v>1218</v>
      </c>
      <c r="B1309" s="10"/>
      <c r="C1309" s="10"/>
      <c r="D1309" s="10"/>
      <c r="E1309" s="10"/>
      <c r="F1309" s="10"/>
      <c r="G1309" s="10"/>
      <c r="H1309" s="10"/>
    </row>
    <row r="1310" customFormat="false" ht="60" hidden="false" customHeight="true" outlineLevel="0" collapsed="false">
      <c r="A1310" s="11" t="s">
        <v>1244</v>
      </c>
      <c r="B1310" s="11"/>
      <c r="C1310" s="11"/>
      <c r="D1310" s="11"/>
      <c r="E1310" s="11"/>
      <c r="F1310" s="11"/>
      <c r="G1310" s="11"/>
      <c r="H1310" s="11"/>
    </row>
    <row r="1311" customFormat="false" ht="33.75" hidden="false" customHeight="true" outlineLevel="0" collapsed="false">
      <c r="A1311" s="12" t="s">
        <v>1245</v>
      </c>
      <c r="B1311" s="12"/>
      <c r="C1311" s="12"/>
      <c r="D1311" s="12"/>
      <c r="E1311" s="12" t="s">
        <v>1246</v>
      </c>
      <c r="F1311" s="12"/>
      <c r="G1311" s="12"/>
      <c r="H1311" s="12"/>
    </row>
    <row r="1312" customFormat="false" ht="33.75" hidden="false" customHeight="true" outlineLevel="0" collapsed="false">
      <c r="A1312" s="12" t="s">
        <v>1247</v>
      </c>
      <c r="B1312" s="12"/>
      <c r="C1312" s="12"/>
      <c r="D1312" s="12"/>
      <c r="E1312" s="12" t="s">
        <v>1248</v>
      </c>
      <c r="F1312" s="12"/>
      <c r="G1312" s="12"/>
      <c r="H1312" s="12"/>
    </row>
    <row r="1313" customFormat="false" ht="24" hidden="false" customHeight="true" outlineLevel="0" collapsed="false">
      <c r="A1313" s="13" t="s">
        <v>1236</v>
      </c>
      <c r="B1313" s="13"/>
      <c r="C1313" s="13"/>
      <c r="D1313" s="13"/>
      <c r="E1313" s="13"/>
      <c r="F1313" s="13"/>
      <c r="G1313" s="13"/>
      <c r="H1313" s="13"/>
    </row>
    <row r="1314" customFormat="false" ht="7.5" hidden="false" customHeight="true" outlineLevel="0" collapsed="false"/>
    <row r="1315" customFormat="false" ht="24" hidden="false" customHeight="true" outlineLevel="0" collapsed="false">
      <c r="A1315" s="9" t="s">
        <v>1249</v>
      </c>
      <c r="B1315" s="9"/>
      <c r="C1315" s="9"/>
      <c r="D1315" s="9"/>
      <c r="E1315" s="9"/>
      <c r="F1315" s="9"/>
      <c r="G1315" s="9"/>
      <c r="H1315" s="9"/>
    </row>
    <row r="1316" customFormat="false" ht="87" hidden="false" customHeight="true" outlineLevel="0" collapsed="false">
      <c r="A1316" s="10" t="s">
        <v>1127</v>
      </c>
      <c r="B1316" s="10"/>
      <c r="C1316" s="10"/>
      <c r="D1316" s="10"/>
      <c r="E1316" s="10"/>
      <c r="F1316" s="10"/>
      <c r="G1316" s="10"/>
      <c r="H1316" s="10"/>
    </row>
    <row r="1317" customFormat="false" ht="99.75" hidden="false" customHeight="true" outlineLevel="0" collapsed="false">
      <c r="A1317" s="10" t="s">
        <v>1128</v>
      </c>
      <c r="B1317" s="10"/>
      <c r="C1317" s="10"/>
      <c r="D1317" s="10"/>
      <c r="E1317" s="10"/>
      <c r="F1317" s="10"/>
      <c r="G1317" s="10"/>
      <c r="H1317" s="10"/>
    </row>
    <row r="1318" customFormat="false" ht="45.75" hidden="false" customHeight="true" outlineLevel="0" collapsed="false">
      <c r="A1318" s="11" t="s">
        <v>1250</v>
      </c>
      <c r="B1318" s="11"/>
      <c r="C1318" s="11"/>
      <c r="D1318" s="11"/>
      <c r="E1318" s="11"/>
      <c r="F1318" s="11"/>
      <c r="G1318" s="11"/>
      <c r="H1318" s="11"/>
    </row>
    <row r="1319" customFormat="false" ht="42" hidden="false" customHeight="true" outlineLevel="0" collapsed="false">
      <c r="A1319" s="12" t="s">
        <v>1251</v>
      </c>
      <c r="B1319" s="12"/>
      <c r="C1319" s="12"/>
      <c r="D1319" s="12"/>
      <c r="E1319" s="12" t="s">
        <v>1252</v>
      </c>
      <c r="F1319" s="12"/>
      <c r="G1319" s="12"/>
      <c r="H1319" s="12"/>
    </row>
    <row r="1320" customFormat="false" ht="42" hidden="false" customHeight="true" outlineLevel="0" collapsed="false">
      <c r="A1320" s="12" t="s">
        <v>1253</v>
      </c>
      <c r="B1320" s="12"/>
      <c r="C1320" s="12"/>
      <c r="D1320" s="12"/>
      <c r="E1320" s="12" t="s">
        <v>1254</v>
      </c>
      <c r="F1320" s="12"/>
      <c r="G1320" s="12"/>
      <c r="H1320" s="12"/>
    </row>
    <row r="1321" customFormat="false" ht="24" hidden="false" customHeight="true" outlineLevel="0" collapsed="false">
      <c r="A1321" s="13" t="s">
        <v>1255</v>
      </c>
      <c r="B1321" s="13"/>
      <c r="C1321" s="13"/>
      <c r="D1321" s="13"/>
      <c r="E1321" s="13"/>
      <c r="F1321" s="13"/>
      <c r="G1321" s="13"/>
      <c r="H1321" s="13"/>
    </row>
    <row r="1322" customFormat="false" ht="7.5" hidden="false" customHeight="true" outlineLevel="0" collapsed="false"/>
    <row r="1323" customFormat="false" ht="24" hidden="false" customHeight="true" outlineLevel="0" collapsed="false">
      <c r="A1323" s="9" t="s">
        <v>1256</v>
      </c>
      <c r="B1323" s="9"/>
      <c r="C1323" s="9"/>
      <c r="D1323" s="9"/>
      <c r="E1323" s="9"/>
      <c r="F1323" s="9"/>
      <c r="G1323" s="9"/>
      <c r="H1323" s="9"/>
    </row>
    <row r="1324" customFormat="false" ht="48" hidden="false" customHeight="true" outlineLevel="0" collapsed="false">
      <c r="A1324" s="10" t="s">
        <v>1168</v>
      </c>
      <c r="B1324" s="10"/>
      <c r="C1324" s="10"/>
      <c r="D1324" s="10"/>
      <c r="E1324" s="10"/>
      <c r="F1324" s="10"/>
      <c r="G1324" s="10"/>
      <c r="H1324" s="10"/>
    </row>
    <row r="1325" customFormat="false" ht="45.75" hidden="false" customHeight="true" outlineLevel="0" collapsed="false">
      <c r="A1325" s="11" t="s">
        <v>1257</v>
      </c>
      <c r="B1325" s="11"/>
      <c r="C1325" s="11"/>
      <c r="D1325" s="11"/>
      <c r="E1325" s="11"/>
      <c r="F1325" s="11"/>
      <c r="G1325" s="11"/>
      <c r="H1325" s="11"/>
    </row>
    <row r="1326" customFormat="false" ht="33.75" hidden="false" customHeight="true" outlineLevel="0" collapsed="false">
      <c r="A1326" s="12" t="s">
        <v>1258</v>
      </c>
      <c r="B1326" s="12"/>
      <c r="C1326" s="12"/>
      <c r="D1326" s="12"/>
      <c r="E1326" s="12" t="s">
        <v>1259</v>
      </c>
      <c r="F1326" s="12"/>
      <c r="G1326" s="12"/>
      <c r="H1326" s="12"/>
    </row>
    <row r="1327" customFormat="false" ht="33.75" hidden="false" customHeight="true" outlineLevel="0" collapsed="false">
      <c r="A1327" s="12" t="s">
        <v>1260</v>
      </c>
      <c r="B1327" s="12"/>
      <c r="C1327" s="12"/>
      <c r="D1327" s="12"/>
      <c r="E1327" s="12" t="s">
        <v>1261</v>
      </c>
      <c r="F1327" s="12"/>
      <c r="G1327" s="12"/>
      <c r="H1327" s="12"/>
    </row>
    <row r="1328" customFormat="false" ht="24" hidden="false" customHeight="true" outlineLevel="0" collapsed="false">
      <c r="A1328" s="13" t="s">
        <v>1262</v>
      </c>
      <c r="B1328" s="13"/>
      <c r="C1328" s="13"/>
      <c r="D1328" s="13"/>
      <c r="E1328" s="13"/>
      <c r="F1328" s="13"/>
      <c r="G1328" s="13"/>
      <c r="H1328" s="13"/>
    </row>
    <row r="1329" customFormat="false" ht="7.5" hidden="false" customHeight="true" outlineLevel="0" collapsed="false"/>
    <row r="1330" customFormat="false" ht="24" hidden="false" customHeight="true" outlineLevel="0" collapsed="false">
      <c r="A1330" s="9" t="s">
        <v>1263</v>
      </c>
      <c r="B1330" s="9"/>
      <c r="C1330" s="9"/>
      <c r="D1330" s="9"/>
      <c r="E1330" s="9"/>
      <c r="F1330" s="9"/>
      <c r="G1330" s="9"/>
      <c r="H1330" s="9"/>
    </row>
    <row r="1331" customFormat="false" ht="87" hidden="false" customHeight="true" outlineLevel="0" collapsed="false">
      <c r="A1331" s="10" t="s">
        <v>1208</v>
      </c>
      <c r="B1331" s="10"/>
      <c r="C1331" s="10"/>
      <c r="D1331" s="10"/>
      <c r="E1331" s="10"/>
      <c r="F1331" s="10"/>
      <c r="G1331" s="10"/>
      <c r="H1331" s="10"/>
    </row>
    <row r="1332" customFormat="false" ht="60.75" hidden="false" customHeight="true" outlineLevel="0" collapsed="false">
      <c r="A1332" s="10" t="s">
        <v>1209</v>
      </c>
      <c r="B1332" s="10"/>
      <c r="C1332" s="10"/>
      <c r="D1332" s="10"/>
      <c r="E1332" s="10"/>
      <c r="F1332" s="10"/>
      <c r="G1332" s="10"/>
      <c r="H1332" s="10"/>
    </row>
    <row r="1333" customFormat="false" ht="60.75" hidden="false" customHeight="true" outlineLevel="0" collapsed="false">
      <c r="A1333" s="10" t="s">
        <v>1210</v>
      </c>
      <c r="B1333" s="10"/>
      <c r="C1333" s="10"/>
      <c r="D1333" s="10"/>
      <c r="E1333" s="10"/>
      <c r="F1333" s="10"/>
      <c r="G1333" s="10"/>
      <c r="H1333" s="10"/>
    </row>
    <row r="1334" customFormat="false" ht="73.5" hidden="false" customHeight="true" outlineLevel="0" collapsed="false">
      <c r="A1334" s="11" t="s">
        <v>1264</v>
      </c>
      <c r="B1334" s="11"/>
      <c r="C1334" s="11"/>
      <c r="D1334" s="11"/>
      <c r="E1334" s="11"/>
      <c r="F1334" s="11"/>
      <c r="G1334" s="11"/>
      <c r="H1334" s="11"/>
    </row>
    <row r="1335" customFormat="false" ht="33.75" hidden="false" customHeight="true" outlineLevel="0" collapsed="false">
      <c r="A1335" s="12" t="s">
        <v>1265</v>
      </c>
      <c r="B1335" s="12"/>
      <c r="C1335" s="12"/>
      <c r="D1335" s="12"/>
      <c r="E1335" s="12" t="s">
        <v>1266</v>
      </c>
      <c r="F1335" s="12"/>
      <c r="G1335" s="12"/>
      <c r="H1335" s="12"/>
    </row>
    <row r="1336" customFormat="false" ht="42" hidden="false" customHeight="true" outlineLevel="0" collapsed="false">
      <c r="A1336" s="12" t="s">
        <v>1267</v>
      </c>
      <c r="B1336" s="12"/>
      <c r="C1336" s="12"/>
      <c r="D1336" s="12"/>
      <c r="E1336" s="12" t="s">
        <v>1268</v>
      </c>
      <c r="F1336" s="12"/>
      <c r="G1336" s="12"/>
      <c r="H1336" s="12"/>
    </row>
    <row r="1337" customFormat="false" ht="24" hidden="false" customHeight="true" outlineLevel="0" collapsed="false">
      <c r="A1337" s="13" t="s">
        <v>1269</v>
      </c>
      <c r="B1337" s="13"/>
      <c r="C1337" s="13"/>
      <c r="D1337" s="13"/>
      <c r="E1337" s="13"/>
      <c r="F1337" s="13"/>
      <c r="G1337" s="13"/>
      <c r="H1337" s="13"/>
    </row>
    <row r="1338" customFormat="false" ht="7.5" hidden="false" customHeight="true" outlineLevel="0" collapsed="false"/>
    <row r="1339" customFormat="false" ht="24" hidden="false" customHeight="true" outlineLevel="0" collapsed="false">
      <c r="A1339" s="9" t="s">
        <v>1270</v>
      </c>
      <c r="B1339" s="9"/>
      <c r="C1339" s="9"/>
      <c r="D1339" s="9"/>
      <c r="E1339" s="9"/>
      <c r="F1339" s="9"/>
      <c r="G1339" s="9"/>
      <c r="H1339" s="9"/>
    </row>
    <row r="1340" customFormat="false" ht="45.75" hidden="false" customHeight="true" outlineLevel="0" collapsed="false">
      <c r="A1340" s="11" t="s">
        <v>1271</v>
      </c>
      <c r="B1340" s="11"/>
      <c r="C1340" s="11"/>
      <c r="D1340" s="11"/>
      <c r="E1340" s="11"/>
      <c r="F1340" s="11"/>
      <c r="G1340" s="11"/>
      <c r="H1340" s="11"/>
    </row>
    <row r="1341" customFormat="false" ht="54.75" hidden="false" customHeight="true" outlineLevel="0" collapsed="false">
      <c r="A1341" s="12" t="s">
        <v>1272</v>
      </c>
      <c r="B1341" s="12"/>
      <c r="C1341" s="12"/>
      <c r="D1341" s="12"/>
      <c r="E1341" s="12" t="s">
        <v>1273</v>
      </c>
      <c r="F1341" s="12"/>
      <c r="G1341" s="12"/>
      <c r="H1341" s="12"/>
    </row>
    <row r="1342" customFormat="false" ht="54.75" hidden="false" customHeight="true" outlineLevel="0" collapsed="false">
      <c r="A1342" s="12" t="s">
        <v>1274</v>
      </c>
      <c r="B1342" s="12"/>
      <c r="C1342" s="12"/>
      <c r="D1342" s="12"/>
      <c r="E1342" s="12" t="s">
        <v>1275</v>
      </c>
      <c r="F1342" s="12"/>
      <c r="G1342" s="12"/>
      <c r="H1342" s="12"/>
    </row>
    <row r="1343" customFormat="false" ht="24" hidden="false" customHeight="true" outlineLevel="0" collapsed="false">
      <c r="A1343" s="13" t="s">
        <v>1276</v>
      </c>
      <c r="B1343" s="13"/>
      <c r="C1343" s="13"/>
      <c r="D1343" s="13"/>
      <c r="E1343" s="13"/>
      <c r="F1343" s="13"/>
      <c r="G1343" s="13"/>
      <c r="H1343" s="13"/>
    </row>
    <row r="1344" customFormat="false" ht="7.5" hidden="false" customHeight="true" outlineLevel="0" collapsed="false"/>
    <row r="1345" customFormat="false" ht="24" hidden="false" customHeight="true" outlineLevel="0" collapsed="false">
      <c r="A1345" s="9" t="s">
        <v>1277</v>
      </c>
      <c r="B1345" s="9"/>
      <c r="C1345" s="9"/>
      <c r="D1345" s="9"/>
      <c r="E1345" s="9"/>
      <c r="F1345" s="9"/>
      <c r="G1345" s="9"/>
      <c r="H1345" s="9"/>
    </row>
    <row r="1346" customFormat="false" ht="42" hidden="false" customHeight="true" outlineLevel="0" collapsed="false">
      <c r="A1346" s="11" t="s">
        <v>1278</v>
      </c>
      <c r="B1346" s="11"/>
      <c r="C1346" s="11"/>
      <c r="D1346" s="11"/>
      <c r="E1346" s="11"/>
      <c r="F1346" s="11"/>
      <c r="G1346" s="11"/>
      <c r="H1346" s="11"/>
    </row>
    <row r="1347" customFormat="false" ht="33.75" hidden="false" customHeight="true" outlineLevel="0" collapsed="false">
      <c r="A1347" s="12" t="s">
        <v>1279</v>
      </c>
      <c r="B1347" s="12"/>
      <c r="C1347" s="12"/>
      <c r="D1347" s="12"/>
      <c r="E1347" s="12" t="s">
        <v>1280</v>
      </c>
      <c r="F1347" s="12"/>
      <c r="G1347" s="12"/>
      <c r="H1347" s="12"/>
    </row>
    <row r="1348" customFormat="false" ht="33.75" hidden="false" customHeight="true" outlineLevel="0" collapsed="false">
      <c r="A1348" s="12" t="s">
        <v>1281</v>
      </c>
      <c r="B1348" s="12"/>
      <c r="C1348" s="12"/>
      <c r="D1348" s="12"/>
      <c r="E1348" s="12" t="s">
        <v>1282</v>
      </c>
      <c r="F1348" s="12"/>
      <c r="G1348" s="12"/>
      <c r="H1348" s="12"/>
    </row>
    <row r="1349" customFormat="false" ht="24" hidden="false" customHeight="true" outlineLevel="0" collapsed="false">
      <c r="A1349" s="13" t="s">
        <v>1283</v>
      </c>
      <c r="B1349" s="13"/>
      <c r="C1349" s="13"/>
      <c r="D1349" s="13"/>
      <c r="E1349" s="13"/>
      <c r="F1349" s="13"/>
      <c r="G1349" s="13"/>
      <c r="H1349" s="13"/>
    </row>
    <row r="1350" customFormat="false" ht="7.5" hidden="false" customHeight="true" outlineLevel="0" collapsed="false"/>
    <row r="1351" customFormat="false" ht="24" hidden="false" customHeight="true" outlineLevel="0" collapsed="false">
      <c r="A1351" s="9" t="s">
        <v>1284</v>
      </c>
      <c r="B1351" s="9"/>
      <c r="C1351" s="9"/>
      <c r="D1351" s="9"/>
      <c r="E1351" s="9"/>
      <c r="F1351" s="9"/>
      <c r="G1351" s="9"/>
      <c r="H1351" s="9"/>
    </row>
    <row r="1352" customFormat="false" ht="42" hidden="false" customHeight="true" outlineLevel="0" collapsed="false">
      <c r="A1352" s="11" t="s">
        <v>1285</v>
      </c>
      <c r="B1352" s="11"/>
      <c r="C1352" s="11"/>
      <c r="D1352" s="11"/>
      <c r="E1352" s="11"/>
      <c r="F1352" s="11"/>
      <c r="G1352" s="11"/>
      <c r="H1352" s="11"/>
    </row>
    <row r="1353" customFormat="false" ht="54.75" hidden="false" customHeight="true" outlineLevel="0" collapsed="false">
      <c r="A1353" s="12" t="s">
        <v>1286</v>
      </c>
      <c r="B1353" s="12"/>
      <c r="C1353" s="12"/>
      <c r="D1353" s="12"/>
      <c r="E1353" s="12" t="s">
        <v>1287</v>
      </c>
      <c r="F1353" s="12"/>
      <c r="G1353" s="12"/>
      <c r="H1353" s="12"/>
    </row>
    <row r="1354" customFormat="false" ht="54.75" hidden="false" customHeight="true" outlineLevel="0" collapsed="false">
      <c r="A1354" s="12" t="s">
        <v>1288</v>
      </c>
      <c r="B1354" s="12"/>
      <c r="C1354" s="12"/>
      <c r="D1354" s="12"/>
      <c r="E1354" s="12" t="s">
        <v>1289</v>
      </c>
      <c r="F1354" s="12"/>
      <c r="G1354" s="12"/>
      <c r="H1354" s="12"/>
    </row>
    <row r="1355" customFormat="false" ht="24" hidden="false" customHeight="true" outlineLevel="0" collapsed="false">
      <c r="A1355" s="13" t="s">
        <v>1290</v>
      </c>
      <c r="B1355" s="13"/>
      <c r="C1355" s="13"/>
      <c r="D1355" s="13"/>
      <c r="E1355" s="13"/>
      <c r="F1355" s="13"/>
      <c r="G1355" s="13"/>
      <c r="H1355" s="13"/>
    </row>
    <row r="1356" customFormat="false" ht="7.5" hidden="false" customHeight="true" outlineLevel="0" collapsed="false"/>
    <row r="1357" customFormat="false" ht="24" hidden="false" customHeight="true" outlineLevel="0" collapsed="false">
      <c r="A1357" s="9" t="s">
        <v>1291</v>
      </c>
      <c r="B1357" s="9"/>
      <c r="C1357" s="9"/>
      <c r="D1357" s="9"/>
      <c r="E1357" s="9"/>
      <c r="F1357" s="9"/>
      <c r="G1357" s="9"/>
      <c r="H1357" s="9"/>
    </row>
    <row r="1358" customFormat="false" ht="42" hidden="false" customHeight="true" outlineLevel="0" collapsed="false">
      <c r="A1358" s="11" t="s">
        <v>1292</v>
      </c>
      <c r="B1358" s="11"/>
      <c r="C1358" s="11"/>
      <c r="D1358" s="11"/>
      <c r="E1358" s="11"/>
      <c r="F1358" s="11"/>
      <c r="G1358" s="11"/>
      <c r="H1358" s="11"/>
    </row>
    <row r="1359" customFormat="false" ht="33.75" hidden="false" customHeight="true" outlineLevel="0" collapsed="false">
      <c r="A1359" s="12" t="s">
        <v>1293</v>
      </c>
      <c r="B1359" s="12"/>
      <c r="C1359" s="12"/>
      <c r="D1359" s="12"/>
      <c r="E1359" s="12" t="s">
        <v>1294</v>
      </c>
      <c r="F1359" s="12"/>
      <c r="G1359" s="12"/>
      <c r="H1359" s="12"/>
    </row>
    <row r="1360" customFormat="false" ht="33.75" hidden="false" customHeight="true" outlineLevel="0" collapsed="false">
      <c r="A1360" s="12" t="s">
        <v>1295</v>
      </c>
      <c r="B1360" s="12"/>
      <c r="C1360" s="12"/>
      <c r="D1360" s="12"/>
      <c r="E1360" s="12" t="s">
        <v>1296</v>
      </c>
      <c r="F1360" s="12"/>
      <c r="G1360" s="12"/>
      <c r="H1360" s="12"/>
    </row>
    <row r="1361" customFormat="false" ht="24" hidden="false" customHeight="true" outlineLevel="0" collapsed="false">
      <c r="A1361" s="13" t="s">
        <v>1297</v>
      </c>
      <c r="B1361" s="13"/>
      <c r="C1361" s="13"/>
      <c r="D1361" s="13"/>
      <c r="E1361" s="13"/>
      <c r="F1361" s="13"/>
      <c r="G1361" s="13"/>
      <c r="H1361" s="13"/>
    </row>
    <row r="1362" customFormat="false" ht="7.5" hidden="false" customHeight="true" outlineLevel="0" collapsed="false"/>
    <row r="1363" customFormat="false" ht="24" hidden="false" customHeight="true" outlineLevel="0" collapsed="false">
      <c r="A1363" s="9" t="s">
        <v>1298</v>
      </c>
      <c r="B1363" s="9"/>
      <c r="C1363" s="9"/>
      <c r="D1363" s="9"/>
      <c r="E1363" s="9"/>
      <c r="F1363" s="9"/>
      <c r="G1363" s="9"/>
      <c r="H1363" s="9"/>
    </row>
    <row r="1364" customFormat="false" ht="42" hidden="false" customHeight="true" outlineLevel="0" collapsed="false">
      <c r="A1364" s="11" t="s">
        <v>1299</v>
      </c>
      <c r="B1364" s="11"/>
      <c r="C1364" s="11"/>
      <c r="D1364" s="11"/>
      <c r="E1364" s="11"/>
      <c r="F1364" s="11"/>
      <c r="G1364" s="11"/>
      <c r="H1364" s="11"/>
    </row>
    <row r="1365" customFormat="false" ht="54.75" hidden="false" customHeight="true" outlineLevel="0" collapsed="false">
      <c r="A1365" s="12" t="s">
        <v>1300</v>
      </c>
      <c r="B1365" s="12"/>
      <c r="C1365" s="12"/>
      <c r="D1365" s="12"/>
      <c r="E1365" s="12" t="s">
        <v>1301</v>
      </c>
      <c r="F1365" s="12"/>
      <c r="G1365" s="12"/>
      <c r="H1365" s="12"/>
    </row>
    <row r="1366" customFormat="false" ht="54.75" hidden="false" customHeight="true" outlineLevel="0" collapsed="false">
      <c r="A1366" s="12" t="s">
        <v>1302</v>
      </c>
      <c r="B1366" s="12"/>
      <c r="C1366" s="12"/>
      <c r="D1366" s="12"/>
      <c r="E1366" s="12" t="s">
        <v>1303</v>
      </c>
      <c r="F1366" s="12"/>
      <c r="G1366" s="12"/>
      <c r="H1366" s="12"/>
    </row>
    <row r="1367" customFormat="false" ht="24" hidden="false" customHeight="true" outlineLevel="0" collapsed="false">
      <c r="A1367" s="13" t="s">
        <v>1304</v>
      </c>
      <c r="B1367" s="13"/>
      <c r="C1367" s="13"/>
      <c r="D1367" s="13"/>
      <c r="E1367" s="13"/>
      <c r="F1367" s="13"/>
      <c r="G1367" s="13"/>
      <c r="H1367" s="13"/>
    </row>
    <row r="1368" customFormat="false" ht="7.5" hidden="false" customHeight="true" outlineLevel="0" collapsed="false"/>
    <row r="1369" customFormat="false" ht="24" hidden="false" customHeight="true" outlineLevel="0" collapsed="false">
      <c r="A1369" s="9" t="s">
        <v>1305</v>
      </c>
      <c r="B1369" s="9"/>
      <c r="C1369" s="9"/>
      <c r="D1369" s="9"/>
      <c r="E1369" s="9"/>
      <c r="F1369" s="9"/>
      <c r="G1369" s="9"/>
      <c r="H1369" s="9"/>
    </row>
    <row r="1370" customFormat="false" ht="102" hidden="false" customHeight="true" outlineLevel="0" collapsed="false">
      <c r="A1370" s="11" t="s">
        <v>1306</v>
      </c>
      <c r="B1370" s="11"/>
      <c r="C1370" s="11"/>
      <c r="D1370" s="11"/>
      <c r="E1370" s="11"/>
      <c r="F1370" s="11"/>
      <c r="G1370" s="11"/>
      <c r="H1370" s="11"/>
    </row>
    <row r="1371" customFormat="false" ht="33.75" hidden="false" customHeight="true" outlineLevel="0" collapsed="false">
      <c r="A1371" s="12" t="s">
        <v>1307</v>
      </c>
      <c r="B1371" s="12"/>
      <c r="C1371" s="12"/>
      <c r="D1371" s="12"/>
      <c r="E1371" s="12" t="s">
        <v>1308</v>
      </c>
      <c r="F1371" s="12"/>
      <c r="G1371" s="12"/>
      <c r="H1371" s="12"/>
    </row>
    <row r="1372" customFormat="false" ht="33.75" hidden="false" customHeight="true" outlineLevel="0" collapsed="false">
      <c r="A1372" s="12" t="s">
        <v>1309</v>
      </c>
      <c r="B1372" s="12"/>
      <c r="C1372" s="12"/>
      <c r="D1372" s="12"/>
      <c r="E1372" s="12" t="s">
        <v>1310</v>
      </c>
      <c r="F1372" s="12"/>
      <c r="G1372" s="12"/>
      <c r="H1372" s="12"/>
    </row>
    <row r="1373" customFormat="false" ht="24" hidden="false" customHeight="true" outlineLevel="0" collapsed="false">
      <c r="A1373" s="13" t="s">
        <v>1311</v>
      </c>
      <c r="B1373" s="13"/>
      <c r="C1373" s="13"/>
      <c r="D1373" s="13"/>
      <c r="E1373" s="13"/>
      <c r="F1373" s="13"/>
      <c r="G1373" s="13"/>
      <c r="H1373" s="13"/>
    </row>
    <row r="1374" customFormat="false" ht="7.5" hidden="false" customHeight="true" outlineLevel="0" collapsed="false"/>
    <row r="1375" customFormat="false" ht="24" hidden="false" customHeight="true" outlineLevel="0" collapsed="false">
      <c r="A1375" s="9" t="s">
        <v>1312</v>
      </c>
      <c r="B1375" s="9"/>
      <c r="C1375" s="9"/>
      <c r="D1375" s="9"/>
      <c r="E1375" s="9"/>
      <c r="F1375" s="9"/>
      <c r="G1375" s="9"/>
      <c r="H1375" s="9"/>
    </row>
    <row r="1376" customFormat="false" ht="99.75" hidden="false" customHeight="true" outlineLevel="0" collapsed="false">
      <c r="A1376" s="10" t="s">
        <v>1313</v>
      </c>
      <c r="B1376" s="10"/>
      <c r="C1376" s="10"/>
      <c r="D1376" s="10"/>
      <c r="E1376" s="10"/>
      <c r="F1376" s="10"/>
      <c r="G1376" s="10"/>
      <c r="H1376" s="10"/>
    </row>
    <row r="1377" customFormat="false" ht="48" hidden="false" customHeight="true" outlineLevel="0" collapsed="false">
      <c r="A1377" s="10" t="s">
        <v>1314</v>
      </c>
      <c r="B1377" s="10"/>
      <c r="C1377" s="10"/>
      <c r="D1377" s="10"/>
      <c r="E1377" s="10"/>
      <c r="F1377" s="10"/>
      <c r="G1377" s="10"/>
      <c r="H1377" s="10"/>
    </row>
    <row r="1378" customFormat="false" ht="73.5" hidden="false" customHeight="true" outlineLevel="0" collapsed="false">
      <c r="A1378" s="11" t="s">
        <v>1315</v>
      </c>
      <c r="B1378" s="11"/>
      <c r="C1378" s="11"/>
      <c r="D1378" s="11"/>
      <c r="E1378" s="11"/>
      <c r="F1378" s="11"/>
      <c r="G1378" s="11"/>
      <c r="H1378" s="11"/>
    </row>
    <row r="1379" customFormat="false" ht="42" hidden="false" customHeight="true" outlineLevel="0" collapsed="false">
      <c r="A1379" s="12" t="s">
        <v>1316</v>
      </c>
      <c r="B1379" s="12"/>
      <c r="C1379" s="12"/>
      <c r="D1379" s="12"/>
      <c r="E1379" s="12" t="s">
        <v>1317</v>
      </c>
      <c r="F1379" s="12"/>
      <c r="G1379" s="12"/>
      <c r="H1379" s="12"/>
    </row>
    <row r="1380" customFormat="false" ht="42" hidden="false" customHeight="true" outlineLevel="0" collapsed="false">
      <c r="A1380" s="12" t="s">
        <v>1318</v>
      </c>
      <c r="B1380" s="12"/>
      <c r="C1380" s="12"/>
      <c r="D1380" s="12"/>
      <c r="E1380" s="12" t="s">
        <v>1319</v>
      </c>
      <c r="F1380" s="12"/>
      <c r="G1380" s="12"/>
      <c r="H1380" s="12"/>
    </row>
    <row r="1381" customFormat="false" ht="24" hidden="false" customHeight="true" outlineLevel="0" collapsed="false">
      <c r="A1381" s="13" t="s">
        <v>1320</v>
      </c>
      <c r="B1381" s="13"/>
      <c r="C1381" s="13"/>
      <c r="D1381" s="13"/>
      <c r="E1381" s="13"/>
      <c r="F1381" s="13"/>
      <c r="G1381" s="13"/>
      <c r="H1381" s="13"/>
    </row>
    <row r="1382" customFormat="false" ht="7.5" hidden="false" customHeight="true" outlineLevel="0" collapsed="false"/>
    <row r="1383" customFormat="false" ht="24" hidden="false" customHeight="true" outlineLevel="0" collapsed="false">
      <c r="A1383" s="9" t="s">
        <v>1321</v>
      </c>
      <c r="B1383" s="9"/>
      <c r="C1383" s="9"/>
      <c r="D1383" s="9"/>
      <c r="E1383" s="9"/>
      <c r="F1383" s="9"/>
      <c r="G1383" s="9"/>
      <c r="H1383" s="9"/>
    </row>
    <row r="1384" customFormat="false" ht="42" hidden="false" customHeight="true" outlineLevel="0" collapsed="false">
      <c r="A1384" s="11" t="s">
        <v>1322</v>
      </c>
      <c r="B1384" s="11"/>
      <c r="C1384" s="11"/>
      <c r="D1384" s="11"/>
      <c r="E1384" s="11"/>
      <c r="F1384" s="11"/>
      <c r="G1384" s="11"/>
      <c r="H1384" s="11"/>
    </row>
    <row r="1385" customFormat="false" ht="33.75" hidden="false" customHeight="true" outlineLevel="0" collapsed="false">
      <c r="A1385" s="12" t="s">
        <v>1323</v>
      </c>
      <c r="B1385" s="12"/>
      <c r="C1385" s="12"/>
      <c r="D1385" s="12"/>
      <c r="E1385" s="12" t="s">
        <v>1324</v>
      </c>
      <c r="F1385" s="12"/>
      <c r="G1385" s="12"/>
      <c r="H1385" s="12"/>
    </row>
    <row r="1386" customFormat="false" ht="33.75" hidden="false" customHeight="true" outlineLevel="0" collapsed="false">
      <c r="A1386" s="12" t="s">
        <v>1325</v>
      </c>
      <c r="B1386" s="12"/>
      <c r="C1386" s="12"/>
      <c r="D1386" s="12"/>
      <c r="E1386" s="12" t="s">
        <v>1326</v>
      </c>
      <c r="F1386" s="12"/>
      <c r="G1386" s="12"/>
      <c r="H1386" s="12"/>
    </row>
    <row r="1387" customFormat="false" ht="24" hidden="false" customHeight="true" outlineLevel="0" collapsed="false">
      <c r="A1387" s="13" t="s">
        <v>1327</v>
      </c>
      <c r="B1387" s="13"/>
      <c r="C1387" s="13"/>
      <c r="D1387" s="13"/>
      <c r="E1387" s="13"/>
      <c r="F1387" s="13"/>
      <c r="G1387" s="13"/>
      <c r="H1387" s="13"/>
    </row>
    <row r="1388" customFormat="false" ht="7.5" hidden="false" customHeight="true" outlineLevel="0" collapsed="false"/>
    <row r="1389" customFormat="false" ht="24" hidden="false" customHeight="true" outlineLevel="0" collapsed="false">
      <c r="A1389" s="9" t="s">
        <v>1328</v>
      </c>
      <c r="B1389" s="9"/>
      <c r="C1389" s="9"/>
      <c r="D1389" s="9"/>
      <c r="E1389" s="9"/>
      <c r="F1389" s="9"/>
      <c r="G1389" s="9"/>
      <c r="H1389" s="9"/>
    </row>
    <row r="1390" customFormat="false" ht="42" hidden="false" customHeight="true" outlineLevel="0" collapsed="false">
      <c r="A1390" s="11" t="s">
        <v>1329</v>
      </c>
      <c r="B1390" s="11"/>
      <c r="C1390" s="11"/>
      <c r="D1390" s="11"/>
      <c r="E1390" s="11"/>
      <c r="F1390" s="11"/>
      <c r="G1390" s="11"/>
      <c r="H1390" s="11"/>
    </row>
    <row r="1391" customFormat="false" ht="33.75" hidden="false" customHeight="true" outlineLevel="0" collapsed="false">
      <c r="A1391" s="12" t="s">
        <v>1330</v>
      </c>
      <c r="B1391" s="12"/>
      <c r="C1391" s="12"/>
      <c r="D1391" s="12"/>
      <c r="E1391" s="12" t="s">
        <v>1331</v>
      </c>
      <c r="F1391" s="12"/>
      <c r="G1391" s="12"/>
      <c r="H1391" s="12"/>
    </row>
    <row r="1392" customFormat="false" ht="33.75" hidden="false" customHeight="true" outlineLevel="0" collapsed="false">
      <c r="A1392" s="12" t="s">
        <v>1332</v>
      </c>
      <c r="B1392" s="12"/>
      <c r="C1392" s="12"/>
      <c r="D1392" s="12"/>
      <c r="E1392" s="12" t="s">
        <v>1333</v>
      </c>
      <c r="F1392" s="12"/>
      <c r="G1392" s="12"/>
      <c r="H1392" s="12"/>
    </row>
    <row r="1393" customFormat="false" ht="24" hidden="false" customHeight="true" outlineLevel="0" collapsed="false">
      <c r="A1393" s="13" t="s">
        <v>1327</v>
      </c>
      <c r="B1393" s="13"/>
      <c r="C1393" s="13"/>
      <c r="D1393" s="13"/>
      <c r="E1393" s="13"/>
      <c r="F1393" s="13"/>
      <c r="G1393" s="13"/>
      <c r="H1393" s="13"/>
    </row>
    <row r="1394" customFormat="false" ht="7.5" hidden="false" customHeight="true" outlineLevel="0" collapsed="false"/>
    <row r="1395" customFormat="false" ht="24" hidden="false" customHeight="true" outlineLevel="0" collapsed="false">
      <c r="A1395" s="9" t="s">
        <v>1334</v>
      </c>
      <c r="B1395" s="9"/>
      <c r="C1395" s="9"/>
      <c r="D1395" s="9"/>
      <c r="E1395" s="9"/>
      <c r="F1395" s="9"/>
      <c r="G1395" s="9"/>
      <c r="H1395" s="9"/>
    </row>
    <row r="1396" customFormat="false" ht="45.75" hidden="false" customHeight="true" outlineLevel="0" collapsed="false">
      <c r="A1396" s="11" t="s">
        <v>1335</v>
      </c>
      <c r="B1396" s="11"/>
      <c r="C1396" s="11"/>
      <c r="D1396" s="11"/>
      <c r="E1396" s="11"/>
      <c r="F1396" s="11"/>
      <c r="G1396" s="11"/>
      <c r="H1396" s="11"/>
    </row>
    <row r="1397" customFormat="false" ht="42" hidden="false" customHeight="true" outlineLevel="0" collapsed="false">
      <c r="A1397" s="12" t="s">
        <v>1336</v>
      </c>
      <c r="B1397" s="12"/>
      <c r="C1397" s="12"/>
      <c r="D1397" s="12"/>
      <c r="E1397" s="12" t="s">
        <v>1337</v>
      </c>
      <c r="F1397" s="12"/>
      <c r="G1397" s="12"/>
      <c r="H1397" s="12"/>
    </row>
    <row r="1398" customFormat="false" ht="33.75" hidden="false" customHeight="true" outlineLevel="0" collapsed="false">
      <c r="A1398" s="12" t="s">
        <v>1338</v>
      </c>
      <c r="B1398" s="12"/>
      <c r="C1398" s="12"/>
      <c r="D1398" s="12"/>
      <c r="E1398" s="12" t="s">
        <v>1339</v>
      </c>
      <c r="F1398" s="12"/>
      <c r="G1398" s="12"/>
      <c r="H1398" s="12"/>
    </row>
    <row r="1399" customFormat="false" ht="24" hidden="false" customHeight="true" outlineLevel="0" collapsed="false">
      <c r="A1399" s="13" t="s">
        <v>1340</v>
      </c>
      <c r="B1399" s="13"/>
      <c r="C1399" s="13"/>
      <c r="D1399" s="13"/>
      <c r="E1399" s="13"/>
      <c r="F1399" s="13"/>
      <c r="G1399" s="13"/>
      <c r="H1399" s="13"/>
    </row>
    <row r="1400" customFormat="false" ht="7.5" hidden="false" customHeight="true" outlineLevel="0" collapsed="false"/>
    <row r="1401" customFormat="false" ht="24" hidden="false" customHeight="true" outlineLevel="0" collapsed="false">
      <c r="A1401" s="9" t="s">
        <v>1341</v>
      </c>
      <c r="B1401" s="9"/>
      <c r="C1401" s="9"/>
      <c r="D1401" s="9"/>
      <c r="E1401" s="9"/>
      <c r="F1401" s="9"/>
      <c r="G1401" s="9"/>
      <c r="H1401" s="9"/>
    </row>
    <row r="1402" customFormat="false" ht="45.75" hidden="false" customHeight="true" outlineLevel="0" collapsed="false">
      <c r="A1402" s="11" t="s">
        <v>1342</v>
      </c>
      <c r="B1402" s="11"/>
      <c r="C1402" s="11"/>
      <c r="D1402" s="11"/>
      <c r="E1402" s="11"/>
      <c r="F1402" s="11"/>
      <c r="G1402" s="11"/>
      <c r="H1402" s="11"/>
    </row>
    <row r="1403" customFormat="false" ht="33.75" hidden="false" customHeight="true" outlineLevel="0" collapsed="false">
      <c r="A1403" s="12" t="s">
        <v>1343</v>
      </c>
      <c r="B1403" s="12"/>
      <c r="C1403" s="12"/>
      <c r="D1403" s="12"/>
      <c r="E1403" s="12" t="s">
        <v>1344</v>
      </c>
      <c r="F1403" s="12"/>
      <c r="G1403" s="12"/>
      <c r="H1403" s="12"/>
    </row>
    <row r="1404" customFormat="false" ht="33.75" hidden="false" customHeight="true" outlineLevel="0" collapsed="false">
      <c r="A1404" s="12" t="s">
        <v>1345</v>
      </c>
      <c r="B1404" s="12"/>
      <c r="C1404" s="12"/>
      <c r="D1404" s="12"/>
      <c r="E1404" s="12" t="s">
        <v>1346</v>
      </c>
      <c r="F1404" s="12"/>
      <c r="G1404" s="12"/>
      <c r="H1404" s="12"/>
    </row>
    <row r="1405" customFormat="false" ht="24" hidden="false" customHeight="true" outlineLevel="0" collapsed="false">
      <c r="A1405" s="13" t="s">
        <v>1340</v>
      </c>
      <c r="B1405" s="13"/>
      <c r="C1405" s="13"/>
      <c r="D1405" s="13"/>
      <c r="E1405" s="13"/>
      <c r="F1405" s="13"/>
      <c r="G1405" s="13"/>
      <c r="H1405" s="13"/>
    </row>
    <row r="1406" customFormat="false" ht="7.5" hidden="false" customHeight="true" outlineLevel="0" collapsed="false"/>
    <row r="1407" customFormat="false" ht="24" hidden="false" customHeight="true" outlineLevel="0" collapsed="false">
      <c r="A1407" s="9" t="s">
        <v>1347</v>
      </c>
      <c r="B1407" s="9"/>
      <c r="C1407" s="9"/>
      <c r="D1407" s="9"/>
      <c r="E1407" s="9"/>
      <c r="F1407" s="9"/>
      <c r="G1407" s="9"/>
      <c r="H1407" s="9"/>
    </row>
    <row r="1408" customFormat="false" ht="45.75" hidden="false" customHeight="true" outlineLevel="0" collapsed="false">
      <c r="A1408" s="11" t="s">
        <v>1348</v>
      </c>
      <c r="B1408" s="11"/>
      <c r="C1408" s="11"/>
      <c r="D1408" s="11"/>
      <c r="E1408" s="11"/>
      <c r="F1408" s="11"/>
      <c r="G1408" s="11"/>
      <c r="H1408" s="11"/>
    </row>
    <row r="1409" customFormat="false" ht="33.75" hidden="false" customHeight="true" outlineLevel="0" collapsed="false">
      <c r="A1409" s="12" t="s">
        <v>1349</v>
      </c>
      <c r="B1409" s="12"/>
      <c r="C1409" s="12"/>
      <c r="D1409" s="12"/>
      <c r="E1409" s="12" t="s">
        <v>1350</v>
      </c>
      <c r="F1409" s="12"/>
      <c r="G1409" s="12"/>
      <c r="H1409" s="12"/>
    </row>
    <row r="1410" customFormat="false" ht="33.75" hidden="false" customHeight="true" outlineLevel="0" collapsed="false">
      <c r="A1410" s="12" t="s">
        <v>1351</v>
      </c>
      <c r="B1410" s="12"/>
      <c r="C1410" s="12"/>
      <c r="D1410" s="12"/>
      <c r="E1410" s="12" t="s">
        <v>1352</v>
      </c>
      <c r="F1410" s="12"/>
      <c r="G1410" s="12"/>
      <c r="H1410" s="12"/>
    </row>
    <row r="1411" customFormat="false" ht="24" hidden="false" customHeight="true" outlineLevel="0" collapsed="false">
      <c r="A1411" s="13" t="s">
        <v>1327</v>
      </c>
      <c r="B1411" s="13"/>
      <c r="C1411" s="13"/>
      <c r="D1411" s="13"/>
      <c r="E1411" s="13"/>
      <c r="F1411" s="13"/>
      <c r="G1411" s="13"/>
      <c r="H1411" s="13"/>
    </row>
    <row r="1412" customFormat="false" ht="7.5" hidden="false" customHeight="true" outlineLevel="0" collapsed="false"/>
    <row r="1413" customFormat="false" ht="24" hidden="false" customHeight="true" outlineLevel="0" collapsed="false">
      <c r="A1413" s="9" t="s">
        <v>1353</v>
      </c>
      <c r="B1413" s="9"/>
      <c r="C1413" s="9"/>
      <c r="D1413" s="9"/>
      <c r="E1413" s="9"/>
      <c r="F1413" s="9"/>
      <c r="G1413" s="9"/>
      <c r="H1413" s="9"/>
    </row>
    <row r="1414" customFormat="false" ht="99.75" hidden="false" customHeight="true" outlineLevel="0" collapsed="false">
      <c r="A1414" s="10" t="s">
        <v>1354</v>
      </c>
      <c r="B1414" s="10"/>
      <c r="C1414" s="10"/>
      <c r="D1414" s="10"/>
      <c r="E1414" s="10"/>
      <c r="F1414" s="10"/>
      <c r="G1414" s="10"/>
      <c r="H1414" s="10"/>
    </row>
    <row r="1415" customFormat="false" ht="99.75" hidden="false" customHeight="true" outlineLevel="0" collapsed="false">
      <c r="A1415" s="10" t="s">
        <v>1355</v>
      </c>
      <c r="B1415" s="10"/>
      <c r="C1415" s="10"/>
      <c r="D1415" s="10"/>
      <c r="E1415" s="10"/>
      <c r="F1415" s="10"/>
      <c r="G1415" s="10"/>
      <c r="H1415" s="10"/>
    </row>
    <row r="1416" customFormat="false" ht="60.75" hidden="false" customHeight="true" outlineLevel="0" collapsed="false">
      <c r="A1416" s="10" t="s">
        <v>1356</v>
      </c>
      <c r="B1416" s="10"/>
      <c r="C1416" s="10"/>
      <c r="D1416" s="10"/>
      <c r="E1416" s="10"/>
      <c r="F1416" s="10"/>
      <c r="G1416" s="10"/>
      <c r="H1416" s="10"/>
    </row>
    <row r="1417" customFormat="false" ht="45.75" hidden="false" customHeight="true" outlineLevel="0" collapsed="false">
      <c r="A1417" s="11" t="s">
        <v>1357</v>
      </c>
      <c r="B1417" s="11"/>
      <c r="C1417" s="11"/>
      <c r="D1417" s="11"/>
      <c r="E1417" s="11"/>
      <c r="F1417" s="11"/>
      <c r="G1417" s="11"/>
      <c r="H1417" s="11"/>
    </row>
    <row r="1418" customFormat="false" ht="42" hidden="false" customHeight="true" outlineLevel="0" collapsed="false">
      <c r="A1418" s="12" t="s">
        <v>1358</v>
      </c>
      <c r="B1418" s="12"/>
      <c r="C1418" s="12"/>
      <c r="D1418" s="12"/>
      <c r="E1418" s="12" t="s">
        <v>1359</v>
      </c>
      <c r="F1418" s="12"/>
      <c r="G1418" s="12"/>
      <c r="H1418" s="12"/>
    </row>
    <row r="1419" customFormat="false" ht="42" hidden="false" customHeight="true" outlineLevel="0" collapsed="false">
      <c r="A1419" s="12" t="s">
        <v>1360</v>
      </c>
      <c r="B1419" s="12"/>
      <c r="C1419" s="12"/>
      <c r="D1419" s="12"/>
      <c r="E1419" s="12" t="s">
        <v>1361</v>
      </c>
      <c r="F1419" s="12"/>
      <c r="G1419" s="12"/>
      <c r="H1419" s="12"/>
    </row>
    <row r="1420" customFormat="false" ht="24" hidden="false" customHeight="true" outlineLevel="0" collapsed="false">
      <c r="A1420" s="13" t="s">
        <v>1362</v>
      </c>
      <c r="B1420" s="13"/>
      <c r="C1420" s="13"/>
      <c r="D1420" s="13"/>
      <c r="E1420" s="13"/>
      <c r="F1420" s="13"/>
      <c r="G1420" s="13"/>
      <c r="H1420" s="13"/>
    </row>
    <row r="1421" customFormat="false" ht="7.5" hidden="false" customHeight="true" outlineLevel="0" collapsed="false"/>
    <row r="1422" customFormat="false" ht="24" hidden="false" customHeight="true" outlineLevel="0" collapsed="false">
      <c r="A1422" s="9" t="s">
        <v>1363</v>
      </c>
      <c r="B1422" s="9"/>
      <c r="C1422" s="9"/>
      <c r="D1422" s="9"/>
      <c r="E1422" s="9"/>
      <c r="F1422" s="9"/>
      <c r="G1422" s="9"/>
      <c r="H1422" s="9"/>
    </row>
    <row r="1423" customFormat="false" ht="42" hidden="false" customHeight="true" outlineLevel="0" collapsed="false">
      <c r="A1423" s="11" t="s">
        <v>1364</v>
      </c>
      <c r="B1423" s="11"/>
      <c r="C1423" s="11"/>
      <c r="D1423" s="11"/>
      <c r="E1423" s="11"/>
      <c r="F1423" s="11"/>
      <c r="G1423" s="11"/>
      <c r="H1423" s="11"/>
    </row>
    <row r="1424" customFormat="false" ht="33.75" hidden="false" customHeight="true" outlineLevel="0" collapsed="false">
      <c r="A1424" s="12" t="s">
        <v>1365</v>
      </c>
      <c r="B1424" s="12"/>
      <c r="C1424" s="12"/>
      <c r="D1424" s="12"/>
      <c r="E1424" s="12" t="s">
        <v>1366</v>
      </c>
      <c r="F1424" s="12"/>
      <c r="G1424" s="12"/>
      <c r="H1424" s="12"/>
    </row>
    <row r="1425" customFormat="false" ht="33.75" hidden="false" customHeight="true" outlineLevel="0" collapsed="false">
      <c r="A1425" s="12" t="s">
        <v>1367</v>
      </c>
      <c r="B1425" s="12"/>
      <c r="C1425" s="12"/>
      <c r="D1425" s="12"/>
      <c r="E1425" s="12" t="s">
        <v>1368</v>
      </c>
      <c r="F1425" s="12"/>
      <c r="G1425" s="12"/>
      <c r="H1425" s="12"/>
    </row>
    <row r="1426" customFormat="false" ht="24" hidden="false" customHeight="true" outlineLevel="0" collapsed="false">
      <c r="A1426" s="13" t="s">
        <v>1369</v>
      </c>
      <c r="B1426" s="13"/>
      <c r="C1426" s="13"/>
      <c r="D1426" s="13"/>
      <c r="E1426" s="13"/>
      <c r="F1426" s="13"/>
      <c r="G1426" s="13"/>
      <c r="H1426" s="13"/>
    </row>
    <row r="1427" customFormat="false" ht="7.5" hidden="false" customHeight="true" outlineLevel="0" collapsed="false"/>
    <row r="1428" customFormat="false" ht="24" hidden="false" customHeight="true" outlineLevel="0" collapsed="false">
      <c r="A1428" s="9" t="s">
        <v>1370</v>
      </c>
      <c r="B1428" s="9"/>
      <c r="C1428" s="9"/>
      <c r="D1428" s="9"/>
      <c r="E1428" s="9"/>
      <c r="F1428" s="9"/>
      <c r="G1428" s="9"/>
      <c r="H1428" s="9"/>
    </row>
    <row r="1429" customFormat="false" ht="42" hidden="false" customHeight="true" outlineLevel="0" collapsed="false">
      <c r="A1429" s="11" t="s">
        <v>1371</v>
      </c>
      <c r="B1429" s="11"/>
      <c r="C1429" s="11"/>
      <c r="D1429" s="11"/>
      <c r="E1429" s="11"/>
      <c r="F1429" s="11"/>
      <c r="G1429" s="11"/>
      <c r="H1429" s="11"/>
    </row>
    <row r="1430" customFormat="false" ht="67.5" hidden="false" customHeight="true" outlineLevel="0" collapsed="false">
      <c r="A1430" s="12" t="s">
        <v>1372</v>
      </c>
      <c r="B1430" s="12"/>
      <c r="C1430" s="12"/>
      <c r="D1430" s="12"/>
      <c r="E1430" s="12" t="s">
        <v>1373</v>
      </c>
      <c r="F1430" s="12"/>
      <c r="G1430" s="12"/>
      <c r="H1430" s="12"/>
    </row>
    <row r="1431" customFormat="false" ht="67.5" hidden="false" customHeight="true" outlineLevel="0" collapsed="false">
      <c r="A1431" s="12" t="s">
        <v>1374</v>
      </c>
      <c r="B1431" s="12"/>
      <c r="C1431" s="12"/>
      <c r="D1431" s="12"/>
      <c r="E1431" s="12" t="s">
        <v>1375</v>
      </c>
      <c r="F1431" s="12"/>
      <c r="G1431" s="12"/>
      <c r="H1431" s="12"/>
    </row>
    <row r="1432" customFormat="false" ht="24" hidden="false" customHeight="true" outlineLevel="0" collapsed="false">
      <c r="A1432" s="13" t="s">
        <v>1376</v>
      </c>
      <c r="B1432" s="13"/>
      <c r="C1432" s="13"/>
      <c r="D1432" s="13"/>
      <c r="E1432" s="13"/>
      <c r="F1432" s="13"/>
      <c r="G1432" s="13"/>
      <c r="H1432" s="13"/>
    </row>
    <row r="1433" customFormat="false" ht="7.5" hidden="false" customHeight="true" outlineLevel="0" collapsed="false"/>
    <row r="1434" customFormat="false" ht="24" hidden="false" customHeight="true" outlineLevel="0" collapsed="false">
      <c r="A1434" s="9" t="s">
        <v>1377</v>
      </c>
      <c r="B1434" s="9"/>
      <c r="C1434" s="9"/>
      <c r="D1434" s="9"/>
      <c r="E1434" s="9"/>
      <c r="F1434" s="9"/>
      <c r="G1434" s="9"/>
      <c r="H1434" s="9"/>
    </row>
    <row r="1435" customFormat="false" ht="42" hidden="false" customHeight="true" outlineLevel="0" collapsed="false">
      <c r="A1435" s="11" t="s">
        <v>1378</v>
      </c>
      <c r="B1435" s="11"/>
      <c r="C1435" s="11"/>
      <c r="D1435" s="11"/>
      <c r="E1435" s="11"/>
      <c r="F1435" s="11"/>
      <c r="G1435" s="11"/>
      <c r="H1435" s="11"/>
    </row>
    <row r="1436" customFormat="false" ht="42" hidden="false" customHeight="true" outlineLevel="0" collapsed="false">
      <c r="A1436" s="12" t="s">
        <v>1379</v>
      </c>
      <c r="B1436" s="12"/>
      <c r="C1436" s="12"/>
      <c r="D1436" s="12"/>
      <c r="E1436" s="12" t="s">
        <v>1380</v>
      </c>
      <c r="F1436" s="12"/>
      <c r="G1436" s="12"/>
      <c r="H1436" s="12"/>
    </row>
    <row r="1437" customFormat="false" ht="54.75" hidden="false" customHeight="true" outlineLevel="0" collapsed="false">
      <c r="A1437" s="12" t="s">
        <v>1381</v>
      </c>
      <c r="B1437" s="12"/>
      <c r="C1437" s="12"/>
      <c r="D1437" s="12"/>
      <c r="E1437" s="12" t="s">
        <v>1382</v>
      </c>
      <c r="F1437" s="12"/>
      <c r="G1437" s="12"/>
      <c r="H1437" s="12"/>
    </row>
    <row r="1438" customFormat="false" ht="24" hidden="false" customHeight="true" outlineLevel="0" collapsed="false">
      <c r="A1438" s="13" t="s">
        <v>1383</v>
      </c>
      <c r="B1438" s="13"/>
      <c r="C1438" s="13"/>
      <c r="D1438" s="13"/>
      <c r="E1438" s="13"/>
      <c r="F1438" s="13"/>
      <c r="G1438" s="13"/>
      <c r="H1438" s="13"/>
    </row>
    <row r="1439" customFormat="false" ht="7.5" hidden="false" customHeight="true" outlineLevel="0" collapsed="false"/>
    <row r="1440" customFormat="false" ht="24" hidden="false" customHeight="true" outlineLevel="0" collapsed="false">
      <c r="A1440" s="9" t="s">
        <v>1384</v>
      </c>
      <c r="B1440" s="9"/>
      <c r="C1440" s="9"/>
      <c r="D1440" s="9"/>
      <c r="E1440" s="9"/>
      <c r="F1440" s="9"/>
      <c r="G1440" s="9"/>
      <c r="H1440" s="9"/>
    </row>
    <row r="1441" customFormat="false" ht="42" hidden="false" customHeight="true" outlineLevel="0" collapsed="false">
      <c r="A1441" s="11" t="s">
        <v>1385</v>
      </c>
      <c r="B1441" s="11"/>
      <c r="C1441" s="11"/>
      <c r="D1441" s="11"/>
      <c r="E1441" s="11"/>
      <c r="F1441" s="11"/>
      <c r="G1441" s="11"/>
      <c r="H1441" s="11"/>
    </row>
    <row r="1442" customFormat="false" ht="33.75" hidden="false" customHeight="true" outlineLevel="0" collapsed="false">
      <c r="A1442" s="12" t="s">
        <v>1386</v>
      </c>
      <c r="B1442" s="12"/>
      <c r="C1442" s="12"/>
      <c r="D1442" s="12"/>
      <c r="E1442" s="12" t="s">
        <v>1387</v>
      </c>
      <c r="F1442" s="12"/>
      <c r="G1442" s="12"/>
      <c r="H1442" s="12"/>
    </row>
    <row r="1443" customFormat="false" ht="33.75" hidden="false" customHeight="true" outlineLevel="0" collapsed="false">
      <c r="A1443" s="12" t="s">
        <v>1388</v>
      </c>
      <c r="B1443" s="12"/>
      <c r="C1443" s="12"/>
      <c r="D1443" s="12"/>
      <c r="E1443" s="12" t="s">
        <v>1389</v>
      </c>
      <c r="F1443" s="12"/>
      <c r="G1443" s="12"/>
      <c r="H1443" s="12"/>
    </row>
    <row r="1444" customFormat="false" ht="24" hidden="false" customHeight="true" outlineLevel="0" collapsed="false">
      <c r="A1444" s="13" t="s">
        <v>1369</v>
      </c>
      <c r="B1444" s="13"/>
      <c r="C1444" s="13"/>
      <c r="D1444" s="13"/>
      <c r="E1444" s="13"/>
      <c r="F1444" s="13"/>
      <c r="G1444" s="13"/>
      <c r="H1444" s="13"/>
    </row>
    <row r="1445" customFormat="false" ht="7.5" hidden="false" customHeight="true" outlineLevel="0" collapsed="false"/>
    <row r="1446" customFormat="false" ht="24" hidden="false" customHeight="true" outlineLevel="0" collapsed="false">
      <c r="A1446" s="9" t="s">
        <v>1390</v>
      </c>
      <c r="B1446" s="9"/>
      <c r="C1446" s="9"/>
      <c r="D1446" s="9"/>
      <c r="E1446" s="9"/>
      <c r="F1446" s="9"/>
      <c r="G1446" s="9"/>
      <c r="H1446" s="9"/>
    </row>
    <row r="1447" customFormat="false" ht="42" hidden="false" customHeight="true" outlineLevel="0" collapsed="false">
      <c r="A1447" s="11" t="s">
        <v>1391</v>
      </c>
      <c r="B1447" s="11"/>
      <c r="C1447" s="11"/>
      <c r="D1447" s="11"/>
      <c r="E1447" s="11"/>
      <c r="F1447" s="11"/>
      <c r="G1447" s="11"/>
      <c r="H1447" s="11"/>
    </row>
    <row r="1448" customFormat="false" ht="33.75" hidden="false" customHeight="true" outlineLevel="0" collapsed="false">
      <c r="A1448" s="12" t="s">
        <v>1392</v>
      </c>
      <c r="B1448" s="12"/>
      <c r="C1448" s="12"/>
      <c r="D1448" s="12"/>
      <c r="E1448" s="12" t="s">
        <v>1393</v>
      </c>
      <c r="F1448" s="12"/>
      <c r="G1448" s="12"/>
      <c r="H1448" s="12"/>
    </row>
    <row r="1449" customFormat="false" ht="33.75" hidden="false" customHeight="true" outlineLevel="0" collapsed="false">
      <c r="A1449" s="12" t="s">
        <v>1394</v>
      </c>
      <c r="B1449" s="12"/>
      <c r="C1449" s="12"/>
      <c r="D1449" s="12"/>
      <c r="E1449" s="12" t="s">
        <v>1395</v>
      </c>
      <c r="F1449" s="12"/>
      <c r="G1449" s="12"/>
      <c r="H1449" s="12"/>
    </row>
    <row r="1450" customFormat="false" ht="24" hidden="false" customHeight="true" outlineLevel="0" collapsed="false">
      <c r="A1450" s="13" t="s">
        <v>1396</v>
      </c>
      <c r="B1450" s="13"/>
      <c r="C1450" s="13"/>
      <c r="D1450" s="13"/>
      <c r="E1450" s="13"/>
      <c r="F1450" s="13"/>
      <c r="G1450" s="13"/>
      <c r="H1450" s="13"/>
    </row>
    <row r="1451" customFormat="false" ht="7.5" hidden="false" customHeight="true" outlineLevel="0" collapsed="false"/>
    <row r="1452" customFormat="false" ht="24" hidden="false" customHeight="true" outlineLevel="0" collapsed="false">
      <c r="A1452" s="9" t="s">
        <v>1397</v>
      </c>
      <c r="B1452" s="9"/>
      <c r="C1452" s="9"/>
      <c r="D1452" s="9"/>
      <c r="E1452" s="9"/>
      <c r="F1452" s="9"/>
      <c r="G1452" s="9"/>
      <c r="H1452" s="9"/>
    </row>
    <row r="1453" customFormat="false" ht="45.75" hidden="false" customHeight="true" outlineLevel="0" collapsed="false">
      <c r="A1453" s="11" t="s">
        <v>1398</v>
      </c>
      <c r="B1453" s="11"/>
      <c r="C1453" s="11"/>
      <c r="D1453" s="11"/>
      <c r="E1453" s="11"/>
      <c r="F1453" s="11"/>
      <c r="G1453" s="11"/>
      <c r="H1453" s="11"/>
    </row>
    <row r="1454" customFormat="false" ht="42" hidden="false" customHeight="true" outlineLevel="0" collapsed="false">
      <c r="A1454" s="12" t="s">
        <v>1399</v>
      </c>
      <c r="B1454" s="12"/>
      <c r="C1454" s="12"/>
      <c r="D1454" s="12"/>
      <c r="E1454" s="12" t="s">
        <v>1400</v>
      </c>
      <c r="F1454" s="12"/>
      <c r="G1454" s="12"/>
      <c r="H1454" s="12"/>
    </row>
    <row r="1455" customFormat="false" ht="33.75" hidden="false" customHeight="true" outlineLevel="0" collapsed="false">
      <c r="A1455" s="12" t="s">
        <v>1401</v>
      </c>
      <c r="B1455" s="12"/>
      <c r="C1455" s="12"/>
      <c r="D1455" s="12"/>
      <c r="E1455" s="12" t="s">
        <v>267</v>
      </c>
      <c r="F1455" s="12"/>
      <c r="G1455" s="12"/>
      <c r="H1455" s="12"/>
    </row>
    <row r="1456" customFormat="false" ht="24" hidden="false" customHeight="true" outlineLevel="0" collapsed="false">
      <c r="A1456" s="13" t="s">
        <v>1402</v>
      </c>
      <c r="B1456" s="13"/>
      <c r="C1456" s="13"/>
      <c r="D1456" s="13"/>
      <c r="E1456" s="13"/>
      <c r="F1456" s="13"/>
      <c r="G1456" s="13"/>
      <c r="H1456" s="13"/>
    </row>
    <row r="1457" customFormat="false" ht="7.5" hidden="false" customHeight="true" outlineLevel="0" collapsed="false"/>
    <row r="1458" customFormat="false" ht="24" hidden="false" customHeight="true" outlineLevel="0" collapsed="false">
      <c r="A1458" s="9" t="s">
        <v>1403</v>
      </c>
      <c r="B1458" s="9"/>
      <c r="C1458" s="9"/>
      <c r="D1458" s="9"/>
      <c r="E1458" s="9"/>
      <c r="F1458" s="9"/>
      <c r="G1458" s="9"/>
      <c r="H1458" s="9"/>
    </row>
    <row r="1459" customFormat="false" ht="42" hidden="false" customHeight="true" outlineLevel="0" collapsed="false">
      <c r="A1459" s="11" t="s">
        <v>1404</v>
      </c>
      <c r="B1459" s="11"/>
      <c r="C1459" s="11"/>
      <c r="D1459" s="11"/>
      <c r="E1459" s="11"/>
      <c r="F1459" s="11"/>
      <c r="G1459" s="11"/>
      <c r="H1459" s="11"/>
    </row>
    <row r="1460" customFormat="false" ht="33.75" hidden="false" customHeight="true" outlineLevel="0" collapsed="false">
      <c r="A1460" s="12" t="s">
        <v>1405</v>
      </c>
      <c r="B1460" s="12"/>
      <c r="C1460" s="12"/>
      <c r="D1460" s="12"/>
      <c r="E1460" s="12" t="s">
        <v>1406</v>
      </c>
      <c r="F1460" s="12"/>
      <c r="G1460" s="12"/>
      <c r="H1460" s="12"/>
    </row>
    <row r="1461" customFormat="false" ht="33.75" hidden="false" customHeight="true" outlineLevel="0" collapsed="false">
      <c r="A1461" s="12" t="s">
        <v>1407</v>
      </c>
      <c r="B1461" s="12"/>
      <c r="C1461" s="12"/>
      <c r="D1461" s="12"/>
      <c r="E1461" s="12" t="s">
        <v>1408</v>
      </c>
      <c r="F1461" s="12"/>
      <c r="G1461" s="12"/>
      <c r="H1461" s="12"/>
    </row>
    <row r="1462" customFormat="false" ht="24" hidden="false" customHeight="true" outlineLevel="0" collapsed="false">
      <c r="A1462" s="13" t="s">
        <v>1276</v>
      </c>
      <c r="B1462" s="13"/>
      <c r="C1462" s="13"/>
      <c r="D1462" s="13"/>
      <c r="E1462" s="13"/>
      <c r="F1462" s="13"/>
      <c r="G1462" s="13"/>
      <c r="H1462" s="13"/>
    </row>
    <row r="1463" customFormat="false" ht="7.5" hidden="false" customHeight="true" outlineLevel="0" collapsed="false"/>
    <row r="1464" customFormat="false" ht="24" hidden="false" customHeight="true" outlineLevel="0" collapsed="false">
      <c r="A1464" s="9" t="s">
        <v>1409</v>
      </c>
      <c r="B1464" s="9"/>
      <c r="C1464" s="9"/>
      <c r="D1464" s="9"/>
      <c r="E1464" s="9"/>
      <c r="F1464" s="9"/>
      <c r="G1464" s="9"/>
      <c r="H1464" s="9"/>
    </row>
    <row r="1465" customFormat="false" ht="42" hidden="false" customHeight="true" outlineLevel="0" collapsed="false">
      <c r="A1465" s="11" t="s">
        <v>1410</v>
      </c>
      <c r="B1465" s="11"/>
      <c r="C1465" s="11"/>
      <c r="D1465" s="11"/>
      <c r="E1465" s="11"/>
      <c r="F1465" s="11"/>
      <c r="G1465" s="11"/>
      <c r="H1465" s="11"/>
    </row>
    <row r="1466" customFormat="false" ht="54.75" hidden="false" customHeight="true" outlineLevel="0" collapsed="false">
      <c r="A1466" s="12" t="s">
        <v>1411</v>
      </c>
      <c r="B1466" s="12"/>
      <c r="C1466" s="12"/>
      <c r="D1466" s="12"/>
      <c r="E1466" s="12" t="s">
        <v>1412</v>
      </c>
      <c r="F1466" s="12"/>
      <c r="G1466" s="12"/>
      <c r="H1466" s="12"/>
    </row>
    <row r="1467" customFormat="false" ht="54.75" hidden="false" customHeight="true" outlineLevel="0" collapsed="false">
      <c r="A1467" s="12" t="s">
        <v>1413</v>
      </c>
      <c r="B1467" s="12"/>
      <c r="C1467" s="12"/>
      <c r="D1467" s="12"/>
      <c r="E1467" s="12" t="s">
        <v>1414</v>
      </c>
      <c r="F1467" s="12"/>
      <c r="G1467" s="12"/>
      <c r="H1467" s="12"/>
    </row>
    <row r="1468" customFormat="false" ht="24" hidden="false" customHeight="true" outlineLevel="0" collapsed="false">
      <c r="A1468" s="13" t="s">
        <v>1383</v>
      </c>
      <c r="B1468" s="13"/>
      <c r="C1468" s="13"/>
      <c r="D1468" s="13"/>
      <c r="E1468" s="13"/>
      <c r="F1468" s="13"/>
      <c r="G1468" s="13"/>
      <c r="H1468" s="13"/>
    </row>
    <row r="1469" customFormat="false" ht="7.5" hidden="false" customHeight="true" outlineLevel="0" collapsed="false"/>
    <row r="1470" customFormat="false" ht="24" hidden="false" customHeight="true" outlineLevel="0" collapsed="false">
      <c r="A1470" s="9" t="s">
        <v>1415</v>
      </c>
      <c r="B1470" s="9"/>
      <c r="C1470" s="9"/>
      <c r="D1470" s="9"/>
      <c r="E1470" s="9"/>
      <c r="F1470" s="9"/>
      <c r="G1470" s="9"/>
      <c r="H1470" s="9"/>
    </row>
    <row r="1471" customFormat="false" ht="42" hidden="false" customHeight="true" outlineLevel="0" collapsed="false">
      <c r="A1471" s="11" t="s">
        <v>1416</v>
      </c>
      <c r="B1471" s="11"/>
      <c r="C1471" s="11"/>
      <c r="D1471" s="11"/>
      <c r="E1471" s="11"/>
      <c r="F1471" s="11"/>
      <c r="G1471" s="11"/>
      <c r="H1471" s="11"/>
    </row>
    <row r="1472" customFormat="false" ht="33.75" hidden="false" customHeight="true" outlineLevel="0" collapsed="false">
      <c r="A1472" s="12" t="s">
        <v>1417</v>
      </c>
      <c r="B1472" s="12"/>
      <c r="C1472" s="12"/>
      <c r="D1472" s="12"/>
      <c r="E1472" s="12" t="s">
        <v>1418</v>
      </c>
      <c r="F1472" s="12"/>
      <c r="G1472" s="12"/>
      <c r="H1472" s="12"/>
    </row>
    <row r="1473" customFormat="false" ht="33.75" hidden="false" customHeight="true" outlineLevel="0" collapsed="false">
      <c r="A1473" s="12" t="s">
        <v>1419</v>
      </c>
      <c r="B1473" s="12"/>
      <c r="C1473" s="12"/>
      <c r="D1473" s="12"/>
      <c r="E1473" s="12" t="s">
        <v>1420</v>
      </c>
      <c r="F1473" s="12"/>
      <c r="G1473" s="12"/>
      <c r="H1473" s="12"/>
    </row>
    <row r="1474" customFormat="false" ht="24" hidden="false" customHeight="true" outlineLevel="0" collapsed="false">
      <c r="A1474" s="13" t="s">
        <v>1421</v>
      </c>
      <c r="B1474" s="13"/>
      <c r="C1474" s="13"/>
      <c r="D1474" s="13"/>
      <c r="E1474" s="13"/>
      <c r="F1474" s="13"/>
      <c r="G1474" s="13"/>
      <c r="H1474" s="13"/>
    </row>
    <row r="1475" customFormat="false" ht="7.5" hidden="false" customHeight="true" outlineLevel="0" collapsed="false"/>
    <row r="1476" customFormat="false" ht="24" hidden="false" customHeight="true" outlineLevel="0" collapsed="false">
      <c r="A1476" s="9" t="s">
        <v>1422</v>
      </c>
      <c r="B1476" s="9"/>
      <c r="C1476" s="9"/>
      <c r="D1476" s="9"/>
      <c r="E1476" s="9"/>
      <c r="F1476" s="9"/>
      <c r="G1476" s="9"/>
      <c r="H1476" s="9"/>
    </row>
    <row r="1477" customFormat="false" ht="45.75" hidden="false" customHeight="true" outlineLevel="0" collapsed="false">
      <c r="A1477" s="11" t="s">
        <v>1423</v>
      </c>
      <c r="B1477" s="11"/>
      <c r="C1477" s="11"/>
      <c r="D1477" s="11"/>
      <c r="E1477" s="11"/>
      <c r="F1477" s="11"/>
      <c r="G1477" s="11"/>
      <c r="H1477" s="11"/>
    </row>
    <row r="1478" customFormat="false" ht="42" hidden="false" customHeight="true" outlineLevel="0" collapsed="false">
      <c r="A1478" s="12" t="s">
        <v>1424</v>
      </c>
      <c r="B1478" s="12"/>
      <c r="C1478" s="12"/>
      <c r="D1478" s="12"/>
      <c r="E1478" s="12" t="s">
        <v>1425</v>
      </c>
      <c r="F1478" s="12"/>
      <c r="G1478" s="12"/>
      <c r="H1478" s="12"/>
    </row>
    <row r="1479" customFormat="false" ht="54.75" hidden="false" customHeight="true" outlineLevel="0" collapsed="false">
      <c r="A1479" s="12" t="s">
        <v>1426</v>
      </c>
      <c r="B1479" s="12"/>
      <c r="C1479" s="12"/>
      <c r="D1479" s="12"/>
      <c r="E1479" s="12" t="s">
        <v>1427</v>
      </c>
      <c r="F1479" s="12"/>
      <c r="G1479" s="12"/>
      <c r="H1479" s="12"/>
    </row>
    <row r="1480" customFormat="false" ht="24" hidden="false" customHeight="true" outlineLevel="0" collapsed="false">
      <c r="A1480" s="13" t="s">
        <v>1402</v>
      </c>
      <c r="B1480" s="13"/>
      <c r="C1480" s="13"/>
      <c r="D1480" s="13"/>
      <c r="E1480" s="13"/>
      <c r="F1480" s="13"/>
      <c r="G1480" s="13"/>
      <c r="H1480" s="13"/>
    </row>
    <row r="1481" customFormat="false" ht="7.5" hidden="false" customHeight="true" outlineLevel="0" collapsed="false"/>
    <row r="1482" customFormat="false" ht="24" hidden="false" customHeight="true" outlineLevel="0" collapsed="false">
      <c r="A1482" s="9" t="s">
        <v>1428</v>
      </c>
      <c r="B1482" s="9"/>
      <c r="C1482" s="9"/>
      <c r="D1482" s="9"/>
      <c r="E1482" s="9"/>
      <c r="F1482" s="9"/>
      <c r="G1482" s="9"/>
      <c r="H1482" s="9"/>
    </row>
    <row r="1483" customFormat="false" ht="45.75" hidden="false" customHeight="true" outlineLevel="0" collapsed="false">
      <c r="A1483" s="11" t="s">
        <v>1429</v>
      </c>
      <c r="B1483" s="11"/>
      <c r="C1483" s="11"/>
      <c r="D1483" s="11"/>
      <c r="E1483" s="11"/>
      <c r="F1483" s="11"/>
      <c r="G1483" s="11"/>
      <c r="H1483" s="11"/>
    </row>
    <row r="1484" customFormat="false" ht="67.5" hidden="false" customHeight="true" outlineLevel="0" collapsed="false">
      <c r="A1484" s="12" t="s">
        <v>1430</v>
      </c>
      <c r="B1484" s="12"/>
      <c r="C1484" s="12"/>
      <c r="D1484" s="12"/>
      <c r="E1484" s="12" t="s">
        <v>1431</v>
      </c>
      <c r="F1484" s="12"/>
      <c r="G1484" s="12"/>
      <c r="H1484" s="12"/>
    </row>
    <row r="1485" customFormat="false" ht="42" hidden="false" customHeight="true" outlineLevel="0" collapsed="false">
      <c r="A1485" s="12" t="s">
        <v>1432</v>
      </c>
      <c r="B1485" s="12"/>
      <c r="C1485" s="12"/>
      <c r="D1485" s="12"/>
      <c r="E1485" s="12" t="s">
        <v>1433</v>
      </c>
      <c r="F1485" s="12"/>
      <c r="G1485" s="12"/>
      <c r="H1485" s="12"/>
    </row>
    <row r="1486" customFormat="false" ht="24" hidden="false" customHeight="true" outlineLevel="0" collapsed="false">
      <c r="A1486" s="13" t="s">
        <v>1434</v>
      </c>
      <c r="B1486" s="13"/>
      <c r="C1486" s="13"/>
      <c r="D1486" s="13"/>
      <c r="E1486" s="13"/>
      <c r="F1486" s="13"/>
      <c r="G1486" s="13"/>
      <c r="H1486" s="13"/>
    </row>
    <row r="1487" customFormat="false" ht="7.5" hidden="false" customHeight="true" outlineLevel="0" collapsed="false"/>
    <row r="1488" customFormat="false" ht="24" hidden="false" customHeight="true" outlineLevel="0" collapsed="false">
      <c r="A1488" s="9" t="s">
        <v>1435</v>
      </c>
      <c r="B1488" s="9"/>
      <c r="C1488" s="9"/>
      <c r="D1488" s="9"/>
      <c r="E1488" s="9"/>
      <c r="F1488" s="9"/>
      <c r="G1488" s="9"/>
      <c r="H1488" s="9"/>
    </row>
    <row r="1489" customFormat="false" ht="42" hidden="false" customHeight="true" outlineLevel="0" collapsed="false">
      <c r="A1489" s="11" t="s">
        <v>1436</v>
      </c>
      <c r="B1489" s="11"/>
      <c r="C1489" s="11"/>
      <c r="D1489" s="11"/>
      <c r="E1489" s="11"/>
      <c r="F1489" s="11"/>
      <c r="G1489" s="11"/>
      <c r="H1489" s="11"/>
    </row>
    <row r="1490" customFormat="false" ht="67.5" hidden="false" customHeight="true" outlineLevel="0" collapsed="false">
      <c r="A1490" s="12" t="s">
        <v>1437</v>
      </c>
      <c r="B1490" s="12"/>
      <c r="C1490" s="12"/>
      <c r="D1490" s="12"/>
      <c r="E1490" s="12" t="s">
        <v>1438</v>
      </c>
      <c r="F1490" s="12"/>
      <c r="G1490" s="12"/>
      <c r="H1490" s="12"/>
    </row>
    <row r="1491" customFormat="false" ht="54.75" hidden="false" customHeight="true" outlineLevel="0" collapsed="false">
      <c r="A1491" s="12" t="s">
        <v>1439</v>
      </c>
      <c r="B1491" s="12"/>
      <c r="C1491" s="12"/>
      <c r="D1491" s="12"/>
      <c r="E1491" s="12" t="s">
        <v>1440</v>
      </c>
      <c r="F1491" s="12"/>
      <c r="G1491" s="12"/>
      <c r="H1491" s="12"/>
    </row>
    <row r="1492" customFormat="false" ht="24" hidden="false" customHeight="true" outlineLevel="0" collapsed="false">
      <c r="A1492" s="13" t="s">
        <v>1441</v>
      </c>
      <c r="B1492" s="13"/>
      <c r="C1492" s="13"/>
      <c r="D1492" s="13"/>
      <c r="E1492" s="13"/>
      <c r="F1492" s="13"/>
      <c r="G1492" s="13"/>
      <c r="H1492" s="13"/>
    </row>
    <row r="1493" customFormat="false" ht="7.5" hidden="false" customHeight="true" outlineLevel="0" collapsed="false"/>
    <row r="1494" customFormat="false" ht="24" hidden="false" customHeight="true" outlineLevel="0" collapsed="false">
      <c r="A1494" s="9" t="s">
        <v>1442</v>
      </c>
      <c r="B1494" s="9"/>
      <c r="C1494" s="9"/>
      <c r="D1494" s="9"/>
      <c r="E1494" s="9"/>
      <c r="F1494" s="9"/>
      <c r="G1494" s="9"/>
      <c r="H1494" s="9"/>
    </row>
    <row r="1495" customFormat="false" ht="45.75" hidden="false" customHeight="true" outlineLevel="0" collapsed="false">
      <c r="A1495" s="11" t="s">
        <v>1443</v>
      </c>
      <c r="B1495" s="11"/>
      <c r="C1495" s="11"/>
      <c r="D1495" s="11"/>
      <c r="E1495" s="11"/>
      <c r="F1495" s="11"/>
      <c r="G1495" s="11"/>
      <c r="H1495" s="11"/>
    </row>
    <row r="1496" customFormat="false" ht="54.75" hidden="false" customHeight="true" outlineLevel="0" collapsed="false">
      <c r="A1496" s="12" t="s">
        <v>1444</v>
      </c>
      <c r="B1496" s="12"/>
      <c r="C1496" s="12"/>
      <c r="D1496" s="12"/>
      <c r="E1496" s="12" t="s">
        <v>1445</v>
      </c>
      <c r="F1496" s="12"/>
      <c r="G1496" s="12"/>
      <c r="H1496" s="12"/>
    </row>
    <row r="1497" customFormat="false" ht="42" hidden="false" customHeight="true" outlineLevel="0" collapsed="false">
      <c r="A1497" s="12" t="s">
        <v>1446</v>
      </c>
      <c r="B1497" s="12"/>
      <c r="C1497" s="12"/>
      <c r="D1497" s="12"/>
      <c r="E1497" s="12" t="s">
        <v>1447</v>
      </c>
      <c r="F1497" s="12"/>
      <c r="G1497" s="12"/>
      <c r="H1497" s="12"/>
    </row>
    <row r="1498" customFormat="false" ht="24" hidden="false" customHeight="true" outlineLevel="0" collapsed="false">
      <c r="A1498" s="13" t="s">
        <v>1297</v>
      </c>
      <c r="B1498" s="13"/>
      <c r="C1498" s="13"/>
      <c r="D1498" s="13"/>
      <c r="E1498" s="13"/>
      <c r="F1498" s="13"/>
      <c r="G1498" s="13"/>
      <c r="H1498" s="13"/>
    </row>
    <row r="1499" customFormat="false" ht="7.5" hidden="false" customHeight="true" outlineLevel="0" collapsed="false"/>
    <row r="1500" customFormat="false" ht="24" hidden="false" customHeight="true" outlineLevel="0" collapsed="false">
      <c r="A1500" s="9" t="s">
        <v>1448</v>
      </c>
      <c r="B1500" s="9"/>
      <c r="C1500" s="9"/>
      <c r="D1500" s="9"/>
      <c r="E1500" s="9"/>
      <c r="F1500" s="9"/>
      <c r="G1500" s="9"/>
      <c r="H1500" s="9"/>
    </row>
    <row r="1501" customFormat="false" ht="60" hidden="false" customHeight="true" outlineLevel="0" collapsed="false">
      <c r="A1501" s="11" t="s">
        <v>1449</v>
      </c>
      <c r="B1501" s="11"/>
      <c r="C1501" s="11"/>
      <c r="D1501" s="11"/>
      <c r="E1501" s="11"/>
      <c r="F1501" s="11"/>
      <c r="G1501" s="11"/>
      <c r="H1501" s="11"/>
    </row>
    <row r="1502" customFormat="false" ht="42" hidden="false" customHeight="true" outlineLevel="0" collapsed="false">
      <c r="A1502" s="12" t="s">
        <v>1450</v>
      </c>
      <c r="B1502" s="12"/>
      <c r="C1502" s="12"/>
      <c r="D1502" s="12"/>
      <c r="E1502" s="12" t="s">
        <v>1451</v>
      </c>
      <c r="F1502" s="12"/>
      <c r="G1502" s="12"/>
      <c r="H1502" s="12"/>
    </row>
    <row r="1503" customFormat="false" ht="33.75" hidden="false" customHeight="true" outlineLevel="0" collapsed="false">
      <c r="A1503" s="12" t="s">
        <v>1452</v>
      </c>
      <c r="B1503" s="12"/>
      <c r="C1503" s="12"/>
      <c r="D1503" s="12"/>
      <c r="E1503" s="12" t="s">
        <v>1453</v>
      </c>
      <c r="F1503" s="12"/>
      <c r="G1503" s="12"/>
      <c r="H1503" s="12"/>
    </row>
    <row r="1504" customFormat="false" ht="24" hidden="false" customHeight="true" outlineLevel="0" collapsed="false">
      <c r="A1504" s="13" t="s">
        <v>1376</v>
      </c>
      <c r="B1504" s="13"/>
      <c r="C1504" s="13"/>
      <c r="D1504" s="13"/>
      <c r="E1504" s="13"/>
      <c r="F1504" s="13"/>
      <c r="G1504" s="13"/>
      <c r="H1504" s="13"/>
    </row>
    <row r="1505" customFormat="false" ht="7.5" hidden="false" customHeight="true" outlineLevel="0" collapsed="false"/>
    <row r="1506" customFormat="false" ht="24" hidden="false" customHeight="true" outlineLevel="0" collapsed="false">
      <c r="A1506" s="9" t="s">
        <v>1454</v>
      </c>
      <c r="B1506" s="9"/>
      <c r="C1506" s="9"/>
      <c r="D1506" s="9"/>
      <c r="E1506" s="9"/>
      <c r="F1506" s="9"/>
      <c r="G1506" s="9"/>
      <c r="H1506" s="9"/>
    </row>
    <row r="1507" customFormat="false" ht="45.75" hidden="false" customHeight="true" outlineLevel="0" collapsed="false">
      <c r="A1507" s="11" t="s">
        <v>1455</v>
      </c>
      <c r="B1507" s="11"/>
      <c r="C1507" s="11"/>
      <c r="D1507" s="11"/>
      <c r="E1507" s="11"/>
      <c r="F1507" s="11"/>
      <c r="G1507" s="11"/>
      <c r="H1507" s="11"/>
    </row>
    <row r="1508" customFormat="false" ht="33.75" hidden="false" customHeight="true" outlineLevel="0" collapsed="false">
      <c r="A1508" s="12" t="s">
        <v>1456</v>
      </c>
      <c r="B1508" s="12"/>
      <c r="C1508" s="12"/>
      <c r="D1508" s="12"/>
      <c r="E1508" s="12" t="s">
        <v>1457</v>
      </c>
      <c r="F1508" s="12"/>
      <c r="G1508" s="12"/>
      <c r="H1508" s="12"/>
    </row>
    <row r="1509" customFormat="false" ht="33.75" hidden="false" customHeight="true" outlineLevel="0" collapsed="false">
      <c r="A1509" s="12" t="s">
        <v>1458</v>
      </c>
      <c r="B1509" s="12"/>
      <c r="C1509" s="12"/>
      <c r="D1509" s="12"/>
      <c r="E1509" s="12" t="s">
        <v>1459</v>
      </c>
      <c r="F1509" s="12"/>
      <c r="G1509" s="12"/>
      <c r="H1509" s="12"/>
    </row>
    <row r="1510" customFormat="false" ht="24" hidden="false" customHeight="true" outlineLevel="0" collapsed="false">
      <c r="A1510" s="13" t="s">
        <v>1460</v>
      </c>
      <c r="B1510" s="13"/>
      <c r="C1510" s="13"/>
      <c r="D1510" s="13"/>
      <c r="E1510" s="13"/>
      <c r="F1510" s="13"/>
      <c r="G1510" s="13"/>
      <c r="H1510" s="13"/>
    </row>
    <row r="1511" customFormat="false" ht="7.5" hidden="false" customHeight="true" outlineLevel="0" collapsed="false"/>
    <row r="1512" customFormat="false" ht="24" hidden="false" customHeight="true" outlineLevel="0" collapsed="false">
      <c r="A1512" s="9" t="s">
        <v>1461</v>
      </c>
      <c r="B1512" s="9"/>
      <c r="C1512" s="9"/>
      <c r="D1512" s="9"/>
      <c r="E1512" s="9"/>
      <c r="F1512" s="9"/>
      <c r="G1512" s="9"/>
      <c r="H1512" s="9"/>
    </row>
    <row r="1513" customFormat="false" ht="45.75" hidden="false" customHeight="true" outlineLevel="0" collapsed="false">
      <c r="A1513" s="11" t="s">
        <v>1462</v>
      </c>
      <c r="B1513" s="11"/>
      <c r="C1513" s="11"/>
      <c r="D1513" s="11"/>
      <c r="E1513" s="11"/>
      <c r="F1513" s="11"/>
      <c r="G1513" s="11"/>
      <c r="H1513" s="11"/>
    </row>
    <row r="1514" customFormat="false" ht="54.75" hidden="false" customHeight="true" outlineLevel="0" collapsed="false">
      <c r="A1514" s="12" t="s">
        <v>1463</v>
      </c>
      <c r="B1514" s="12"/>
      <c r="C1514" s="12"/>
      <c r="D1514" s="12"/>
      <c r="E1514" s="12" t="s">
        <v>1464</v>
      </c>
      <c r="F1514" s="12"/>
      <c r="G1514" s="12"/>
      <c r="H1514" s="12"/>
    </row>
    <row r="1515" customFormat="false" ht="54.75" hidden="false" customHeight="true" outlineLevel="0" collapsed="false">
      <c r="A1515" s="12" t="s">
        <v>1465</v>
      </c>
      <c r="B1515" s="12"/>
      <c r="C1515" s="12"/>
      <c r="D1515" s="12"/>
      <c r="E1515" s="12" t="s">
        <v>1466</v>
      </c>
      <c r="F1515" s="12"/>
      <c r="G1515" s="12"/>
      <c r="H1515" s="12"/>
    </row>
    <row r="1516" customFormat="false" ht="24" hidden="false" customHeight="true" outlineLevel="0" collapsed="false">
      <c r="A1516" s="13" t="s">
        <v>1467</v>
      </c>
      <c r="B1516" s="13"/>
      <c r="C1516" s="13"/>
      <c r="D1516" s="13"/>
      <c r="E1516" s="13"/>
      <c r="F1516" s="13"/>
      <c r="G1516" s="13"/>
      <c r="H1516" s="13"/>
    </row>
    <row r="1517" customFormat="false" ht="7.5" hidden="false" customHeight="true" outlineLevel="0" collapsed="false"/>
    <row r="1518" customFormat="false" ht="24" hidden="false" customHeight="true" outlineLevel="0" collapsed="false">
      <c r="A1518" s="9" t="s">
        <v>1468</v>
      </c>
      <c r="B1518" s="9"/>
      <c r="C1518" s="9"/>
      <c r="D1518" s="9"/>
      <c r="E1518" s="9"/>
      <c r="F1518" s="9"/>
      <c r="G1518" s="9"/>
      <c r="H1518" s="9"/>
    </row>
    <row r="1519" customFormat="false" ht="42" hidden="false" customHeight="true" outlineLevel="0" collapsed="false">
      <c r="A1519" s="11" t="s">
        <v>1469</v>
      </c>
      <c r="B1519" s="11"/>
      <c r="C1519" s="11"/>
      <c r="D1519" s="11"/>
      <c r="E1519" s="11"/>
      <c r="F1519" s="11"/>
      <c r="G1519" s="11"/>
      <c r="H1519" s="11"/>
    </row>
    <row r="1520" customFormat="false" ht="54.75" hidden="false" customHeight="true" outlineLevel="0" collapsed="false">
      <c r="A1520" s="12" t="s">
        <v>1470</v>
      </c>
      <c r="B1520" s="12"/>
      <c r="C1520" s="12"/>
      <c r="D1520" s="12"/>
      <c r="E1520" s="12" t="s">
        <v>1471</v>
      </c>
      <c r="F1520" s="12"/>
      <c r="G1520" s="12"/>
      <c r="H1520" s="12"/>
    </row>
    <row r="1521" customFormat="false" ht="54.75" hidden="false" customHeight="true" outlineLevel="0" collapsed="false">
      <c r="A1521" s="12" t="s">
        <v>1472</v>
      </c>
      <c r="B1521" s="12"/>
      <c r="C1521" s="12"/>
      <c r="D1521" s="12"/>
      <c r="E1521" s="12" t="s">
        <v>1473</v>
      </c>
      <c r="F1521" s="12"/>
      <c r="G1521" s="12"/>
      <c r="H1521" s="12"/>
    </row>
    <row r="1522" customFormat="false" ht="24" hidden="false" customHeight="true" outlineLevel="0" collapsed="false">
      <c r="A1522" s="13" t="s">
        <v>1290</v>
      </c>
      <c r="B1522" s="13"/>
      <c r="C1522" s="13"/>
      <c r="D1522" s="13"/>
      <c r="E1522" s="13"/>
      <c r="F1522" s="13"/>
      <c r="G1522" s="13"/>
      <c r="H1522" s="13"/>
    </row>
    <row r="1523" customFormat="false" ht="7.5" hidden="false" customHeight="true" outlineLevel="0" collapsed="false"/>
    <row r="1524" customFormat="false" ht="24" hidden="false" customHeight="true" outlineLevel="0" collapsed="false">
      <c r="A1524" s="9" t="s">
        <v>1474</v>
      </c>
      <c r="B1524" s="9"/>
      <c r="C1524" s="9"/>
      <c r="D1524" s="9"/>
      <c r="E1524" s="9"/>
      <c r="F1524" s="9"/>
      <c r="G1524" s="9"/>
      <c r="H1524" s="9"/>
    </row>
    <row r="1525" customFormat="false" ht="99.75" hidden="false" customHeight="true" outlineLevel="0" collapsed="false">
      <c r="A1525" s="10" t="s">
        <v>1475</v>
      </c>
      <c r="B1525" s="10"/>
      <c r="C1525" s="10"/>
      <c r="D1525" s="10"/>
      <c r="E1525" s="10"/>
      <c r="F1525" s="10"/>
      <c r="G1525" s="10"/>
      <c r="H1525" s="10"/>
    </row>
    <row r="1526" customFormat="false" ht="42" hidden="false" customHeight="true" outlineLevel="0" collapsed="false">
      <c r="A1526" s="10" t="s">
        <v>1476</v>
      </c>
      <c r="B1526" s="10"/>
      <c r="C1526" s="10"/>
      <c r="D1526" s="10"/>
      <c r="E1526" s="10"/>
      <c r="F1526" s="10"/>
      <c r="G1526" s="10"/>
      <c r="H1526" s="10"/>
    </row>
    <row r="1527" customFormat="false" ht="42" hidden="false" customHeight="true" outlineLevel="0" collapsed="false">
      <c r="A1527" s="11" t="s">
        <v>1477</v>
      </c>
      <c r="B1527" s="11"/>
      <c r="C1527" s="11"/>
      <c r="D1527" s="11"/>
      <c r="E1527" s="11"/>
      <c r="F1527" s="11"/>
      <c r="G1527" s="11"/>
      <c r="H1527" s="11"/>
    </row>
    <row r="1528" customFormat="false" ht="54.75" hidden="false" customHeight="true" outlineLevel="0" collapsed="false">
      <c r="A1528" s="12" t="s">
        <v>1478</v>
      </c>
      <c r="B1528" s="12"/>
      <c r="C1528" s="12"/>
      <c r="D1528" s="12"/>
      <c r="E1528" s="12" t="s">
        <v>1479</v>
      </c>
      <c r="F1528" s="12"/>
      <c r="G1528" s="12"/>
      <c r="H1528" s="12"/>
    </row>
    <row r="1529" customFormat="false" ht="54.75" hidden="false" customHeight="true" outlineLevel="0" collapsed="false">
      <c r="A1529" s="12" t="s">
        <v>1480</v>
      </c>
      <c r="B1529" s="12"/>
      <c r="C1529" s="12"/>
      <c r="D1529" s="12"/>
      <c r="E1529" s="12" t="s">
        <v>1481</v>
      </c>
      <c r="F1529" s="12"/>
      <c r="G1529" s="12"/>
      <c r="H1529" s="12"/>
    </row>
    <row r="1530" customFormat="false" ht="24" hidden="false" customHeight="true" outlineLevel="0" collapsed="false">
      <c r="A1530" s="13" t="s">
        <v>1482</v>
      </c>
      <c r="B1530" s="13"/>
      <c r="C1530" s="13"/>
      <c r="D1530" s="13"/>
      <c r="E1530" s="13"/>
      <c r="F1530" s="13"/>
      <c r="G1530" s="13"/>
      <c r="H1530" s="13"/>
    </row>
    <row r="1531" customFormat="false" ht="7.5" hidden="false" customHeight="true" outlineLevel="0" collapsed="false"/>
    <row r="1532" customFormat="false" ht="24" hidden="false" customHeight="true" outlineLevel="0" collapsed="false">
      <c r="A1532" s="9" t="s">
        <v>1483</v>
      </c>
      <c r="B1532" s="9"/>
      <c r="C1532" s="9"/>
      <c r="D1532" s="9"/>
      <c r="E1532" s="9"/>
      <c r="F1532" s="9"/>
      <c r="G1532" s="9"/>
      <c r="H1532" s="9"/>
    </row>
    <row r="1533" customFormat="false" ht="42" hidden="false" customHeight="true" outlineLevel="0" collapsed="false">
      <c r="A1533" s="11" t="s">
        <v>1484</v>
      </c>
      <c r="B1533" s="11"/>
      <c r="C1533" s="11"/>
      <c r="D1533" s="11"/>
      <c r="E1533" s="11"/>
      <c r="F1533" s="11"/>
      <c r="G1533" s="11"/>
      <c r="H1533" s="11"/>
    </row>
    <row r="1534" customFormat="false" ht="93.75" hidden="false" customHeight="true" outlineLevel="0" collapsed="false">
      <c r="A1534" s="12" t="s">
        <v>1485</v>
      </c>
      <c r="B1534" s="12"/>
      <c r="C1534" s="12"/>
      <c r="D1534" s="12"/>
      <c r="E1534" s="12" t="s">
        <v>1486</v>
      </c>
      <c r="F1534" s="12"/>
      <c r="G1534" s="12"/>
      <c r="H1534" s="12"/>
    </row>
    <row r="1535" customFormat="false" ht="93.75" hidden="false" customHeight="true" outlineLevel="0" collapsed="false">
      <c r="A1535" s="12" t="s">
        <v>1487</v>
      </c>
      <c r="B1535" s="12"/>
      <c r="C1535" s="12"/>
      <c r="D1535" s="12"/>
      <c r="E1535" s="12" t="s">
        <v>1488</v>
      </c>
      <c r="F1535" s="12"/>
      <c r="G1535" s="12"/>
      <c r="H1535" s="12"/>
    </row>
    <row r="1536" customFormat="false" ht="24" hidden="false" customHeight="true" outlineLevel="0" collapsed="false">
      <c r="A1536" s="13" t="s">
        <v>1340</v>
      </c>
      <c r="B1536" s="13"/>
      <c r="C1536" s="13"/>
      <c r="D1536" s="13"/>
      <c r="E1536" s="13"/>
      <c r="F1536" s="13"/>
      <c r="G1536" s="13"/>
      <c r="H1536" s="13"/>
    </row>
    <row r="1537" customFormat="false" ht="7.5" hidden="false" customHeight="true" outlineLevel="0" collapsed="false"/>
    <row r="1538" customFormat="false" ht="24" hidden="false" customHeight="true" outlineLevel="0" collapsed="false">
      <c r="A1538" s="9" t="s">
        <v>1489</v>
      </c>
      <c r="B1538" s="9"/>
      <c r="C1538" s="9"/>
      <c r="D1538" s="9"/>
      <c r="E1538" s="9"/>
      <c r="F1538" s="9"/>
      <c r="G1538" s="9"/>
      <c r="H1538" s="9"/>
    </row>
    <row r="1539" customFormat="false" ht="60" hidden="false" customHeight="true" outlineLevel="0" collapsed="false">
      <c r="A1539" s="11" t="s">
        <v>1490</v>
      </c>
      <c r="B1539" s="11"/>
      <c r="C1539" s="11"/>
      <c r="D1539" s="11"/>
      <c r="E1539" s="11"/>
      <c r="F1539" s="11"/>
      <c r="G1539" s="11"/>
      <c r="H1539" s="11"/>
    </row>
    <row r="1540" customFormat="false" ht="42" hidden="false" customHeight="true" outlineLevel="0" collapsed="false">
      <c r="A1540" s="12" t="s">
        <v>1491</v>
      </c>
      <c r="B1540" s="12"/>
      <c r="C1540" s="12"/>
      <c r="D1540" s="12"/>
      <c r="E1540" s="12" t="s">
        <v>1492</v>
      </c>
      <c r="F1540" s="12"/>
      <c r="G1540" s="12"/>
      <c r="H1540" s="12"/>
    </row>
    <row r="1541" customFormat="false" ht="42" hidden="false" customHeight="true" outlineLevel="0" collapsed="false">
      <c r="A1541" s="12" t="s">
        <v>1493</v>
      </c>
      <c r="B1541" s="12"/>
      <c r="C1541" s="12"/>
      <c r="D1541" s="12"/>
      <c r="E1541" s="12" t="s">
        <v>1494</v>
      </c>
      <c r="F1541" s="12"/>
      <c r="G1541" s="12"/>
      <c r="H1541" s="12"/>
    </row>
    <row r="1542" customFormat="false" ht="24" hidden="false" customHeight="true" outlineLevel="0" collapsed="false">
      <c r="A1542" s="13" t="s">
        <v>1495</v>
      </c>
      <c r="B1542" s="13"/>
      <c r="C1542" s="13"/>
      <c r="D1542" s="13"/>
      <c r="E1542" s="13"/>
      <c r="F1542" s="13"/>
      <c r="G1542" s="13"/>
      <c r="H1542" s="13"/>
    </row>
    <row r="1543" customFormat="false" ht="7.5" hidden="false" customHeight="true" outlineLevel="0" collapsed="false"/>
    <row r="1544" customFormat="false" ht="24" hidden="false" customHeight="true" outlineLevel="0" collapsed="false">
      <c r="A1544" s="9" t="s">
        <v>1496</v>
      </c>
      <c r="B1544" s="9"/>
      <c r="C1544" s="9"/>
      <c r="D1544" s="9"/>
      <c r="E1544" s="9"/>
      <c r="F1544" s="9"/>
      <c r="G1544" s="9"/>
      <c r="H1544" s="9"/>
    </row>
    <row r="1545" customFormat="false" ht="45.75" hidden="false" customHeight="true" outlineLevel="0" collapsed="false">
      <c r="A1545" s="11" t="s">
        <v>1497</v>
      </c>
      <c r="B1545" s="11"/>
      <c r="C1545" s="11"/>
      <c r="D1545" s="11"/>
      <c r="E1545" s="11"/>
      <c r="F1545" s="11"/>
      <c r="G1545" s="11"/>
      <c r="H1545" s="11"/>
    </row>
    <row r="1546" customFormat="false" ht="33.75" hidden="false" customHeight="true" outlineLevel="0" collapsed="false">
      <c r="A1546" s="12" t="s">
        <v>1498</v>
      </c>
      <c r="B1546" s="12"/>
      <c r="C1546" s="12"/>
      <c r="D1546" s="12"/>
      <c r="E1546" s="12" t="s">
        <v>1499</v>
      </c>
      <c r="F1546" s="12"/>
      <c r="G1546" s="12"/>
      <c r="H1546" s="12"/>
    </row>
    <row r="1547" customFormat="false" ht="33.75" hidden="false" customHeight="true" outlineLevel="0" collapsed="false">
      <c r="A1547" s="12" t="s">
        <v>1500</v>
      </c>
      <c r="B1547" s="12"/>
      <c r="C1547" s="12"/>
      <c r="D1547" s="12"/>
      <c r="E1547" s="12" t="s">
        <v>1501</v>
      </c>
      <c r="F1547" s="12"/>
      <c r="G1547" s="12"/>
      <c r="H1547" s="12"/>
    </row>
    <row r="1548" customFormat="false" ht="24" hidden="false" customHeight="true" outlineLevel="0" collapsed="false">
      <c r="A1548" s="13" t="s">
        <v>1502</v>
      </c>
      <c r="B1548" s="13"/>
      <c r="C1548" s="13"/>
      <c r="D1548" s="13"/>
      <c r="E1548" s="13"/>
      <c r="F1548" s="13"/>
      <c r="G1548" s="13"/>
      <c r="H1548" s="13"/>
    </row>
    <row r="1549" customFormat="false" ht="7.5" hidden="false" customHeight="true" outlineLevel="0" collapsed="false"/>
    <row r="1550" customFormat="false" ht="24" hidden="false" customHeight="true" outlineLevel="0" collapsed="false">
      <c r="A1550" s="9" t="s">
        <v>1503</v>
      </c>
      <c r="B1550" s="9"/>
      <c r="C1550" s="9"/>
      <c r="D1550" s="9"/>
      <c r="E1550" s="9"/>
      <c r="F1550" s="9"/>
      <c r="G1550" s="9"/>
      <c r="H1550" s="9"/>
    </row>
    <row r="1551" customFormat="false" ht="60" hidden="false" customHeight="true" outlineLevel="0" collapsed="false">
      <c r="A1551" s="11" t="s">
        <v>1504</v>
      </c>
      <c r="B1551" s="11"/>
      <c r="C1551" s="11"/>
      <c r="D1551" s="11"/>
      <c r="E1551" s="11"/>
      <c r="F1551" s="11"/>
      <c r="G1551" s="11"/>
      <c r="H1551" s="11"/>
    </row>
    <row r="1552" customFormat="false" ht="42" hidden="false" customHeight="true" outlineLevel="0" collapsed="false">
      <c r="A1552" s="12" t="s">
        <v>1505</v>
      </c>
      <c r="B1552" s="12"/>
      <c r="C1552" s="12"/>
      <c r="D1552" s="12"/>
      <c r="E1552" s="12" t="s">
        <v>1506</v>
      </c>
      <c r="F1552" s="12"/>
      <c r="G1552" s="12"/>
      <c r="H1552" s="12"/>
    </row>
    <row r="1553" customFormat="false" ht="54.75" hidden="false" customHeight="true" outlineLevel="0" collapsed="false">
      <c r="A1553" s="12" t="s">
        <v>1507</v>
      </c>
      <c r="B1553" s="12"/>
      <c r="C1553" s="12"/>
      <c r="D1553" s="12"/>
      <c r="E1553" s="12" t="s">
        <v>1508</v>
      </c>
      <c r="F1553" s="12"/>
      <c r="G1553" s="12"/>
      <c r="H1553" s="12"/>
    </row>
    <row r="1554" customFormat="false" ht="24" hidden="false" customHeight="true" outlineLevel="0" collapsed="false">
      <c r="A1554" s="13" t="s">
        <v>1311</v>
      </c>
      <c r="B1554" s="13"/>
      <c r="C1554" s="13"/>
      <c r="D1554" s="13"/>
      <c r="E1554" s="13"/>
      <c r="F1554" s="13"/>
      <c r="G1554" s="13"/>
      <c r="H1554" s="13"/>
    </row>
    <row r="1555" customFormat="false" ht="7.5" hidden="false" customHeight="true" outlineLevel="0" collapsed="false"/>
    <row r="1556" customFormat="false" ht="24" hidden="false" customHeight="true" outlineLevel="0" collapsed="false">
      <c r="A1556" s="9" t="s">
        <v>1509</v>
      </c>
      <c r="B1556" s="9"/>
      <c r="C1556" s="9"/>
      <c r="D1556" s="9"/>
      <c r="E1556" s="9"/>
      <c r="F1556" s="9"/>
      <c r="G1556" s="9"/>
      <c r="H1556" s="9"/>
    </row>
    <row r="1557" customFormat="false" ht="87.75" hidden="false" customHeight="true" outlineLevel="0" collapsed="false">
      <c r="A1557" s="11" t="s">
        <v>1510</v>
      </c>
      <c r="B1557" s="11"/>
      <c r="C1557" s="11"/>
      <c r="D1557" s="11"/>
      <c r="E1557" s="11"/>
      <c r="F1557" s="11"/>
      <c r="G1557" s="11"/>
      <c r="H1557" s="11"/>
    </row>
    <row r="1558" customFormat="false" ht="33.75" hidden="false" customHeight="true" outlineLevel="0" collapsed="false">
      <c r="A1558" s="12" t="s">
        <v>1511</v>
      </c>
      <c r="B1558" s="12"/>
      <c r="C1558" s="12"/>
      <c r="D1558" s="12"/>
      <c r="E1558" s="12" t="s">
        <v>1512</v>
      </c>
      <c r="F1558" s="12"/>
      <c r="G1558" s="12"/>
      <c r="H1558" s="12"/>
    </row>
    <row r="1559" customFormat="false" ht="33.75" hidden="false" customHeight="true" outlineLevel="0" collapsed="false">
      <c r="A1559" s="12" t="s">
        <v>1513</v>
      </c>
      <c r="B1559" s="12"/>
      <c r="C1559" s="12"/>
      <c r="D1559" s="12"/>
      <c r="E1559" s="12" t="s">
        <v>1514</v>
      </c>
      <c r="F1559" s="12"/>
      <c r="G1559" s="12"/>
      <c r="H1559" s="12"/>
    </row>
    <row r="1560" customFormat="false" ht="24" hidden="false" customHeight="true" outlineLevel="0" collapsed="false">
      <c r="A1560" s="13" t="s">
        <v>1515</v>
      </c>
      <c r="B1560" s="13"/>
      <c r="C1560" s="13"/>
      <c r="D1560" s="13"/>
      <c r="E1560" s="13"/>
      <c r="F1560" s="13"/>
      <c r="G1560" s="13"/>
      <c r="H1560" s="13"/>
    </row>
    <row r="1561" customFormat="false" ht="7.5" hidden="false" customHeight="true" outlineLevel="0" collapsed="false"/>
    <row r="1562" customFormat="false" ht="24" hidden="false" customHeight="true" outlineLevel="0" collapsed="false">
      <c r="A1562" s="9" t="s">
        <v>1516</v>
      </c>
      <c r="B1562" s="9"/>
      <c r="C1562" s="9"/>
      <c r="D1562" s="9"/>
      <c r="E1562" s="9"/>
      <c r="F1562" s="9"/>
      <c r="G1562" s="9"/>
      <c r="H1562" s="9"/>
    </row>
    <row r="1563" customFormat="false" ht="42" hidden="false" customHeight="true" outlineLevel="0" collapsed="false">
      <c r="A1563" s="11" t="s">
        <v>1517</v>
      </c>
      <c r="B1563" s="11"/>
      <c r="C1563" s="11"/>
      <c r="D1563" s="11"/>
      <c r="E1563" s="11"/>
      <c r="F1563" s="11"/>
      <c r="G1563" s="11"/>
      <c r="H1563" s="11"/>
    </row>
    <row r="1564" customFormat="false" ht="54.75" hidden="false" customHeight="true" outlineLevel="0" collapsed="false">
      <c r="A1564" s="12" t="s">
        <v>1518</v>
      </c>
      <c r="B1564" s="12"/>
      <c r="C1564" s="12"/>
      <c r="D1564" s="12"/>
      <c r="E1564" s="12" t="s">
        <v>1519</v>
      </c>
      <c r="F1564" s="12"/>
      <c r="G1564" s="12"/>
      <c r="H1564" s="12"/>
    </row>
    <row r="1565" customFormat="false" ht="54.75" hidden="false" customHeight="true" outlineLevel="0" collapsed="false">
      <c r="A1565" s="12" t="s">
        <v>1520</v>
      </c>
      <c r="B1565" s="12"/>
      <c r="C1565" s="12"/>
      <c r="D1565" s="12"/>
      <c r="E1565" s="12" t="s">
        <v>1521</v>
      </c>
      <c r="F1565" s="12"/>
      <c r="G1565" s="12"/>
      <c r="H1565" s="12"/>
    </row>
    <row r="1566" customFormat="false" ht="24" hidden="false" customHeight="true" outlineLevel="0" collapsed="false">
      <c r="A1566" s="13" t="s">
        <v>1502</v>
      </c>
      <c r="B1566" s="13"/>
      <c r="C1566" s="13"/>
      <c r="D1566" s="13"/>
      <c r="E1566" s="13"/>
      <c r="F1566" s="13"/>
      <c r="G1566" s="13"/>
      <c r="H1566" s="13"/>
    </row>
    <row r="1567" customFormat="false" ht="7.5" hidden="false" customHeight="true" outlineLevel="0" collapsed="false"/>
    <row r="1568" customFormat="false" ht="24" hidden="false" customHeight="true" outlineLevel="0" collapsed="false">
      <c r="A1568" s="9" t="s">
        <v>1522</v>
      </c>
      <c r="B1568" s="9"/>
      <c r="C1568" s="9"/>
      <c r="D1568" s="9"/>
      <c r="E1568" s="9"/>
      <c r="F1568" s="9"/>
      <c r="G1568" s="9"/>
      <c r="H1568" s="9"/>
    </row>
    <row r="1569" customFormat="false" ht="60" hidden="false" customHeight="true" outlineLevel="0" collapsed="false">
      <c r="A1569" s="11" t="s">
        <v>1523</v>
      </c>
      <c r="B1569" s="11"/>
      <c r="C1569" s="11"/>
      <c r="D1569" s="11"/>
      <c r="E1569" s="11"/>
      <c r="F1569" s="11"/>
      <c r="G1569" s="11"/>
      <c r="H1569" s="11"/>
    </row>
    <row r="1570" customFormat="false" ht="33.75" hidden="false" customHeight="true" outlineLevel="0" collapsed="false">
      <c r="A1570" s="12" t="s">
        <v>1524</v>
      </c>
      <c r="B1570" s="12"/>
      <c r="C1570" s="12"/>
      <c r="D1570" s="12"/>
      <c r="E1570" s="12" t="s">
        <v>1525</v>
      </c>
      <c r="F1570" s="12"/>
      <c r="G1570" s="12"/>
      <c r="H1570" s="12"/>
    </row>
    <row r="1571" customFormat="false" ht="33.75" hidden="false" customHeight="true" outlineLevel="0" collapsed="false">
      <c r="A1571" s="12" t="s">
        <v>1526</v>
      </c>
      <c r="B1571" s="12"/>
      <c r="C1571" s="12"/>
      <c r="D1571" s="12"/>
      <c r="E1571" s="12" t="s">
        <v>1527</v>
      </c>
      <c r="F1571" s="12"/>
      <c r="G1571" s="12"/>
      <c r="H1571" s="12"/>
    </row>
    <row r="1572" customFormat="false" ht="24" hidden="false" customHeight="true" outlineLevel="0" collapsed="false">
      <c r="A1572" s="13" t="s">
        <v>1396</v>
      </c>
      <c r="B1572" s="13"/>
      <c r="C1572" s="13"/>
      <c r="D1572" s="13"/>
      <c r="E1572" s="13"/>
      <c r="F1572" s="13"/>
      <c r="G1572" s="13"/>
      <c r="H1572" s="13"/>
    </row>
    <row r="1573" customFormat="false" ht="7.5" hidden="false" customHeight="true" outlineLevel="0" collapsed="false"/>
    <row r="1574" customFormat="false" ht="24" hidden="false" customHeight="true" outlineLevel="0" collapsed="false">
      <c r="A1574" s="9" t="s">
        <v>1528</v>
      </c>
      <c r="B1574" s="9"/>
      <c r="C1574" s="9"/>
      <c r="D1574" s="9"/>
      <c r="E1574" s="9"/>
      <c r="F1574" s="9"/>
      <c r="G1574" s="9"/>
      <c r="H1574" s="9"/>
    </row>
    <row r="1575" customFormat="false" ht="45.75" hidden="false" customHeight="true" outlineLevel="0" collapsed="false">
      <c r="A1575" s="11" t="s">
        <v>1529</v>
      </c>
      <c r="B1575" s="11"/>
      <c r="C1575" s="11"/>
      <c r="D1575" s="11"/>
      <c r="E1575" s="11"/>
      <c r="F1575" s="11"/>
      <c r="G1575" s="11"/>
      <c r="H1575" s="11"/>
    </row>
    <row r="1576" customFormat="false" ht="42" hidden="false" customHeight="true" outlineLevel="0" collapsed="false">
      <c r="A1576" s="12" t="s">
        <v>1530</v>
      </c>
      <c r="B1576" s="12"/>
      <c r="C1576" s="12"/>
      <c r="D1576" s="12"/>
      <c r="E1576" s="12" t="s">
        <v>1531</v>
      </c>
      <c r="F1576" s="12"/>
      <c r="G1576" s="12"/>
      <c r="H1576" s="12"/>
    </row>
    <row r="1577" customFormat="false" ht="33.75" hidden="false" customHeight="true" outlineLevel="0" collapsed="false">
      <c r="A1577" s="12" t="s">
        <v>1532</v>
      </c>
      <c r="B1577" s="12"/>
      <c r="C1577" s="12"/>
      <c r="D1577" s="12"/>
      <c r="E1577" s="12" t="s">
        <v>1533</v>
      </c>
      <c r="F1577" s="12"/>
      <c r="G1577" s="12"/>
      <c r="H1577" s="12"/>
    </row>
    <row r="1578" customFormat="false" ht="24" hidden="false" customHeight="true" outlineLevel="0" collapsed="false">
      <c r="A1578" s="13" t="s">
        <v>1290</v>
      </c>
      <c r="B1578" s="13"/>
      <c r="C1578" s="13"/>
      <c r="D1578" s="13"/>
      <c r="E1578" s="13"/>
      <c r="F1578" s="13"/>
      <c r="G1578" s="13"/>
      <c r="H1578" s="13"/>
    </row>
    <row r="1579" customFormat="false" ht="7.5" hidden="false" customHeight="true" outlineLevel="0" collapsed="false"/>
    <row r="1580" customFormat="false" ht="24" hidden="false" customHeight="true" outlineLevel="0" collapsed="false">
      <c r="A1580" s="9" t="s">
        <v>1534</v>
      </c>
      <c r="B1580" s="9"/>
      <c r="C1580" s="9"/>
      <c r="D1580" s="9"/>
      <c r="E1580" s="9"/>
      <c r="F1580" s="9"/>
      <c r="G1580" s="9"/>
      <c r="H1580" s="9"/>
    </row>
    <row r="1581" customFormat="false" ht="42" hidden="false" customHeight="true" outlineLevel="0" collapsed="false">
      <c r="A1581" s="11" t="s">
        <v>1535</v>
      </c>
      <c r="B1581" s="11"/>
      <c r="C1581" s="11"/>
      <c r="D1581" s="11"/>
      <c r="E1581" s="11"/>
      <c r="F1581" s="11"/>
      <c r="G1581" s="11"/>
      <c r="H1581" s="11"/>
    </row>
    <row r="1582" customFormat="false" ht="33.75" hidden="false" customHeight="true" outlineLevel="0" collapsed="false">
      <c r="A1582" s="12" t="s">
        <v>1536</v>
      </c>
      <c r="B1582" s="12"/>
      <c r="C1582" s="12"/>
      <c r="D1582" s="12"/>
      <c r="E1582" s="12" t="s">
        <v>1537</v>
      </c>
      <c r="F1582" s="12"/>
      <c r="G1582" s="12"/>
      <c r="H1582" s="12"/>
    </row>
    <row r="1583" customFormat="false" ht="33.75" hidden="false" customHeight="true" outlineLevel="0" collapsed="false">
      <c r="A1583" s="12" t="s">
        <v>1538</v>
      </c>
      <c r="B1583" s="12"/>
      <c r="C1583" s="12"/>
      <c r="D1583" s="12"/>
      <c r="E1583" s="12" t="s">
        <v>1539</v>
      </c>
      <c r="F1583" s="12"/>
      <c r="G1583" s="12"/>
      <c r="H1583" s="12"/>
    </row>
    <row r="1584" customFormat="false" ht="24" hidden="false" customHeight="true" outlineLevel="0" collapsed="false">
      <c r="A1584" s="13" t="s">
        <v>1402</v>
      </c>
      <c r="B1584" s="13"/>
      <c r="C1584" s="13"/>
      <c r="D1584" s="13"/>
      <c r="E1584" s="13"/>
      <c r="F1584" s="13"/>
      <c r="G1584" s="13"/>
      <c r="H1584" s="13"/>
    </row>
    <row r="1585" customFormat="false" ht="7.5" hidden="false" customHeight="true" outlineLevel="0" collapsed="false"/>
    <row r="1586" customFormat="false" ht="24" hidden="false" customHeight="true" outlineLevel="0" collapsed="false">
      <c r="A1586" s="9" t="s">
        <v>1540</v>
      </c>
      <c r="B1586" s="9"/>
      <c r="C1586" s="9"/>
      <c r="D1586" s="9"/>
      <c r="E1586" s="9"/>
      <c r="F1586" s="9"/>
      <c r="G1586" s="9"/>
      <c r="H1586" s="9"/>
    </row>
    <row r="1587" customFormat="false" ht="42" hidden="false" customHeight="true" outlineLevel="0" collapsed="false">
      <c r="A1587" s="11" t="s">
        <v>1541</v>
      </c>
      <c r="B1587" s="11"/>
      <c r="C1587" s="11"/>
      <c r="D1587" s="11"/>
      <c r="E1587" s="11"/>
      <c r="F1587" s="11"/>
      <c r="G1587" s="11"/>
      <c r="H1587" s="11"/>
    </row>
    <row r="1588" customFormat="false" ht="42" hidden="false" customHeight="true" outlineLevel="0" collapsed="false">
      <c r="A1588" s="12" t="s">
        <v>1542</v>
      </c>
      <c r="B1588" s="12"/>
      <c r="C1588" s="12"/>
      <c r="D1588" s="12"/>
      <c r="E1588" s="12" t="s">
        <v>1543</v>
      </c>
      <c r="F1588" s="12"/>
      <c r="G1588" s="12"/>
      <c r="H1588" s="12"/>
    </row>
    <row r="1589" customFormat="false" ht="33.75" hidden="false" customHeight="true" outlineLevel="0" collapsed="false">
      <c r="A1589" s="12" t="s">
        <v>1544</v>
      </c>
      <c r="B1589" s="12"/>
      <c r="C1589" s="12"/>
      <c r="D1589" s="12"/>
      <c r="E1589" s="12" t="s">
        <v>1545</v>
      </c>
      <c r="F1589" s="12"/>
      <c r="G1589" s="12"/>
      <c r="H1589" s="12"/>
    </row>
    <row r="1590" customFormat="false" ht="24" hidden="false" customHeight="true" outlineLevel="0" collapsed="false">
      <c r="A1590" s="13" t="s">
        <v>1546</v>
      </c>
      <c r="B1590" s="13"/>
      <c r="C1590" s="13"/>
      <c r="D1590" s="13"/>
      <c r="E1590" s="13"/>
      <c r="F1590" s="13"/>
      <c r="G1590" s="13"/>
      <c r="H1590" s="13"/>
    </row>
    <row r="1591" customFormat="false" ht="7.5" hidden="false" customHeight="true" outlineLevel="0" collapsed="false"/>
    <row r="1592" customFormat="false" ht="24" hidden="false" customHeight="true" outlineLevel="0" collapsed="false">
      <c r="A1592" s="9" t="s">
        <v>1547</v>
      </c>
      <c r="B1592" s="9"/>
      <c r="C1592" s="9"/>
      <c r="D1592" s="9"/>
      <c r="E1592" s="9"/>
      <c r="F1592" s="9"/>
      <c r="G1592" s="9"/>
      <c r="H1592" s="9"/>
    </row>
    <row r="1593" customFormat="false" ht="99.75" hidden="false" customHeight="true" outlineLevel="0" collapsed="false">
      <c r="A1593" s="10" t="s">
        <v>1548</v>
      </c>
      <c r="B1593" s="10"/>
      <c r="C1593" s="10"/>
      <c r="D1593" s="10"/>
      <c r="E1593" s="10"/>
      <c r="F1593" s="10"/>
      <c r="G1593" s="10"/>
      <c r="H1593" s="10"/>
    </row>
    <row r="1594" customFormat="false" ht="99.75" hidden="false" customHeight="true" outlineLevel="0" collapsed="false">
      <c r="A1594" s="10" t="s">
        <v>1549</v>
      </c>
      <c r="B1594" s="10"/>
      <c r="C1594" s="10"/>
      <c r="D1594" s="10"/>
      <c r="E1594" s="10"/>
      <c r="F1594" s="10"/>
      <c r="G1594" s="10"/>
      <c r="H1594" s="10"/>
    </row>
    <row r="1595" customFormat="false" ht="42" hidden="false" customHeight="true" outlineLevel="0" collapsed="false">
      <c r="A1595" s="10" t="s">
        <v>1550</v>
      </c>
      <c r="B1595" s="10"/>
      <c r="C1595" s="10"/>
      <c r="D1595" s="10"/>
      <c r="E1595" s="10"/>
      <c r="F1595" s="10"/>
      <c r="G1595" s="10"/>
      <c r="H1595" s="10"/>
    </row>
    <row r="1596" customFormat="false" ht="45.75" hidden="false" customHeight="true" outlineLevel="0" collapsed="false">
      <c r="A1596" s="11" t="s">
        <v>1551</v>
      </c>
      <c r="B1596" s="11"/>
      <c r="C1596" s="11"/>
      <c r="D1596" s="11"/>
      <c r="E1596" s="11"/>
      <c r="F1596" s="11"/>
      <c r="G1596" s="11"/>
      <c r="H1596" s="11"/>
    </row>
    <row r="1597" customFormat="false" ht="42" hidden="false" customHeight="true" outlineLevel="0" collapsed="false">
      <c r="A1597" s="12" t="s">
        <v>1552</v>
      </c>
      <c r="B1597" s="12"/>
      <c r="C1597" s="12"/>
      <c r="D1597" s="12"/>
      <c r="E1597" s="12" t="s">
        <v>1553</v>
      </c>
      <c r="F1597" s="12"/>
      <c r="G1597" s="12"/>
      <c r="H1597" s="12"/>
    </row>
    <row r="1598" customFormat="false" ht="54.75" hidden="false" customHeight="true" outlineLevel="0" collapsed="false">
      <c r="A1598" s="12" t="s">
        <v>1554</v>
      </c>
      <c r="B1598" s="12"/>
      <c r="C1598" s="12"/>
      <c r="D1598" s="12"/>
      <c r="E1598" s="12" t="s">
        <v>1555</v>
      </c>
      <c r="F1598" s="12"/>
      <c r="G1598" s="12"/>
      <c r="H1598" s="12"/>
    </row>
    <row r="1599" customFormat="false" ht="24" hidden="false" customHeight="true" outlineLevel="0" collapsed="false">
      <c r="A1599" s="13" t="s">
        <v>1556</v>
      </c>
      <c r="B1599" s="13"/>
      <c r="C1599" s="13"/>
      <c r="D1599" s="13"/>
      <c r="E1599" s="13"/>
      <c r="F1599" s="13"/>
      <c r="G1599" s="13"/>
      <c r="H1599" s="13"/>
    </row>
    <row r="1600" customFormat="false" ht="7.5" hidden="false" customHeight="true" outlineLevel="0" collapsed="false"/>
    <row r="1601" customFormat="false" ht="24" hidden="false" customHeight="true" outlineLevel="0" collapsed="false">
      <c r="A1601" s="9" t="s">
        <v>1557</v>
      </c>
      <c r="B1601" s="9"/>
      <c r="C1601" s="9"/>
      <c r="D1601" s="9"/>
      <c r="E1601" s="9"/>
      <c r="F1601" s="9"/>
      <c r="G1601" s="9"/>
      <c r="H1601" s="9"/>
    </row>
    <row r="1602" customFormat="false" ht="42" hidden="false" customHeight="true" outlineLevel="0" collapsed="false">
      <c r="A1602" s="11" t="s">
        <v>1558</v>
      </c>
      <c r="B1602" s="11"/>
      <c r="C1602" s="11"/>
      <c r="D1602" s="11"/>
      <c r="E1602" s="11"/>
      <c r="F1602" s="11"/>
      <c r="G1602" s="11"/>
      <c r="H1602" s="11"/>
    </row>
    <row r="1603" customFormat="false" ht="33.75" hidden="false" customHeight="true" outlineLevel="0" collapsed="false">
      <c r="A1603" s="12" t="s">
        <v>1559</v>
      </c>
      <c r="B1603" s="12"/>
      <c r="C1603" s="12"/>
      <c r="D1603" s="12"/>
      <c r="E1603" s="12" t="s">
        <v>1560</v>
      </c>
      <c r="F1603" s="12"/>
      <c r="G1603" s="12"/>
      <c r="H1603" s="12"/>
    </row>
    <row r="1604" customFormat="false" ht="33.75" hidden="false" customHeight="true" outlineLevel="0" collapsed="false">
      <c r="A1604" s="12" t="s">
        <v>1561</v>
      </c>
      <c r="B1604" s="12"/>
      <c r="C1604" s="12"/>
      <c r="D1604" s="12"/>
      <c r="E1604" s="12" t="s">
        <v>1562</v>
      </c>
      <c r="F1604" s="12"/>
      <c r="G1604" s="12"/>
      <c r="H1604" s="12"/>
    </row>
    <row r="1605" customFormat="false" ht="24" hidden="false" customHeight="true" outlineLevel="0" collapsed="false">
      <c r="A1605" s="13" t="s">
        <v>1327</v>
      </c>
      <c r="B1605" s="13"/>
      <c r="C1605" s="13"/>
      <c r="D1605" s="13"/>
      <c r="E1605" s="13"/>
      <c r="F1605" s="13"/>
      <c r="G1605" s="13"/>
      <c r="H1605" s="13"/>
    </row>
    <row r="1606" customFormat="false" ht="7.5" hidden="false" customHeight="true" outlineLevel="0" collapsed="false"/>
    <row r="1607" customFormat="false" ht="24" hidden="false" customHeight="true" outlineLevel="0" collapsed="false">
      <c r="A1607" s="9" t="s">
        <v>1563</v>
      </c>
      <c r="B1607" s="9"/>
      <c r="C1607" s="9"/>
      <c r="D1607" s="9"/>
      <c r="E1607" s="9"/>
      <c r="F1607" s="9"/>
      <c r="G1607" s="9"/>
      <c r="H1607" s="9"/>
    </row>
    <row r="1608" customFormat="false" ht="60" hidden="false" customHeight="true" outlineLevel="0" collapsed="false">
      <c r="A1608" s="11" t="s">
        <v>1564</v>
      </c>
      <c r="B1608" s="11"/>
      <c r="C1608" s="11"/>
      <c r="D1608" s="11"/>
      <c r="E1608" s="11"/>
      <c r="F1608" s="11"/>
      <c r="G1608" s="11"/>
      <c r="H1608" s="11"/>
    </row>
    <row r="1609" customFormat="false" ht="33.75" hidden="false" customHeight="true" outlineLevel="0" collapsed="false">
      <c r="A1609" s="12" t="s">
        <v>1565</v>
      </c>
      <c r="B1609" s="12"/>
      <c r="C1609" s="12"/>
      <c r="D1609" s="12"/>
      <c r="E1609" s="12" t="s">
        <v>1566</v>
      </c>
      <c r="F1609" s="12"/>
      <c r="G1609" s="12"/>
      <c r="H1609" s="12"/>
    </row>
    <row r="1610" customFormat="false" ht="33.75" hidden="false" customHeight="true" outlineLevel="0" collapsed="false">
      <c r="A1610" s="12" t="s">
        <v>1567</v>
      </c>
      <c r="B1610" s="12"/>
      <c r="C1610" s="12"/>
      <c r="D1610" s="12"/>
      <c r="E1610" s="12" t="s">
        <v>1568</v>
      </c>
      <c r="F1610" s="12"/>
      <c r="G1610" s="12"/>
      <c r="H1610" s="12"/>
    </row>
    <row r="1611" customFormat="false" ht="24" hidden="false" customHeight="true" outlineLevel="0" collapsed="false">
      <c r="A1611" s="13" t="s">
        <v>1569</v>
      </c>
      <c r="B1611" s="13"/>
      <c r="C1611" s="13"/>
      <c r="D1611" s="13"/>
      <c r="E1611" s="13"/>
      <c r="F1611" s="13"/>
      <c r="G1611" s="13"/>
      <c r="H1611" s="13"/>
    </row>
    <row r="1612" customFormat="false" ht="7.5" hidden="false" customHeight="true" outlineLevel="0" collapsed="false"/>
    <row r="1613" customFormat="false" ht="24" hidden="false" customHeight="true" outlineLevel="0" collapsed="false">
      <c r="A1613" s="9" t="s">
        <v>1570</v>
      </c>
      <c r="B1613" s="9"/>
      <c r="C1613" s="9"/>
      <c r="D1613" s="9"/>
      <c r="E1613" s="9"/>
      <c r="F1613" s="9"/>
      <c r="G1613" s="9"/>
      <c r="H1613" s="9"/>
    </row>
    <row r="1614" customFormat="false" ht="42" hidden="false" customHeight="true" outlineLevel="0" collapsed="false">
      <c r="A1614" s="11" t="s">
        <v>1571</v>
      </c>
      <c r="B1614" s="11"/>
      <c r="C1614" s="11"/>
      <c r="D1614" s="11"/>
      <c r="E1614" s="11"/>
      <c r="F1614" s="11"/>
      <c r="G1614" s="11"/>
      <c r="H1614" s="11"/>
    </row>
    <row r="1615" customFormat="false" ht="54.75" hidden="false" customHeight="true" outlineLevel="0" collapsed="false">
      <c r="A1615" s="12" t="s">
        <v>1572</v>
      </c>
      <c r="B1615" s="12"/>
      <c r="C1615" s="12"/>
      <c r="D1615" s="12"/>
      <c r="E1615" s="12" t="s">
        <v>1573</v>
      </c>
      <c r="F1615" s="12"/>
      <c r="G1615" s="12"/>
      <c r="H1615" s="12"/>
    </row>
    <row r="1616" customFormat="false" ht="54.75" hidden="false" customHeight="true" outlineLevel="0" collapsed="false">
      <c r="A1616" s="12" t="s">
        <v>1574</v>
      </c>
      <c r="B1616" s="12"/>
      <c r="C1616" s="12"/>
      <c r="D1616" s="12"/>
      <c r="E1616" s="12" t="s">
        <v>1575</v>
      </c>
      <c r="F1616" s="12"/>
      <c r="G1616" s="12"/>
      <c r="H1616" s="12"/>
    </row>
    <row r="1617" customFormat="false" ht="24" hidden="false" customHeight="true" outlineLevel="0" collapsed="false">
      <c r="A1617" s="13" t="s">
        <v>1327</v>
      </c>
      <c r="B1617" s="13"/>
      <c r="C1617" s="13"/>
      <c r="D1617" s="13"/>
      <c r="E1617" s="13"/>
      <c r="F1617" s="13"/>
      <c r="G1617" s="13"/>
      <c r="H1617" s="13"/>
    </row>
    <row r="1618" customFormat="false" ht="7.5" hidden="false" customHeight="true" outlineLevel="0" collapsed="false"/>
    <row r="1619" customFormat="false" ht="24" hidden="false" customHeight="true" outlineLevel="0" collapsed="false">
      <c r="A1619" s="9" t="s">
        <v>1576</v>
      </c>
      <c r="B1619" s="9"/>
      <c r="C1619" s="9"/>
      <c r="D1619" s="9"/>
      <c r="E1619" s="9"/>
      <c r="F1619" s="9"/>
      <c r="G1619" s="9"/>
      <c r="H1619" s="9"/>
    </row>
    <row r="1620" customFormat="false" ht="45.75" hidden="false" customHeight="true" outlineLevel="0" collapsed="false">
      <c r="A1620" s="11" t="s">
        <v>1577</v>
      </c>
      <c r="B1620" s="11"/>
      <c r="C1620" s="11"/>
      <c r="D1620" s="11"/>
      <c r="E1620" s="11"/>
      <c r="F1620" s="11"/>
      <c r="G1620" s="11"/>
      <c r="H1620" s="11"/>
    </row>
    <row r="1621" customFormat="false" ht="42" hidden="false" customHeight="true" outlineLevel="0" collapsed="false">
      <c r="A1621" s="12" t="s">
        <v>1578</v>
      </c>
      <c r="B1621" s="12"/>
      <c r="C1621" s="12"/>
      <c r="D1621" s="12"/>
      <c r="E1621" s="12" t="s">
        <v>1579</v>
      </c>
      <c r="F1621" s="12"/>
      <c r="G1621" s="12"/>
      <c r="H1621" s="12"/>
    </row>
    <row r="1622" customFormat="false" ht="33.75" hidden="false" customHeight="true" outlineLevel="0" collapsed="false">
      <c r="A1622" s="12" t="s">
        <v>1580</v>
      </c>
      <c r="B1622" s="12"/>
      <c r="C1622" s="12"/>
      <c r="D1622" s="12"/>
      <c r="E1622" s="12" t="s">
        <v>1581</v>
      </c>
      <c r="F1622" s="12"/>
      <c r="G1622" s="12"/>
      <c r="H1622" s="12"/>
    </row>
    <row r="1623" customFormat="false" ht="24" hidden="false" customHeight="true" outlineLevel="0" collapsed="false">
      <c r="A1623" s="13" t="s">
        <v>1582</v>
      </c>
      <c r="B1623" s="13"/>
      <c r="C1623" s="13"/>
      <c r="D1623" s="13"/>
      <c r="E1623" s="13"/>
      <c r="F1623" s="13"/>
      <c r="G1623" s="13"/>
      <c r="H1623" s="13"/>
    </row>
    <row r="1624" customFormat="false" ht="7.5" hidden="false" customHeight="true" outlineLevel="0" collapsed="false"/>
    <row r="1625" customFormat="false" ht="24" hidden="false" customHeight="true" outlineLevel="0" collapsed="false">
      <c r="A1625" s="9" t="s">
        <v>1583</v>
      </c>
      <c r="B1625" s="9"/>
      <c r="C1625" s="9"/>
      <c r="D1625" s="9"/>
      <c r="E1625" s="9"/>
      <c r="F1625" s="9"/>
      <c r="G1625" s="9"/>
      <c r="H1625" s="9"/>
    </row>
    <row r="1626" customFormat="false" ht="45.75" hidden="false" customHeight="true" outlineLevel="0" collapsed="false">
      <c r="A1626" s="11" t="s">
        <v>1584</v>
      </c>
      <c r="B1626" s="11"/>
      <c r="C1626" s="11"/>
      <c r="D1626" s="11"/>
      <c r="E1626" s="11"/>
      <c r="F1626" s="11"/>
      <c r="G1626" s="11"/>
      <c r="H1626" s="11"/>
    </row>
    <row r="1627" customFormat="false" ht="33.75" hidden="false" customHeight="true" outlineLevel="0" collapsed="false">
      <c r="A1627" s="12" t="s">
        <v>1585</v>
      </c>
      <c r="B1627" s="12"/>
      <c r="C1627" s="12"/>
      <c r="D1627" s="12"/>
      <c r="E1627" s="12" t="s">
        <v>1586</v>
      </c>
      <c r="F1627" s="12"/>
      <c r="G1627" s="12"/>
      <c r="H1627" s="12"/>
    </row>
    <row r="1628" customFormat="false" ht="42" hidden="false" customHeight="true" outlineLevel="0" collapsed="false">
      <c r="A1628" s="12" t="s">
        <v>1587</v>
      </c>
      <c r="B1628" s="12"/>
      <c r="C1628" s="12"/>
      <c r="D1628" s="12"/>
      <c r="E1628" s="12" t="s">
        <v>1588</v>
      </c>
      <c r="F1628" s="12"/>
      <c r="G1628" s="12"/>
      <c r="H1628" s="12"/>
    </row>
    <row r="1629" customFormat="false" ht="24" hidden="false" customHeight="true" outlineLevel="0" collapsed="false">
      <c r="A1629" s="13" t="s">
        <v>1589</v>
      </c>
      <c r="B1629" s="13"/>
      <c r="C1629" s="13"/>
      <c r="D1629" s="13"/>
      <c r="E1629" s="13"/>
      <c r="F1629" s="13"/>
      <c r="G1629" s="13"/>
      <c r="H1629" s="13"/>
    </row>
    <row r="1630" customFormat="false" ht="7.5" hidden="false" customHeight="true" outlineLevel="0" collapsed="false"/>
    <row r="1631" customFormat="false" ht="24" hidden="false" customHeight="true" outlineLevel="0" collapsed="false">
      <c r="A1631" s="9" t="s">
        <v>1590</v>
      </c>
      <c r="B1631" s="9"/>
      <c r="C1631" s="9"/>
      <c r="D1631" s="9"/>
      <c r="E1631" s="9"/>
      <c r="F1631" s="9"/>
      <c r="G1631" s="9"/>
      <c r="H1631" s="9"/>
    </row>
    <row r="1632" customFormat="false" ht="42" hidden="false" customHeight="true" outlineLevel="0" collapsed="false">
      <c r="A1632" s="11" t="s">
        <v>1591</v>
      </c>
      <c r="B1632" s="11"/>
      <c r="C1632" s="11"/>
      <c r="D1632" s="11"/>
      <c r="E1632" s="11"/>
      <c r="F1632" s="11"/>
      <c r="G1632" s="11"/>
      <c r="H1632" s="11"/>
    </row>
    <row r="1633" customFormat="false" ht="42" hidden="false" customHeight="true" outlineLevel="0" collapsed="false">
      <c r="A1633" s="12" t="s">
        <v>1592</v>
      </c>
      <c r="B1633" s="12"/>
      <c r="C1633" s="12"/>
      <c r="D1633" s="12"/>
      <c r="E1633" s="12" t="s">
        <v>1593</v>
      </c>
      <c r="F1633" s="12"/>
      <c r="G1633" s="12"/>
      <c r="H1633" s="12"/>
    </row>
    <row r="1634" customFormat="false" ht="33.75" hidden="false" customHeight="true" outlineLevel="0" collapsed="false">
      <c r="A1634" s="12" t="s">
        <v>1594</v>
      </c>
      <c r="B1634" s="12"/>
      <c r="C1634" s="12"/>
      <c r="D1634" s="12"/>
      <c r="E1634" s="12" t="s">
        <v>1595</v>
      </c>
      <c r="F1634" s="12"/>
      <c r="G1634" s="12"/>
      <c r="H1634" s="12"/>
    </row>
    <row r="1635" customFormat="false" ht="24" hidden="false" customHeight="true" outlineLevel="0" collapsed="false">
      <c r="A1635" s="13" t="s">
        <v>1596</v>
      </c>
      <c r="B1635" s="13"/>
      <c r="C1635" s="13"/>
      <c r="D1635" s="13"/>
      <c r="E1635" s="13"/>
      <c r="F1635" s="13"/>
      <c r="G1635" s="13"/>
      <c r="H1635" s="13"/>
    </row>
    <row r="1636" customFormat="false" ht="7.5" hidden="false" customHeight="true" outlineLevel="0" collapsed="false"/>
    <row r="1637" customFormat="false" ht="24" hidden="false" customHeight="true" outlineLevel="0" collapsed="false">
      <c r="A1637" s="9" t="s">
        <v>1597</v>
      </c>
      <c r="B1637" s="9"/>
      <c r="C1637" s="9"/>
      <c r="D1637" s="9"/>
      <c r="E1637" s="9"/>
      <c r="F1637" s="9"/>
      <c r="G1637" s="9"/>
      <c r="H1637" s="9"/>
    </row>
    <row r="1638" customFormat="false" ht="45.75" hidden="false" customHeight="true" outlineLevel="0" collapsed="false">
      <c r="A1638" s="11" t="s">
        <v>1598</v>
      </c>
      <c r="B1638" s="11"/>
      <c r="C1638" s="11"/>
      <c r="D1638" s="11"/>
      <c r="E1638" s="11"/>
      <c r="F1638" s="11"/>
      <c r="G1638" s="11"/>
      <c r="H1638" s="11"/>
    </row>
    <row r="1639" customFormat="false" ht="33.75" hidden="false" customHeight="true" outlineLevel="0" collapsed="false">
      <c r="A1639" s="12" t="s">
        <v>1599</v>
      </c>
      <c r="B1639" s="12"/>
      <c r="C1639" s="12"/>
      <c r="D1639" s="12"/>
      <c r="E1639" s="12" t="s">
        <v>1600</v>
      </c>
      <c r="F1639" s="12"/>
      <c r="G1639" s="12"/>
      <c r="H1639" s="12"/>
    </row>
    <row r="1640" customFormat="false" ht="33.75" hidden="false" customHeight="true" outlineLevel="0" collapsed="false">
      <c r="A1640" s="12" t="s">
        <v>1601</v>
      </c>
      <c r="B1640" s="12"/>
      <c r="C1640" s="12"/>
      <c r="D1640" s="12"/>
      <c r="E1640" s="12" t="s">
        <v>1602</v>
      </c>
      <c r="F1640" s="12"/>
      <c r="G1640" s="12"/>
      <c r="H1640" s="12"/>
    </row>
    <row r="1641" customFormat="false" ht="24" hidden="false" customHeight="true" outlineLevel="0" collapsed="false">
      <c r="A1641" s="13" t="s">
        <v>1327</v>
      </c>
      <c r="B1641" s="13"/>
      <c r="C1641" s="13"/>
      <c r="D1641" s="13"/>
      <c r="E1641" s="13"/>
      <c r="F1641" s="13"/>
      <c r="G1641" s="13"/>
      <c r="H1641" s="13"/>
    </row>
    <row r="1642" customFormat="false" ht="7.5" hidden="false" customHeight="true" outlineLevel="0" collapsed="false"/>
    <row r="1643" customFormat="false" ht="24" hidden="false" customHeight="true" outlineLevel="0" collapsed="false">
      <c r="A1643" s="9" t="s">
        <v>1603</v>
      </c>
      <c r="B1643" s="9"/>
      <c r="C1643" s="9"/>
      <c r="D1643" s="9"/>
      <c r="E1643" s="9"/>
      <c r="F1643" s="9"/>
      <c r="G1643" s="9"/>
      <c r="H1643" s="9"/>
    </row>
    <row r="1644" customFormat="false" ht="42" hidden="false" customHeight="true" outlineLevel="0" collapsed="false">
      <c r="A1644" s="11" t="s">
        <v>1604</v>
      </c>
      <c r="B1644" s="11"/>
      <c r="C1644" s="11"/>
      <c r="D1644" s="11"/>
      <c r="E1644" s="11"/>
      <c r="F1644" s="11"/>
      <c r="G1644" s="11"/>
      <c r="H1644" s="11"/>
    </row>
    <row r="1645" customFormat="false" ht="33.75" hidden="false" customHeight="true" outlineLevel="0" collapsed="false">
      <c r="A1645" s="12" t="s">
        <v>1605</v>
      </c>
      <c r="B1645" s="12"/>
      <c r="C1645" s="12"/>
      <c r="D1645" s="12"/>
      <c r="E1645" s="12" t="s">
        <v>1606</v>
      </c>
      <c r="F1645" s="12"/>
      <c r="G1645" s="12"/>
      <c r="H1645" s="12"/>
    </row>
    <row r="1646" customFormat="false" ht="33.75" hidden="false" customHeight="true" outlineLevel="0" collapsed="false">
      <c r="A1646" s="12" t="s">
        <v>1607</v>
      </c>
      <c r="B1646" s="12"/>
      <c r="C1646" s="12"/>
      <c r="D1646" s="12"/>
      <c r="E1646" s="12" t="s">
        <v>1608</v>
      </c>
      <c r="F1646" s="12"/>
      <c r="G1646" s="12"/>
      <c r="H1646" s="12"/>
    </row>
    <row r="1647" customFormat="false" ht="24" hidden="false" customHeight="true" outlineLevel="0" collapsed="false">
      <c r="A1647" s="13" t="s">
        <v>1502</v>
      </c>
      <c r="B1647" s="13"/>
      <c r="C1647" s="13"/>
      <c r="D1647" s="13"/>
      <c r="E1647" s="13"/>
      <c r="F1647" s="13"/>
      <c r="G1647" s="13"/>
      <c r="H1647" s="13"/>
    </row>
    <row r="1648" customFormat="false" ht="7.5" hidden="false" customHeight="true" outlineLevel="0" collapsed="false"/>
    <row r="1649" customFormat="false" ht="24" hidden="false" customHeight="true" outlineLevel="0" collapsed="false">
      <c r="A1649" s="9" t="s">
        <v>1609</v>
      </c>
      <c r="B1649" s="9"/>
      <c r="C1649" s="9"/>
      <c r="D1649" s="9"/>
      <c r="E1649" s="9"/>
      <c r="F1649" s="9"/>
      <c r="G1649" s="9"/>
      <c r="H1649" s="9"/>
    </row>
    <row r="1650" customFormat="false" ht="42" hidden="false" customHeight="true" outlineLevel="0" collapsed="false">
      <c r="A1650" s="11" t="s">
        <v>1610</v>
      </c>
      <c r="B1650" s="11"/>
      <c r="C1650" s="11"/>
      <c r="D1650" s="11"/>
      <c r="E1650" s="11"/>
      <c r="F1650" s="11"/>
      <c r="G1650" s="11"/>
      <c r="H1650" s="11"/>
    </row>
    <row r="1651" customFormat="false" ht="33.75" hidden="false" customHeight="true" outlineLevel="0" collapsed="false">
      <c r="A1651" s="12" t="s">
        <v>1611</v>
      </c>
      <c r="B1651" s="12"/>
      <c r="C1651" s="12"/>
      <c r="D1651" s="12"/>
      <c r="E1651" s="12" t="s">
        <v>1612</v>
      </c>
      <c r="F1651" s="12"/>
      <c r="G1651" s="12"/>
      <c r="H1651" s="12"/>
    </row>
    <row r="1652" customFormat="false" ht="42" hidden="false" customHeight="true" outlineLevel="0" collapsed="false">
      <c r="A1652" s="12" t="s">
        <v>1613</v>
      </c>
      <c r="B1652" s="12"/>
      <c r="C1652" s="12"/>
      <c r="D1652" s="12"/>
      <c r="E1652" s="12" t="s">
        <v>1614</v>
      </c>
      <c r="F1652" s="12"/>
      <c r="G1652" s="12"/>
      <c r="H1652" s="12"/>
    </row>
    <row r="1653" customFormat="false" ht="24" hidden="false" customHeight="true" outlineLevel="0" collapsed="false">
      <c r="A1653" s="13" t="s">
        <v>1283</v>
      </c>
      <c r="B1653" s="13"/>
      <c r="C1653" s="13"/>
      <c r="D1653" s="13"/>
      <c r="E1653" s="13"/>
      <c r="F1653" s="13"/>
      <c r="G1653" s="13"/>
      <c r="H1653" s="13"/>
    </row>
    <row r="1654" customFormat="false" ht="7.5" hidden="false" customHeight="true" outlineLevel="0" collapsed="false"/>
    <row r="1655" customFormat="false" ht="24" hidden="false" customHeight="true" outlineLevel="0" collapsed="false">
      <c r="A1655" s="9" t="s">
        <v>1615</v>
      </c>
      <c r="B1655" s="9"/>
      <c r="C1655" s="9"/>
      <c r="D1655" s="9"/>
      <c r="E1655" s="9"/>
      <c r="F1655" s="9"/>
      <c r="G1655" s="9"/>
      <c r="H1655" s="9"/>
    </row>
    <row r="1656" customFormat="false" ht="45.75" hidden="false" customHeight="true" outlineLevel="0" collapsed="false">
      <c r="A1656" s="11" t="s">
        <v>1616</v>
      </c>
      <c r="B1656" s="11"/>
      <c r="C1656" s="11"/>
      <c r="D1656" s="11"/>
      <c r="E1656" s="11"/>
      <c r="F1656" s="11"/>
      <c r="G1656" s="11"/>
      <c r="H1656" s="11"/>
    </row>
    <row r="1657" customFormat="false" ht="54.75" hidden="false" customHeight="true" outlineLevel="0" collapsed="false">
      <c r="A1657" s="12" t="s">
        <v>1617</v>
      </c>
      <c r="B1657" s="12"/>
      <c r="C1657" s="12"/>
      <c r="D1657" s="12"/>
      <c r="E1657" s="12" t="s">
        <v>1618</v>
      </c>
      <c r="F1657" s="12"/>
      <c r="G1657" s="12"/>
      <c r="H1657" s="12"/>
    </row>
    <row r="1658" customFormat="false" ht="33.75" hidden="false" customHeight="true" outlineLevel="0" collapsed="false">
      <c r="A1658" s="12" t="s">
        <v>1619</v>
      </c>
      <c r="B1658" s="12"/>
      <c r="C1658" s="12"/>
      <c r="D1658" s="12"/>
      <c r="E1658" s="12" t="s">
        <v>1620</v>
      </c>
      <c r="F1658" s="12"/>
      <c r="G1658" s="12"/>
      <c r="H1658" s="12"/>
    </row>
    <row r="1659" customFormat="false" ht="24" hidden="false" customHeight="true" outlineLevel="0" collapsed="false">
      <c r="A1659" s="13" t="s">
        <v>1327</v>
      </c>
      <c r="B1659" s="13"/>
      <c r="C1659" s="13"/>
      <c r="D1659" s="13"/>
      <c r="E1659" s="13"/>
      <c r="F1659" s="13"/>
      <c r="G1659" s="13"/>
      <c r="H1659" s="13"/>
    </row>
    <row r="1660" customFormat="false" ht="7.5" hidden="false" customHeight="true" outlineLevel="0" collapsed="false"/>
    <row r="1661" customFormat="false" ht="24" hidden="false" customHeight="true" outlineLevel="0" collapsed="false">
      <c r="A1661" s="9" t="s">
        <v>1621</v>
      </c>
      <c r="B1661" s="9"/>
      <c r="C1661" s="9"/>
      <c r="D1661" s="9"/>
      <c r="E1661" s="9"/>
      <c r="F1661" s="9"/>
      <c r="G1661" s="9"/>
      <c r="H1661" s="9"/>
    </row>
    <row r="1662" customFormat="false" ht="42" hidden="false" customHeight="true" outlineLevel="0" collapsed="false">
      <c r="A1662" s="11" t="s">
        <v>1622</v>
      </c>
      <c r="B1662" s="11"/>
      <c r="C1662" s="11"/>
      <c r="D1662" s="11"/>
      <c r="E1662" s="11"/>
      <c r="F1662" s="11"/>
      <c r="G1662" s="11"/>
      <c r="H1662" s="11"/>
    </row>
    <row r="1663" customFormat="false" ht="42" hidden="false" customHeight="true" outlineLevel="0" collapsed="false">
      <c r="A1663" s="12" t="s">
        <v>1623</v>
      </c>
      <c r="B1663" s="12"/>
      <c r="C1663" s="12"/>
      <c r="D1663" s="12"/>
      <c r="E1663" s="12" t="s">
        <v>1624</v>
      </c>
      <c r="F1663" s="12"/>
      <c r="G1663" s="12"/>
      <c r="H1663" s="12"/>
    </row>
    <row r="1664" customFormat="false" ht="54.75" hidden="false" customHeight="true" outlineLevel="0" collapsed="false">
      <c r="A1664" s="12" t="s">
        <v>1625</v>
      </c>
      <c r="B1664" s="12"/>
      <c r="C1664" s="12"/>
      <c r="D1664" s="12"/>
      <c r="E1664" s="12" t="s">
        <v>1473</v>
      </c>
      <c r="F1664" s="12"/>
      <c r="G1664" s="12"/>
      <c r="H1664" s="12"/>
    </row>
    <row r="1665" customFormat="false" ht="24" hidden="false" customHeight="true" outlineLevel="0" collapsed="false">
      <c r="A1665" s="13" t="s">
        <v>1596</v>
      </c>
      <c r="B1665" s="13"/>
      <c r="C1665" s="13"/>
      <c r="D1665" s="13"/>
      <c r="E1665" s="13"/>
      <c r="F1665" s="13"/>
      <c r="G1665" s="13"/>
      <c r="H1665" s="13"/>
    </row>
    <row r="1666" customFormat="false" ht="7.5" hidden="false" customHeight="true" outlineLevel="0" collapsed="false"/>
    <row r="1667" customFormat="false" ht="24" hidden="false" customHeight="true" outlineLevel="0" collapsed="false">
      <c r="A1667" s="9" t="s">
        <v>1626</v>
      </c>
      <c r="B1667" s="9"/>
      <c r="C1667" s="9"/>
      <c r="D1667" s="9"/>
      <c r="E1667" s="9"/>
      <c r="F1667" s="9"/>
      <c r="G1667" s="9"/>
      <c r="H1667" s="9"/>
    </row>
    <row r="1668" customFormat="false" ht="87" hidden="false" customHeight="true" outlineLevel="0" collapsed="false">
      <c r="A1668" s="10" t="s">
        <v>1627</v>
      </c>
      <c r="B1668" s="10"/>
      <c r="C1668" s="10"/>
      <c r="D1668" s="10"/>
      <c r="E1668" s="10"/>
      <c r="F1668" s="10"/>
      <c r="G1668" s="10"/>
      <c r="H1668" s="10"/>
    </row>
    <row r="1669" customFormat="false" ht="42" hidden="false" customHeight="true" outlineLevel="0" collapsed="false">
      <c r="A1669" s="11" t="s">
        <v>1628</v>
      </c>
      <c r="B1669" s="11"/>
      <c r="C1669" s="11"/>
      <c r="D1669" s="11"/>
      <c r="E1669" s="11"/>
      <c r="F1669" s="11"/>
      <c r="G1669" s="11"/>
      <c r="H1669" s="11"/>
    </row>
    <row r="1670" customFormat="false" ht="33.75" hidden="false" customHeight="true" outlineLevel="0" collapsed="false">
      <c r="A1670" s="12" t="s">
        <v>1629</v>
      </c>
      <c r="B1670" s="12"/>
      <c r="C1670" s="12"/>
      <c r="D1670" s="12"/>
      <c r="E1670" s="12" t="s">
        <v>1630</v>
      </c>
      <c r="F1670" s="12"/>
      <c r="G1670" s="12"/>
      <c r="H1670" s="12"/>
    </row>
    <row r="1671" customFormat="false" ht="42" hidden="false" customHeight="true" outlineLevel="0" collapsed="false">
      <c r="A1671" s="12" t="s">
        <v>1631</v>
      </c>
      <c r="B1671" s="12"/>
      <c r="C1671" s="12"/>
      <c r="D1671" s="12"/>
      <c r="E1671" s="12" t="s">
        <v>1632</v>
      </c>
      <c r="F1671" s="12"/>
      <c r="G1671" s="12"/>
      <c r="H1671" s="12"/>
    </row>
    <row r="1672" customFormat="false" ht="24" hidden="false" customHeight="true" outlineLevel="0" collapsed="false">
      <c r="A1672" s="13" t="s">
        <v>1633</v>
      </c>
      <c r="B1672" s="13"/>
      <c r="C1672" s="13"/>
      <c r="D1672" s="13"/>
      <c r="E1672" s="13"/>
      <c r="F1672" s="13"/>
      <c r="G1672" s="13"/>
      <c r="H1672" s="13"/>
    </row>
    <row r="1673" customFormat="false" ht="7.5" hidden="false" customHeight="true" outlineLevel="0" collapsed="false"/>
    <row r="1674" customFormat="false" ht="24" hidden="false" customHeight="true" outlineLevel="0" collapsed="false">
      <c r="A1674" s="9" t="s">
        <v>1634</v>
      </c>
      <c r="B1674" s="9"/>
      <c r="C1674" s="9"/>
      <c r="D1674" s="9"/>
      <c r="E1674" s="9"/>
      <c r="F1674" s="9"/>
      <c r="G1674" s="9"/>
      <c r="H1674" s="9"/>
    </row>
    <row r="1675" customFormat="false" ht="45.75" hidden="false" customHeight="true" outlineLevel="0" collapsed="false">
      <c r="A1675" s="11" t="s">
        <v>1635</v>
      </c>
      <c r="B1675" s="11"/>
      <c r="C1675" s="11"/>
      <c r="D1675" s="11"/>
      <c r="E1675" s="11"/>
      <c r="F1675" s="11"/>
      <c r="G1675" s="11"/>
      <c r="H1675" s="11"/>
    </row>
    <row r="1676" customFormat="false" ht="33.75" hidden="false" customHeight="true" outlineLevel="0" collapsed="false">
      <c r="A1676" s="12" t="s">
        <v>1636</v>
      </c>
      <c r="B1676" s="12"/>
      <c r="C1676" s="12"/>
      <c r="D1676" s="12"/>
      <c r="E1676" s="12" t="s">
        <v>1637</v>
      </c>
      <c r="F1676" s="12"/>
      <c r="G1676" s="12"/>
      <c r="H1676" s="12"/>
    </row>
    <row r="1677" customFormat="false" ht="33.75" hidden="false" customHeight="true" outlineLevel="0" collapsed="false">
      <c r="A1677" s="12" t="s">
        <v>1638</v>
      </c>
      <c r="B1677" s="12"/>
      <c r="C1677" s="12"/>
      <c r="D1677" s="12"/>
      <c r="E1677" s="12" t="s">
        <v>1473</v>
      </c>
      <c r="F1677" s="12"/>
      <c r="G1677" s="12"/>
      <c r="H1677" s="12"/>
    </row>
    <row r="1678" customFormat="false" ht="24" hidden="false" customHeight="true" outlineLevel="0" collapsed="false">
      <c r="A1678" s="13" t="s">
        <v>1434</v>
      </c>
      <c r="B1678" s="13"/>
      <c r="C1678" s="13"/>
      <c r="D1678" s="13"/>
      <c r="E1678" s="13"/>
      <c r="F1678" s="13"/>
      <c r="G1678" s="13"/>
      <c r="H1678" s="13"/>
    </row>
    <row r="1679" customFormat="false" ht="7.5" hidden="false" customHeight="true" outlineLevel="0" collapsed="false"/>
    <row r="1680" customFormat="false" ht="24" hidden="false" customHeight="true" outlineLevel="0" collapsed="false">
      <c r="A1680" s="9" t="s">
        <v>1639</v>
      </c>
      <c r="B1680" s="9"/>
      <c r="C1680" s="9"/>
      <c r="D1680" s="9"/>
      <c r="E1680" s="9"/>
      <c r="F1680" s="9"/>
      <c r="G1680" s="9"/>
      <c r="H1680" s="9"/>
    </row>
    <row r="1681" customFormat="false" ht="45.75" hidden="false" customHeight="true" outlineLevel="0" collapsed="false">
      <c r="A1681" s="11" t="s">
        <v>1640</v>
      </c>
      <c r="B1681" s="11"/>
      <c r="C1681" s="11"/>
      <c r="D1681" s="11"/>
      <c r="E1681" s="11"/>
      <c r="F1681" s="11"/>
      <c r="G1681" s="11"/>
      <c r="H1681" s="11"/>
    </row>
    <row r="1682" customFormat="false" ht="33.75" hidden="false" customHeight="true" outlineLevel="0" collapsed="false">
      <c r="A1682" s="12" t="s">
        <v>1641</v>
      </c>
      <c r="B1682" s="12"/>
      <c r="C1682" s="12"/>
      <c r="D1682" s="12"/>
      <c r="E1682" s="12" t="s">
        <v>1642</v>
      </c>
      <c r="F1682" s="12"/>
      <c r="G1682" s="12"/>
      <c r="H1682" s="12"/>
    </row>
    <row r="1683" customFormat="false" ht="42" hidden="false" customHeight="true" outlineLevel="0" collapsed="false">
      <c r="A1683" s="12" t="s">
        <v>1643</v>
      </c>
      <c r="B1683" s="12"/>
      <c r="C1683" s="12"/>
      <c r="D1683" s="12"/>
      <c r="E1683" s="12" t="s">
        <v>1473</v>
      </c>
      <c r="F1683" s="12"/>
      <c r="G1683" s="12"/>
      <c r="H1683" s="12"/>
    </row>
    <row r="1684" customFormat="false" ht="24" hidden="false" customHeight="true" outlineLevel="0" collapsed="false">
      <c r="A1684" s="13" t="s">
        <v>1495</v>
      </c>
      <c r="B1684" s="13"/>
      <c r="C1684" s="13"/>
      <c r="D1684" s="13"/>
      <c r="E1684" s="13"/>
      <c r="F1684" s="13"/>
      <c r="G1684" s="13"/>
      <c r="H1684" s="13"/>
    </row>
    <row r="1685" customFormat="false" ht="7.5" hidden="false" customHeight="true" outlineLevel="0" collapsed="false"/>
    <row r="1686" customFormat="false" ht="24" hidden="false" customHeight="true" outlineLevel="0" collapsed="false">
      <c r="A1686" s="9" t="s">
        <v>1644</v>
      </c>
      <c r="B1686" s="9"/>
      <c r="C1686" s="9"/>
      <c r="D1686" s="9"/>
      <c r="E1686" s="9"/>
      <c r="F1686" s="9"/>
      <c r="G1686" s="9"/>
      <c r="H1686" s="9"/>
    </row>
    <row r="1687" customFormat="false" ht="42" hidden="false" customHeight="true" outlineLevel="0" collapsed="false">
      <c r="A1687" s="11" t="s">
        <v>1645</v>
      </c>
      <c r="B1687" s="11"/>
      <c r="C1687" s="11"/>
      <c r="D1687" s="11"/>
      <c r="E1687" s="11"/>
      <c r="F1687" s="11"/>
      <c r="G1687" s="11"/>
      <c r="H1687" s="11"/>
    </row>
    <row r="1688" customFormat="false" ht="33.75" hidden="false" customHeight="true" outlineLevel="0" collapsed="false">
      <c r="A1688" s="12" t="s">
        <v>1646</v>
      </c>
      <c r="B1688" s="12"/>
      <c r="C1688" s="12"/>
      <c r="D1688" s="12"/>
      <c r="E1688" s="12" t="s">
        <v>1647</v>
      </c>
      <c r="F1688" s="12"/>
      <c r="G1688" s="12"/>
      <c r="H1688" s="12"/>
    </row>
    <row r="1689" customFormat="false" ht="33.75" hidden="false" customHeight="true" outlineLevel="0" collapsed="false">
      <c r="A1689" s="12" t="s">
        <v>1648</v>
      </c>
      <c r="B1689" s="12"/>
      <c r="C1689" s="12"/>
      <c r="D1689" s="12"/>
      <c r="E1689" s="12" t="s">
        <v>1649</v>
      </c>
      <c r="F1689" s="12"/>
      <c r="G1689" s="12"/>
      <c r="H1689" s="12"/>
    </row>
    <row r="1690" customFormat="false" ht="24" hidden="false" customHeight="true" outlineLevel="0" collapsed="false">
      <c r="A1690" s="13" t="s">
        <v>1304</v>
      </c>
      <c r="B1690" s="13"/>
      <c r="C1690" s="13"/>
      <c r="D1690" s="13"/>
      <c r="E1690" s="13"/>
      <c r="F1690" s="13"/>
      <c r="G1690" s="13"/>
      <c r="H1690" s="13"/>
    </row>
    <row r="1691" customFormat="false" ht="7.5" hidden="false" customHeight="true" outlineLevel="0" collapsed="false"/>
    <row r="1692" customFormat="false" ht="24" hidden="false" customHeight="true" outlineLevel="0" collapsed="false">
      <c r="A1692" s="9" t="s">
        <v>1650</v>
      </c>
      <c r="B1692" s="9"/>
      <c r="C1692" s="9"/>
      <c r="D1692" s="9"/>
      <c r="E1692" s="9"/>
      <c r="F1692" s="9"/>
      <c r="G1692" s="9"/>
      <c r="H1692" s="9"/>
    </row>
    <row r="1693" customFormat="false" ht="45.75" hidden="false" customHeight="true" outlineLevel="0" collapsed="false">
      <c r="A1693" s="11" t="s">
        <v>1651</v>
      </c>
      <c r="B1693" s="11"/>
      <c r="C1693" s="11"/>
      <c r="D1693" s="11"/>
      <c r="E1693" s="11"/>
      <c r="F1693" s="11"/>
      <c r="G1693" s="11"/>
      <c r="H1693" s="11"/>
    </row>
    <row r="1694" customFormat="false" ht="42" hidden="false" customHeight="true" outlineLevel="0" collapsed="false">
      <c r="A1694" s="12" t="s">
        <v>1652</v>
      </c>
      <c r="B1694" s="12"/>
      <c r="C1694" s="12"/>
      <c r="D1694" s="12"/>
      <c r="E1694" s="12" t="s">
        <v>1653</v>
      </c>
      <c r="F1694" s="12"/>
      <c r="G1694" s="12"/>
      <c r="H1694" s="12"/>
    </row>
    <row r="1695" customFormat="false" ht="54.75" hidden="false" customHeight="true" outlineLevel="0" collapsed="false">
      <c r="A1695" s="12" t="s">
        <v>1654</v>
      </c>
      <c r="B1695" s="12"/>
      <c r="C1695" s="12"/>
      <c r="D1695" s="12"/>
      <c r="E1695" s="12" t="s">
        <v>1655</v>
      </c>
      <c r="F1695" s="12"/>
      <c r="G1695" s="12"/>
      <c r="H1695" s="12"/>
    </row>
    <row r="1696" customFormat="false" ht="24" hidden="false" customHeight="true" outlineLevel="0" collapsed="false">
      <c r="A1696" s="13" t="s">
        <v>1297</v>
      </c>
      <c r="B1696" s="13"/>
      <c r="C1696" s="13"/>
      <c r="D1696" s="13"/>
      <c r="E1696" s="13"/>
      <c r="F1696" s="13"/>
      <c r="G1696" s="13"/>
      <c r="H1696" s="13"/>
    </row>
    <row r="1697" customFormat="false" ht="7.5" hidden="false" customHeight="true" outlineLevel="0" collapsed="false"/>
    <row r="1698" customFormat="false" ht="24" hidden="false" customHeight="true" outlineLevel="0" collapsed="false">
      <c r="A1698" s="9" t="s">
        <v>1656</v>
      </c>
      <c r="B1698" s="9"/>
      <c r="C1698" s="9"/>
      <c r="D1698" s="9"/>
      <c r="E1698" s="9"/>
      <c r="F1698" s="9"/>
      <c r="G1698" s="9"/>
      <c r="H1698" s="9"/>
    </row>
    <row r="1699" customFormat="false" ht="42" hidden="false" customHeight="true" outlineLevel="0" collapsed="false">
      <c r="A1699" s="11" t="s">
        <v>1657</v>
      </c>
      <c r="B1699" s="11"/>
      <c r="C1699" s="11"/>
      <c r="D1699" s="11"/>
      <c r="E1699" s="11"/>
      <c r="F1699" s="11"/>
      <c r="G1699" s="11"/>
      <c r="H1699" s="11"/>
    </row>
    <row r="1700" customFormat="false" ht="33.75" hidden="false" customHeight="true" outlineLevel="0" collapsed="false">
      <c r="A1700" s="12" t="s">
        <v>1658</v>
      </c>
      <c r="B1700" s="12"/>
      <c r="C1700" s="12"/>
      <c r="D1700" s="12"/>
      <c r="E1700" s="12" t="s">
        <v>1659</v>
      </c>
      <c r="F1700" s="12"/>
      <c r="G1700" s="12"/>
      <c r="H1700" s="12"/>
    </row>
    <row r="1701" customFormat="false" ht="33.75" hidden="false" customHeight="true" outlineLevel="0" collapsed="false">
      <c r="A1701" s="12" t="s">
        <v>1660</v>
      </c>
      <c r="B1701" s="12"/>
      <c r="C1701" s="12"/>
      <c r="D1701" s="12"/>
      <c r="E1701" s="12" t="s">
        <v>1661</v>
      </c>
      <c r="F1701" s="12"/>
      <c r="G1701" s="12"/>
      <c r="H1701" s="12"/>
    </row>
    <row r="1702" customFormat="false" ht="24" hidden="false" customHeight="true" outlineLevel="0" collapsed="false">
      <c r="A1702" s="13" t="s">
        <v>1495</v>
      </c>
      <c r="B1702" s="13"/>
      <c r="C1702" s="13"/>
      <c r="D1702" s="13"/>
      <c r="E1702" s="13"/>
      <c r="F1702" s="13"/>
      <c r="G1702" s="13"/>
      <c r="H1702" s="13"/>
    </row>
    <row r="1703" customFormat="false" ht="7.5" hidden="false" customHeight="true" outlineLevel="0" collapsed="false"/>
    <row r="1704" customFormat="false" ht="24" hidden="false" customHeight="true" outlineLevel="0" collapsed="false">
      <c r="A1704" s="9" t="s">
        <v>1662</v>
      </c>
      <c r="B1704" s="9"/>
      <c r="C1704" s="9"/>
      <c r="D1704" s="9"/>
      <c r="E1704" s="9"/>
      <c r="F1704" s="9"/>
      <c r="G1704" s="9"/>
      <c r="H1704" s="9"/>
    </row>
    <row r="1705" customFormat="false" ht="42" hidden="false" customHeight="true" outlineLevel="0" collapsed="false">
      <c r="A1705" s="11" t="s">
        <v>1663</v>
      </c>
      <c r="B1705" s="11"/>
      <c r="C1705" s="11"/>
      <c r="D1705" s="11"/>
      <c r="E1705" s="11"/>
      <c r="F1705" s="11"/>
      <c r="G1705" s="11"/>
      <c r="H1705" s="11"/>
    </row>
    <row r="1706" customFormat="false" ht="33.75" hidden="false" customHeight="true" outlineLevel="0" collapsed="false">
      <c r="A1706" s="12" t="s">
        <v>1664</v>
      </c>
      <c r="B1706" s="12"/>
      <c r="C1706" s="12"/>
      <c r="D1706" s="12"/>
      <c r="E1706" s="12" t="s">
        <v>1665</v>
      </c>
      <c r="F1706" s="12"/>
      <c r="G1706" s="12"/>
      <c r="H1706" s="12"/>
    </row>
    <row r="1707" customFormat="false" ht="33.75" hidden="false" customHeight="true" outlineLevel="0" collapsed="false">
      <c r="A1707" s="12" t="s">
        <v>1666</v>
      </c>
      <c r="B1707" s="12"/>
      <c r="C1707" s="12"/>
      <c r="D1707" s="12"/>
      <c r="E1707" s="12" t="s">
        <v>509</v>
      </c>
      <c r="F1707" s="12"/>
      <c r="G1707" s="12"/>
      <c r="H1707" s="12"/>
    </row>
    <row r="1708" customFormat="false" ht="24" hidden="false" customHeight="true" outlineLevel="0" collapsed="false">
      <c r="A1708" s="13" t="s">
        <v>1297</v>
      </c>
      <c r="B1708" s="13"/>
      <c r="C1708" s="13"/>
      <c r="D1708" s="13"/>
      <c r="E1708" s="13"/>
      <c r="F1708" s="13"/>
      <c r="G1708" s="13"/>
      <c r="H1708" s="13"/>
    </row>
    <row r="1709" customFormat="false" ht="7.5" hidden="false" customHeight="true" outlineLevel="0" collapsed="false"/>
    <row r="1710" customFormat="false" ht="24" hidden="false" customHeight="true" outlineLevel="0" collapsed="false">
      <c r="A1710" s="9" t="s">
        <v>1667</v>
      </c>
      <c r="B1710" s="9"/>
      <c r="C1710" s="9"/>
      <c r="D1710" s="9"/>
      <c r="E1710" s="9"/>
      <c r="F1710" s="9"/>
      <c r="G1710" s="9"/>
      <c r="H1710" s="9"/>
    </row>
    <row r="1711" customFormat="false" ht="45.75" hidden="false" customHeight="true" outlineLevel="0" collapsed="false">
      <c r="A1711" s="11" t="s">
        <v>1668</v>
      </c>
      <c r="B1711" s="11"/>
      <c r="C1711" s="11"/>
      <c r="D1711" s="11"/>
      <c r="E1711" s="11"/>
      <c r="F1711" s="11"/>
      <c r="G1711" s="11"/>
      <c r="H1711" s="11"/>
    </row>
    <row r="1712" customFormat="false" ht="33.75" hidden="false" customHeight="true" outlineLevel="0" collapsed="false">
      <c r="A1712" s="12" t="s">
        <v>1669</v>
      </c>
      <c r="B1712" s="12"/>
      <c r="C1712" s="12"/>
      <c r="D1712" s="12"/>
      <c r="E1712" s="12" t="s">
        <v>1670</v>
      </c>
      <c r="F1712" s="12"/>
      <c r="G1712" s="12"/>
      <c r="H1712" s="12"/>
    </row>
    <row r="1713" customFormat="false" ht="33.75" hidden="false" customHeight="true" outlineLevel="0" collapsed="false">
      <c r="A1713" s="12" t="s">
        <v>1671</v>
      </c>
      <c r="B1713" s="12"/>
      <c r="C1713" s="12"/>
      <c r="D1713" s="12"/>
      <c r="E1713" s="12" t="s">
        <v>1672</v>
      </c>
      <c r="F1713" s="12"/>
      <c r="G1713" s="12"/>
      <c r="H1713" s="12"/>
    </row>
    <row r="1714" customFormat="false" ht="24" hidden="false" customHeight="true" outlineLevel="0" collapsed="false">
      <c r="A1714" s="13" t="s">
        <v>1467</v>
      </c>
      <c r="B1714" s="13"/>
      <c r="C1714" s="13"/>
      <c r="D1714" s="13"/>
      <c r="E1714" s="13"/>
      <c r="F1714" s="13"/>
      <c r="G1714" s="13"/>
      <c r="H1714" s="13"/>
    </row>
    <row r="1715" customFormat="false" ht="7.5" hidden="false" customHeight="true" outlineLevel="0" collapsed="false"/>
    <row r="1716" customFormat="false" ht="24" hidden="false" customHeight="true" outlineLevel="0" collapsed="false">
      <c r="A1716" s="9" t="s">
        <v>1673</v>
      </c>
      <c r="B1716" s="9"/>
      <c r="C1716" s="9"/>
      <c r="D1716" s="9"/>
      <c r="E1716" s="9"/>
      <c r="F1716" s="9"/>
      <c r="G1716" s="9"/>
      <c r="H1716" s="9"/>
    </row>
    <row r="1717" customFormat="false" ht="42" hidden="false" customHeight="true" outlineLevel="0" collapsed="false">
      <c r="A1717" s="11" t="s">
        <v>1674</v>
      </c>
      <c r="B1717" s="11"/>
      <c r="C1717" s="11"/>
      <c r="D1717" s="11"/>
      <c r="E1717" s="11"/>
      <c r="F1717" s="11"/>
      <c r="G1717" s="11"/>
      <c r="H1717" s="11"/>
    </row>
    <row r="1718" customFormat="false" ht="54.75" hidden="false" customHeight="true" outlineLevel="0" collapsed="false">
      <c r="A1718" s="12" t="s">
        <v>1675</v>
      </c>
      <c r="B1718" s="12"/>
      <c r="C1718" s="12"/>
      <c r="D1718" s="12"/>
      <c r="E1718" s="12" t="s">
        <v>1676</v>
      </c>
      <c r="F1718" s="12"/>
      <c r="G1718" s="12"/>
      <c r="H1718" s="12"/>
    </row>
    <row r="1719" customFormat="false" ht="81" hidden="false" customHeight="true" outlineLevel="0" collapsed="false">
      <c r="A1719" s="12" t="s">
        <v>1677</v>
      </c>
      <c r="B1719" s="12"/>
      <c r="C1719" s="12"/>
      <c r="D1719" s="12"/>
      <c r="E1719" s="12" t="s">
        <v>1678</v>
      </c>
      <c r="F1719" s="12"/>
      <c r="G1719" s="12"/>
      <c r="H1719" s="12"/>
    </row>
    <row r="1720" customFormat="false" ht="24" hidden="false" customHeight="true" outlineLevel="0" collapsed="false">
      <c r="A1720" s="13" t="s">
        <v>1467</v>
      </c>
      <c r="B1720" s="13"/>
      <c r="C1720" s="13"/>
      <c r="D1720" s="13"/>
      <c r="E1720" s="13"/>
      <c r="F1720" s="13"/>
      <c r="G1720" s="13"/>
      <c r="H1720" s="13"/>
    </row>
    <row r="1721" customFormat="false" ht="7.5" hidden="false" customHeight="true" outlineLevel="0" collapsed="false"/>
    <row r="1722" customFormat="false" ht="24" hidden="false" customHeight="true" outlineLevel="0" collapsed="false">
      <c r="A1722" s="9" t="s">
        <v>1679</v>
      </c>
      <c r="B1722" s="9"/>
      <c r="C1722" s="9"/>
      <c r="D1722" s="9"/>
      <c r="E1722" s="9"/>
      <c r="F1722" s="9"/>
      <c r="G1722" s="9"/>
      <c r="H1722" s="9"/>
    </row>
    <row r="1723" customFormat="false" ht="42" hidden="false" customHeight="true" outlineLevel="0" collapsed="false">
      <c r="A1723" s="11" t="s">
        <v>1680</v>
      </c>
      <c r="B1723" s="11"/>
      <c r="C1723" s="11"/>
      <c r="D1723" s="11"/>
      <c r="E1723" s="11"/>
      <c r="F1723" s="11"/>
      <c r="G1723" s="11"/>
      <c r="H1723" s="11"/>
    </row>
    <row r="1724" customFormat="false" ht="33.75" hidden="false" customHeight="true" outlineLevel="0" collapsed="false">
      <c r="A1724" s="12" t="s">
        <v>1681</v>
      </c>
      <c r="B1724" s="12"/>
      <c r="C1724" s="12"/>
      <c r="D1724" s="12"/>
      <c r="E1724" s="12" t="s">
        <v>1682</v>
      </c>
      <c r="F1724" s="12"/>
      <c r="G1724" s="12"/>
      <c r="H1724" s="12"/>
    </row>
    <row r="1725" customFormat="false" ht="33.75" hidden="false" customHeight="true" outlineLevel="0" collapsed="false">
      <c r="A1725" s="12" t="s">
        <v>1683</v>
      </c>
      <c r="B1725" s="12"/>
      <c r="C1725" s="12"/>
      <c r="D1725" s="12"/>
      <c r="E1725" s="12" t="s">
        <v>1684</v>
      </c>
      <c r="F1725" s="12"/>
      <c r="G1725" s="12"/>
      <c r="H1725" s="12"/>
    </row>
    <row r="1726" customFormat="false" ht="24" hidden="false" customHeight="true" outlineLevel="0" collapsed="false">
      <c r="A1726" s="13" t="s">
        <v>1502</v>
      </c>
      <c r="B1726" s="13"/>
      <c r="C1726" s="13"/>
      <c r="D1726" s="13"/>
      <c r="E1726" s="13"/>
      <c r="F1726" s="13"/>
      <c r="G1726" s="13"/>
      <c r="H1726" s="13"/>
    </row>
    <row r="1727" customFormat="false" ht="7.5" hidden="false" customHeight="true" outlineLevel="0" collapsed="false"/>
    <row r="1728" customFormat="false" ht="24" hidden="false" customHeight="true" outlineLevel="0" collapsed="false">
      <c r="A1728" s="9" t="s">
        <v>1685</v>
      </c>
      <c r="B1728" s="9"/>
      <c r="C1728" s="9"/>
      <c r="D1728" s="9"/>
      <c r="E1728" s="9"/>
      <c r="F1728" s="9"/>
      <c r="G1728" s="9"/>
      <c r="H1728" s="9"/>
    </row>
    <row r="1729" customFormat="false" ht="42" hidden="false" customHeight="true" outlineLevel="0" collapsed="false">
      <c r="A1729" s="11" t="s">
        <v>1686</v>
      </c>
      <c r="B1729" s="11"/>
      <c r="C1729" s="11"/>
      <c r="D1729" s="11"/>
      <c r="E1729" s="11"/>
      <c r="F1729" s="11"/>
      <c r="G1729" s="11"/>
      <c r="H1729" s="11"/>
    </row>
    <row r="1730" customFormat="false" ht="42" hidden="false" customHeight="true" outlineLevel="0" collapsed="false">
      <c r="A1730" s="12" t="s">
        <v>1687</v>
      </c>
      <c r="B1730" s="12"/>
      <c r="C1730" s="12"/>
      <c r="D1730" s="12"/>
      <c r="E1730" s="12" t="s">
        <v>1688</v>
      </c>
      <c r="F1730" s="12"/>
      <c r="G1730" s="12"/>
      <c r="H1730" s="12"/>
    </row>
    <row r="1731" customFormat="false" ht="33.75" hidden="false" customHeight="true" outlineLevel="0" collapsed="false">
      <c r="A1731" s="12" t="s">
        <v>1689</v>
      </c>
      <c r="B1731" s="12"/>
      <c r="C1731" s="12"/>
      <c r="D1731" s="12"/>
      <c r="E1731" s="12" t="s">
        <v>1690</v>
      </c>
      <c r="F1731" s="12"/>
      <c r="G1731" s="12"/>
      <c r="H1731" s="12"/>
    </row>
    <row r="1732" customFormat="false" ht="24" hidden="false" customHeight="true" outlineLevel="0" collapsed="false">
      <c r="A1732" s="13" t="s">
        <v>1502</v>
      </c>
      <c r="B1732" s="13"/>
      <c r="C1732" s="13"/>
      <c r="D1732" s="13"/>
      <c r="E1732" s="13"/>
      <c r="F1732" s="13"/>
      <c r="G1732" s="13"/>
      <c r="H1732" s="13"/>
    </row>
    <row r="1733" customFormat="false" ht="7.5" hidden="false" customHeight="true" outlineLevel="0" collapsed="false"/>
    <row r="1734" customFormat="false" ht="24" hidden="false" customHeight="true" outlineLevel="0" collapsed="false">
      <c r="A1734" s="9" t="s">
        <v>1691</v>
      </c>
      <c r="B1734" s="9"/>
      <c r="C1734" s="9"/>
      <c r="D1734" s="9"/>
      <c r="E1734" s="9"/>
      <c r="F1734" s="9"/>
      <c r="G1734" s="9"/>
      <c r="H1734" s="9"/>
    </row>
    <row r="1735" customFormat="false" ht="42" hidden="false" customHeight="true" outlineLevel="0" collapsed="false">
      <c r="A1735" s="11" t="s">
        <v>1692</v>
      </c>
      <c r="B1735" s="11"/>
      <c r="C1735" s="11"/>
      <c r="D1735" s="11"/>
      <c r="E1735" s="11"/>
      <c r="F1735" s="11"/>
      <c r="G1735" s="11"/>
      <c r="H1735" s="11"/>
    </row>
    <row r="1736" customFormat="false" ht="42" hidden="false" customHeight="true" outlineLevel="0" collapsed="false">
      <c r="A1736" s="12" t="s">
        <v>1693</v>
      </c>
      <c r="B1736" s="12"/>
      <c r="C1736" s="12"/>
      <c r="D1736" s="12"/>
      <c r="E1736" s="12" t="s">
        <v>1694</v>
      </c>
      <c r="F1736" s="12"/>
      <c r="G1736" s="12"/>
      <c r="H1736" s="12"/>
    </row>
    <row r="1737" customFormat="false" ht="42" hidden="false" customHeight="true" outlineLevel="0" collapsed="false">
      <c r="A1737" s="12" t="s">
        <v>1695</v>
      </c>
      <c r="B1737" s="12"/>
      <c r="C1737" s="12"/>
      <c r="D1737" s="12"/>
      <c r="E1737" s="12" t="s">
        <v>1696</v>
      </c>
      <c r="F1737" s="12"/>
      <c r="G1737" s="12"/>
      <c r="H1737" s="12"/>
    </row>
    <row r="1738" customFormat="false" ht="24" hidden="false" customHeight="true" outlineLevel="0" collapsed="false">
      <c r="A1738" s="13" t="s">
        <v>1290</v>
      </c>
      <c r="B1738" s="13"/>
      <c r="C1738" s="13"/>
      <c r="D1738" s="13"/>
      <c r="E1738" s="13"/>
      <c r="F1738" s="13"/>
      <c r="G1738" s="13"/>
      <c r="H1738" s="13"/>
    </row>
    <row r="1739" customFormat="false" ht="7.5" hidden="false" customHeight="true" outlineLevel="0" collapsed="false"/>
    <row r="1740" customFormat="false" ht="24" hidden="false" customHeight="true" outlineLevel="0" collapsed="false">
      <c r="A1740" s="9" t="s">
        <v>1697</v>
      </c>
      <c r="B1740" s="9"/>
      <c r="C1740" s="9"/>
      <c r="D1740" s="9"/>
      <c r="E1740" s="9"/>
      <c r="F1740" s="9"/>
      <c r="G1740" s="9"/>
      <c r="H1740" s="9"/>
    </row>
    <row r="1741" customFormat="false" ht="42" hidden="false" customHeight="true" outlineLevel="0" collapsed="false">
      <c r="A1741" s="11" t="s">
        <v>1698</v>
      </c>
      <c r="B1741" s="11"/>
      <c r="C1741" s="11"/>
      <c r="D1741" s="11"/>
      <c r="E1741" s="11"/>
      <c r="F1741" s="11"/>
      <c r="G1741" s="11"/>
      <c r="H1741" s="11"/>
    </row>
    <row r="1742" customFormat="false" ht="67.5" hidden="false" customHeight="true" outlineLevel="0" collapsed="false">
      <c r="A1742" s="12" t="s">
        <v>1699</v>
      </c>
      <c r="B1742" s="12"/>
      <c r="C1742" s="12"/>
      <c r="D1742" s="12"/>
      <c r="E1742" s="12" t="s">
        <v>1700</v>
      </c>
      <c r="F1742" s="12"/>
      <c r="G1742" s="12"/>
      <c r="H1742" s="12"/>
    </row>
    <row r="1743" customFormat="false" ht="67.5" hidden="false" customHeight="true" outlineLevel="0" collapsed="false">
      <c r="A1743" s="12" t="s">
        <v>1701</v>
      </c>
      <c r="B1743" s="12"/>
      <c r="C1743" s="12"/>
      <c r="D1743" s="12"/>
      <c r="E1743" s="12" t="s">
        <v>1702</v>
      </c>
      <c r="F1743" s="12"/>
      <c r="G1743" s="12"/>
      <c r="H1743" s="12"/>
    </row>
    <row r="1744" customFormat="false" ht="24" hidden="false" customHeight="true" outlineLevel="0" collapsed="false">
      <c r="A1744" s="13" t="s">
        <v>1297</v>
      </c>
      <c r="B1744" s="13"/>
      <c r="C1744" s="13"/>
      <c r="D1744" s="13"/>
      <c r="E1744" s="13"/>
      <c r="F1744" s="13"/>
      <c r="G1744" s="13"/>
      <c r="H1744" s="13"/>
    </row>
    <row r="1745" customFormat="false" ht="7.5" hidden="false" customHeight="true" outlineLevel="0" collapsed="false"/>
    <row r="1746" customFormat="false" ht="24" hidden="false" customHeight="true" outlineLevel="0" collapsed="false">
      <c r="A1746" s="9" t="s">
        <v>1703</v>
      </c>
      <c r="B1746" s="9"/>
      <c r="C1746" s="9"/>
      <c r="D1746" s="9"/>
      <c r="E1746" s="9"/>
      <c r="F1746" s="9"/>
      <c r="G1746" s="9"/>
      <c r="H1746" s="9"/>
    </row>
    <row r="1747" customFormat="false" ht="42" hidden="false" customHeight="true" outlineLevel="0" collapsed="false">
      <c r="A1747" s="11" t="s">
        <v>1704</v>
      </c>
      <c r="B1747" s="11"/>
      <c r="C1747" s="11"/>
      <c r="D1747" s="11"/>
      <c r="E1747" s="11"/>
      <c r="F1747" s="11"/>
      <c r="G1747" s="11"/>
      <c r="H1747" s="11"/>
    </row>
    <row r="1748" customFormat="false" ht="33.75" hidden="false" customHeight="true" outlineLevel="0" collapsed="false">
      <c r="A1748" s="12" t="s">
        <v>1705</v>
      </c>
      <c r="B1748" s="12"/>
      <c r="C1748" s="12"/>
      <c r="D1748" s="12"/>
      <c r="E1748" s="12" t="s">
        <v>1706</v>
      </c>
      <c r="F1748" s="12"/>
      <c r="G1748" s="12"/>
      <c r="H1748" s="12"/>
    </row>
    <row r="1749" customFormat="false" ht="33.75" hidden="false" customHeight="true" outlineLevel="0" collapsed="false">
      <c r="A1749" s="12" t="s">
        <v>1707</v>
      </c>
      <c r="B1749" s="12"/>
      <c r="C1749" s="12"/>
      <c r="D1749" s="12"/>
      <c r="E1749" s="12" t="s">
        <v>1708</v>
      </c>
      <c r="F1749" s="12"/>
      <c r="G1749" s="12"/>
      <c r="H1749" s="12"/>
    </row>
    <row r="1750" customFormat="false" ht="24" hidden="false" customHeight="true" outlineLevel="0" collapsed="false">
      <c r="A1750" s="13" t="s">
        <v>1502</v>
      </c>
      <c r="B1750" s="13"/>
      <c r="C1750" s="13"/>
      <c r="D1750" s="13"/>
      <c r="E1750" s="13"/>
      <c r="F1750" s="13"/>
      <c r="G1750" s="13"/>
      <c r="H1750" s="13"/>
    </row>
    <row r="1751" customFormat="false" ht="7.5" hidden="false" customHeight="true" outlineLevel="0" collapsed="false"/>
    <row r="1752" customFormat="false" ht="24" hidden="false" customHeight="true" outlineLevel="0" collapsed="false">
      <c r="A1752" s="9" t="s">
        <v>1709</v>
      </c>
      <c r="B1752" s="9"/>
      <c r="C1752" s="9"/>
      <c r="D1752" s="9"/>
      <c r="E1752" s="9"/>
      <c r="F1752" s="9"/>
      <c r="G1752" s="9"/>
      <c r="H1752" s="9"/>
    </row>
    <row r="1753" customFormat="false" ht="42" hidden="false" customHeight="true" outlineLevel="0" collapsed="false">
      <c r="A1753" s="11" t="s">
        <v>1710</v>
      </c>
      <c r="B1753" s="11"/>
      <c r="C1753" s="11"/>
      <c r="D1753" s="11"/>
      <c r="E1753" s="11"/>
      <c r="F1753" s="11"/>
      <c r="G1753" s="11"/>
      <c r="H1753" s="11"/>
    </row>
    <row r="1754" customFormat="false" ht="33.75" hidden="false" customHeight="true" outlineLevel="0" collapsed="false">
      <c r="A1754" s="12" t="s">
        <v>1711</v>
      </c>
      <c r="B1754" s="12"/>
      <c r="C1754" s="12"/>
      <c r="D1754" s="12"/>
      <c r="E1754" s="12" t="s">
        <v>1712</v>
      </c>
      <c r="F1754" s="12"/>
      <c r="G1754" s="12"/>
      <c r="H1754" s="12"/>
    </row>
    <row r="1755" customFormat="false" ht="33.75" hidden="false" customHeight="true" outlineLevel="0" collapsed="false">
      <c r="A1755" s="12" t="s">
        <v>1713</v>
      </c>
      <c r="B1755" s="12"/>
      <c r="C1755" s="12"/>
      <c r="D1755" s="12"/>
      <c r="E1755" s="12" t="s">
        <v>1714</v>
      </c>
      <c r="F1755" s="12"/>
      <c r="G1755" s="12"/>
      <c r="H1755" s="12"/>
    </row>
    <row r="1756" customFormat="false" ht="24" hidden="false" customHeight="true" outlineLevel="0" collapsed="false">
      <c r="A1756" s="13" t="s">
        <v>1502</v>
      </c>
      <c r="B1756" s="13"/>
      <c r="C1756" s="13"/>
      <c r="D1756" s="13"/>
      <c r="E1756" s="13"/>
      <c r="F1756" s="13"/>
      <c r="G1756" s="13"/>
      <c r="H1756" s="13"/>
    </row>
    <row r="1757" customFormat="false" ht="7.5" hidden="false" customHeight="true" outlineLevel="0" collapsed="false"/>
    <row r="1758" customFormat="false" ht="24" hidden="false" customHeight="true" outlineLevel="0" collapsed="false">
      <c r="A1758" s="9" t="s">
        <v>1715</v>
      </c>
      <c r="B1758" s="9"/>
      <c r="C1758" s="9"/>
      <c r="D1758" s="9"/>
      <c r="E1758" s="9"/>
      <c r="F1758" s="9"/>
      <c r="G1758" s="9"/>
      <c r="H1758" s="9"/>
    </row>
    <row r="1759" customFormat="false" ht="42" hidden="false" customHeight="true" outlineLevel="0" collapsed="false">
      <c r="A1759" s="11" t="s">
        <v>1716</v>
      </c>
      <c r="B1759" s="11"/>
      <c r="C1759" s="11"/>
      <c r="D1759" s="11"/>
      <c r="E1759" s="11"/>
      <c r="F1759" s="11"/>
      <c r="G1759" s="11"/>
      <c r="H1759" s="11"/>
    </row>
    <row r="1760" customFormat="false" ht="54.75" hidden="false" customHeight="true" outlineLevel="0" collapsed="false">
      <c r="A1760" s="12" t="s">
        <v>1717</v>
      </c>
      <c r="B1760" s="12"/>
      <c r="C1760" s="12"/>
      <c r="D1760" s="12"/>
      <c r="E1760" s="12" t="s">
        <v>1718</v>
      </c>
      <c r="F1760" s="12"/>
      <c r="G1760" s="12"/>
      <c r="H1760" s="12"/>
    </row>
    <row r="1761" customFormat="false" ht="42" hidden="false" customHeight="true" outlineLevel="0" collapsed="false">
      <c r="A1761" s="12" t="s">
        <v>1719</v>
      </c>
      <c r="B1761" s="12"/>
      <c r="C1761" s="12"/>
      <c r="D1761" s="12"/>
      <c r="E1761" s="12" t="s">
        <v>1720</v>
      </c>
      <c r="F1761" s="12"/>
      <c r="G1761" s="12"/>
      <c r="H1761" s="12"/>
    </row>
    <row r="1762" customFormat="false" ht="24" hidden="false" customHeight="true" outlineLevel="0" collapsed="false">
      <c r="A1762" s="13" t="s">
        <v>1721</v>
      </c>
      <c r="B1762" s="13"/>
      <c r="C1762" s="13"/>
      <c r="D1762" s="13"/>
      <c r="E1762" s="13"/>
      <c r="F1762" s="13"/>
      <c r="G1762" s="13"/>
      <c r="H1762" s="13"/>
    </row>
    <row r="1763" customFormat="false" ht="7.5" hidden="false" customHeight="true" outlineLevel="0" collapsed="false"/>
    <row r="1764" customFormat="false" ht="24" hidden="false" customHeight="true" outlineLevel="0" collapsed="false">
      <c r="A1764" s="9" t="s">
        <v>1722</v>
      </c>
      <c r="B1764" s="9"/>
      <c r="C1764" s="9"/>
      <c r="D1764" s="9"/>
      <c r="E1764" s="9"/>
      <c r="F1764" s="9"/>
      <c r="G1764" s="9"/>
      <c r="H1764" s="9"/>
    </row>
    <row r="1765" customFormat="false" ht="45.75" hidden="false" customHeight="true" outlineLevel="0" collapsed="false">
      <c r="A1765" s="11" t="s">
        <v>1723</v>
      </c>
      <c r="B1765" s="11"/>
      <c r="C1765" s="11"/>
      <c r="D1765" s="11"/>
      <c r="E1765" s="11"/>
      <c r="F1765" s="11"/>
      <c r="G1765" s="11"/>
      <c r="H1765" s="11"/>
    </row>
    <row r="1766" customFormat="false" ht="33.75" hidden="false" customHeight="true" outlineLevel="0" collapsed="false">
      <c r="A1766" s="12" t="s">
        <v>1724</v>
      </c>
      <c r="B1766" s="12"/>
      <c r="C1766" s="12"/>
      <c r="D1766" s="12"/>
      <c r="E1766" s="12" t="s">
        <v>1725</v>
      </c>
      <c r="F1766" s="12"/>
      <c r="G1766" s="12"/>
      <c r="H1766" s="12"/>
    </row>
    <row r="1767" customFormat="false" ht="42" hidden="false" customHeight="true" outlineLevel="0" collapsed="false">
      <c r="A1767" s="12" t="s">
        <v>1726</v>
      </c>
      <c r="B1767" s="12"/>
      <c r="C1767" s="12"/>
      <c r="D1767" s="12"/>
      <c r="E1767" s="12" t="s">
        <v>1727</v>
      </c>
      <c r="F1767" s="12"/>
      <c r="G1767" s="12"/>
      <c r="H1767" s="12"/>
    </row>
    <row r="1768" customFormat="false" ht="24" hidden="false" customHeight="true" outlineLevel="0" collapsed="false">
      <c r="A1768" s="13" t="s">
        <v>1569</v>
      </c>
      <c r="B1768" s="13"/>
      <c r="C1768" s="13"/>
      <c r="D1768" s="13"/>
      <c r="E1768" s="13"/>
      <c r="F1768" s="13"/>
      <c r="G1768" s="13"/>
      <c r="H1768" s="13"/>
    </row>
    <row r="1769" customFormat="false" ht="7.5" hidden="false" customHeight="true" outlineLevel="0" collapsed="false"/>
    <row r="1770" customFormat="false" ht="24" hidden="false" customHeight="true" outlineLevel="0" collapsed="false">
      <c r="A1770" s="9" t="s">
        <v>1728</v>
      </c>
      <c r="B1770" s="9"/>
      <c r="C1770" s="9"/>
      <c r="D1770" s="9"/>
      <c r="E1770" s="9"/>
      <c r="F1770" s="9"/>
      <c r="G1770" s="9"/>
      <c r="H1770" s="9"/>
    </row>
    <row r="1771" customFormat="false" ht="42" hidden="false" customHeight="true" outlineLevel="0" collapsed="false">
      <c r="A1771" s="11" t="s">
        <v>1729</v>
      </c>
      <c r="B1771" s="11"/>
      <c r="C1771" s="11"/>
      <c r="D1771" s="11"/>
      <c r="E1771" s="11"/>
      <c r="F1771" s="11"/>
      <c r="G1771" s="11"/>
      <c r="H1771" s="11"/>
    </row>
    <row r="1772" customFormat="false" ht="42" hidden="false" customHeight="true" outlineLevel="0" collapsed="false">
      <c r="A1772" s="12" t="s">
        <v>1730</v>
      </c>
      <c r="B1772" s="12"/>
      <c r="C1772" s="12"/>
      <c r="D1772" s="12"/>
      <c r="E1772" s="12" t="s">
        <v>1731</v>
      </c>
      <c r="F1772" s="12"/>
      <c r="G1772" s="12"/>
      <c r="H1772" s="12"/>
    </row>
    <row r="1773" customFormat="false" ht="42" hidden="false" customHeight="true" outlineLevel="0" collapsed="false">
      <c r="A1773" s="12" t="s">
        <v>1732</v>
      </c>
      <c r="B1773" s="12"/>
      <c r="C1773" s="12"/>
      <c r="D1773" s="12"/>
      <c r="E1773" s="12" t="s">
        <v>1733</v>
      </c>
      <c r="F1773" s="12"/>
      <c r="G1773" s="12"/>
      <c r="H1773" s="12"/>
    </row>
    <row r="1774" customFormat="false" ht="24" hidden="false" customHeight="true" outlineLevel="0" collapsed="false">
      <c r="A1774" s="13" t="s">
        <v>1467</v>
      </c>
      <c r="B1774" s="13"/>
      <c r="C1774" s="13"/>
      <c r="D1774" s="13"/>
      <c r="E1774" s="13"/>
      <c r="F1774" s="13"/>
      <c r="G1774" s="13"/>
      <c r="H1774" s="13"/>
    </row>
    <row r="1775" customFormat="false" ht="7.5" hidden="false" customHeight="true" outlineLevel="0" collapsed="false"/>
    <row r="1776" customFormat="false" ht="24" hidden="false" customHeight="true" outlineLevel="0" collapsed="false">
      <c r="A1776" s="9" t="s">
        <v>1734</v>
      </c>
      <c r="B1776" s="9"/>
      <c r="C1776" s="9"/>
      <c r="D1776" s="9"/>
      <c r="E1776" s="9"/>
      <c r="F1776" s="9"/>
      <c r="G1776" s="9"/>
      <c r="H1776" s="9"/>
    </row>
    <row r="1777" customFormat="false" ht="99.75" hidden="false" customHeight="true" outlineLevel="0" collapsed="false">
      <c r="A1777" s="10" t="s">
        <v>1735</v>
      </c>
      <c r="B1777" s="10"/>
      <c r="C1777" s="10"/>
      <c r="D1777" s="10"/>
      <c r="E1777" s="10"/>
      <c r="F1777" s="10"/>
      <c r="G1777" s="10"/>
      <c r="H1777" s="10"/>
    </row>
    <row r="1778" customFormat="false" ht="99.75" hidden="false" customHeight="true" outlineLevel="0" collapsed="false">
      <c r="A1778" s="10" t="s">
        <v>1736</v>
      </c>
      <c r="B1778" s="10"/>
      <c r="C1778" s="10"/>
      <c r="D1778" s="10"/>
      <c r="E1778" s="10"/>
      <c r="F1778" s="10"/>
      <c r="G1778" s="10"/>
      <c r="H1778" s="10"/>
    </row>
    <row r="1779" customFormat="false" ht="42" hidden="false" customHeight="true" outlineLevel="0" collapsed="false">
      <c r="A1779" s="10" t="s">
        <v>1737</v>
      </c>
      <c r="B1779" s="10"/>
      <c r="C1779" s="10"/>
      <c r="D1779" s="10"/>
      <c r="E1779" s="10"/>
      <c r="F1779" s="10"/>
      <c r="G1779" s="10"/>
      <c r="H1779" s="10"/>
    </row>
    <row r="1780" customFormat="false" ht="42" hidden="false" customHeight="true" outlineLevel="0" collapsed="false">
      <c r="A1780" s="11" t="s">
        <v>1738</v>
      </c>
      <c r="B1780" s="11"/>
      <c r="C1780" s="11"/>
      <c r="D1780" s="11"/>
      <c r="E1780" s="11"/>
      <c r="F1780" s="11"/>
      <c r="G1780" s="11"/>
      <c r="H1780" s="11"/>
    </row>
    <row r="1781" customFormat="false" ht="42" hidden="false" customHeight="true" outlineLevel="0" collapsed="false">
      <c r="A1781" s="12" t="s">
        <v>1739</v>
      </c>
      <c r="B1781" s="12"/>
      <c r="C1781" s="12"/>
      <c r="D1781" s="12"/>
      <c r="E1781" s="12" t="s">
        <v>1740</v>
      </c>
      <c r="F1781" s="12"/>
      <c r="G1781" s="12"/>
      <c r="H1781" s="12"/>
    </row>
    <row r="1782" customFormat="false" ht="54.75" hidden="false" customHeight="true" outlineLevel="0" collapsed="false">
      <c r="A1782" s="12" t="s">
        <v>1741</v>
      </c>
      <c r="B1782" s="12"/>
      <c r="C1782" s="12"/>
      <c r="D1782" s="12"/>
      <c r="E1782" s="12" t="s">
        <v>1742</v>
      </c>
      <c r="F1782" s="12"/>
      <c r="G1782" s="12"/>
      <c r="H1782" s="12"/>
    </row>
    <row r="1783" customFormat="false" ht="24" hidden="false" customHeight="true" outlineLevel="0" collapsed="false">
      <c r="A1783" s="13" t="s">
        <v>1743</v>
      </c>
      <c r="B1783" s="13"/>
      <c r="C1783" s="13"/>
      <c r="D1783" s="13"/>
      <c r="E1783" s="13"/>
      <c r="F1783" s="13"/>
      <c r="G1783" s="13"/>
      <c r="H1783" s="13"/>
    </row>
    <row r="1784" customFormat="false" ht="7.5" hidden="false" customHeight="true" outlineLevel="0" collapsed="false"/>
    <row r="1785" customFormat="false" ht="24" hidden="false" customHeight="true" outlineLevel="0" collapsed="false">
      <c r="A1785" s="9" t="s">
        <v>1744</v>
      </c>
      <c r="B1785" s="9"/>
      <c r="C1785" s="9"/>
      <c r="D1785" s="9"/>
      <c r="E1785" s="9"/>
      <c r="F1785" s="9"/>
      <c r="G1785" s="9"/>
      <c r="H1785" s="9"/>
    </row>
    <row r="1786" customFormat="false" ht="42" hidden="false" customHeight="true" outlineLevel="0" collapsed="false">
      <c r="A1786" s="11" t="s">
        <v>1745</v>
      </c>
      <c r="B1786" s="11"/>
      <c r="C1786" s="11"/>
      <c r="D1786" s="11"/>
      <c r="E1786" s="11"/>
      <c r="F1786" s="11"/>
      <c r="G1786" s="11"/>
      <c r="H1786" s="11"/>
    </row>
    <row r="1787" customFormat="false" ht="81" hidden="false" customHeight="true" outlineLevel="0" collapsed="false">
      <c r="A1787" s="12" t="s">
        <v>1746</v>
      </c>
      <c r="B1787" s="12"/>
      <c r="C1787" s="12"/>
      <c r="D1787" s="12"/>
      <c r="E1787" s="12" t="s">
        <v>1747</v>
      </c>
      <c r="F1787" s="12"/>
      <c r="G1787" s="12"/>
      <c r="H1787" s="12"/>
    </row>
    <row r="1788" customFormat="false" ht="81" hidden="false" customHeight="true" outlineLevel="0" collapsed="false">
      <c r="A1788" s="12" t="s">
        <v>1748</v>
      </c>
      <c r="B1788" s="12"/>
      <c r="C1788" s="12"/>
      <c r="D1788" s="12"/>
      <c r="E1788" s="12" t="s">
        <v>1473</v>
      </c>
      <c r="F1788" s="12"/>
      <c r="G1788" s="12"/>
      <c r="H1788" s="12"/>
    </row>
    <row r="1789" customFormat="false" ht="24" hidden="false" customHeight="true" outlineLevel="0" collapsed="false">
      <c r="A1789" s="13" t="s">
        <v>1290</v>
      </c>
      <c r="B1789" s="13"/>
      <c r="C1789" s="13"/>
      <c r="D1789" s="13"/>
      <c r="E1789" s="13"/>
      <c r="F1789" s="13"/>
      <c r="G1789" s="13"/>
      <c r="H1789" s="13"/>
    </row>
    <row r="1790" customFormat="false" ht="7.5" hidden="false" customHeight="true" outlineLevel="0" collapsed="false"/>
    <row r="1791" customFormat="false" ht="24" hidden="false" customHeight="true" outlineLevel="0" collapsed="false">
      <c r="A1791" s="9" t="s">
        <v>1749</v>
      </c>
      <c r="B1791" s="9"/>
      <c r="C1791" s="9"/>
      <c r="D1791" s="9"/>
      <c r="E1791" s="9"/>
      <c r="F1791" s="9"/>
      <c r="G1791" s="9"/>
      <c r="H1791" s="9"/>
    </row>
    <row r="1792" customFormat="false" ht="42" hidden="false" customHeight="true" outlineLevel="0" collapsed="false">
      <c r="A1792" s="11" t="s">
        <v>1750</v>
      </c>
      <c r="B1792" s="11"/>
      <c r="C1792" s="11"/>
      <c r="D1792" s="11"/>
      <c r="E1792" s="11"/>
      <c r="F1792" s="11"/>
      <c r="G1792" s="11"/>
      <c r="H1792" s="11"/>
    </row>
    <row r="1793" customFormat="false" ht="54.75" hidden="false" customHeight="true" outlineLevel="0" collapsed="false">
      <c r="A1793" s="12" t="s">
        <v>1751</v>
      </c>
      <c r="B1793" s="12"/>
      <c r="C1793" s="12"/>
      <c r="D1793" s="12"/>
      <c r="E1793" s="12" t="s">
        <v>1752</v>
      </c>
      <c r="F1793" s="12"/>
      <c r="G1793" s="12"/>
      <c r="H1793" s="12"/>
    </row>
    <row r="1794" customFormat="false" ht="54.75" hidden="false" customHeight="true" outlineLevel="0" collapsed="false">
      <c r="A1794" s="12" t="s">
        <v>1753</v>
      </c>
      <c r="B1794" s="12"/>
      <c r="C1794" s="12"/>
      <c r="D1794" s="12"/>
      <c r="E1794" s="12" t="s">
        <v>1754</v>
      </c>
      <c r="F1794" s="12"/>
      <c r="G1794" s="12"/>
      <c r="H1794" s="12"/>
    </row>
    <row r="1795" customFormat="false" ht="24" hidden="false" customHeight="true" outlineLevel="0" collapsed="false">
      <c r="A1795" s="13" t="s">
        <v>1297</v>
      </c>
      <c r="B1795" s="13"/>
      <c r="C1795" s="13"/>
      <c r="D1795" s="13"/>
      <c r="E1795" s="13"/>
      <c r="F1795" s="13"/>
      <c r="G1795" s="13"/>
      <c r="H1795" s="13"/>
    </row>
    <row r="1796" customFormat="false" ht="7.5" hidden="false" customHeight="true" outlineLevel="0" collapsed="false"/>
    <row r="1797" customFormat="false" ht="24" hidden="false" customHeight="true" outlineLevel="0" collapsed="false">
      <c r="A1797" s="9" t="s">
        <v>1755</v>
      </c>
      <c r="B1797" s="9"/>
      <c r="C1797" s="9"/>
      <c r="D1797" s="9"/>
      <c r="E1797" s="9"/>
      <c r="F1797" s="9"/>
      <c r="G1797" s="9"/>
      <c r="H1797" s="9"/>
    </row>
    <row r="1798" customFormat="false" ht="45.75" hidden="false" customHeight="true" outlineLevel="0" collapsed="false">
      <c r="A1798" s="11" t="s">
        <v>1756</v>
      </c>
      <c r="B1798" s="11"/>
      <c r="C1798" s="11"/>
      <c r="D1798" s="11"/>
      <c r="E1798" s="11"/>
      <c r="F1798" s="11"/>
      <c r="G1798" s="11"/>
      <c r="H1798" s="11"/>
    </row>
    <row r="1799" customFormat="false" ht="33.75" hidden="false" customHeight="true" outlineLevel="0" collapsed="false">
      <c r="A1799" s="12" t="s">
        <v>1757</v>
      </c>
      <c r="B1799" s="12"/>
      <c r="C1799" s="12"/>
      <c r="D1799" s="12"/>
      <c r="E1799" s="12" t="s">
        <v>1758</v>
      </c>
      <c r="F1799" s="12"/>
      <c r="G1799" s="12"/>
      <c r="H1799" s="12"/>
    </row>
    <row r="1800" customFormat="false" ht="42" hidden="false" customHeight="true" outlineLevel="0" collapsed="false">
      <c r="A1800" s="12" t="s">
        <v>1759</v>
      </c>
      <c r="B1800" s="12"/>
      <c r="C1800" s="12"/>
      <c r="D1800" s="12"/>
      <c r="E1800" s="12" t="s">
        <v>1760</v>
      </c>
      <c r="F1800" s="12"/>
      <c r="G1800" s="12"/>
      <c r="H1800" s="12"/>
    </row>
    <row r="1801" customFormat="false" ht="24" hidden="false" customHeight="true" outlineLevel="0" collapsed="false">
      <c r="A1801" s="13" t="s">
        <v>1546</v>
      </c>
      <c r="B1801" s="13"/>
      <c r="C1801" s="13"/>
      <c r="D1801" s="13"/>
      <c r="E1801" s="13"/>
      <c r="F1801" s="13"/>
      <c r="G1801" s="13"/>
      <c r="H1801" s="13"/>
    </row>
    <row r="1802" customFormat="false" ht="7.5" hidden="false" customHeight="true" outlineLevel="0" collapsed="false"/>
    <row r="1803" customFormat="false" ht="24" hidden="false" customHeight="true" outlineLevel="0" collapsed="false">
      <c r="A1803" s="9" t="s">
        <v>1761</v>
      </c>
      <c r="B1803" s="9"/>
      <c r="C1803" s="9"/>
      <c r="D1803" s="9"/>
      <c r="E1803" s="9"/>
      <c r="F1803" s="9"/>
      <c r="G1803" s="9"/>
      <c r="H1803" s="9"/>
    </row>
    <row r="1804" customFormat="false" ht="42" hidden="false" customHeight="true" outlineLevel="0" collapsed="false">
      <c r="A1804" s="11" t="s">
        <v>1762</v>
      </c>
      <c r="B1804" s="11"/>
      <c r="C1804" s="11"/>
      <c r="D1804" s="11"/>
      <c r="E1804" s="11"/>
      <c r="F1804" s="11"/>
      <c r="G1804" s="11"/>
      <c r="H1804" s="11"/>
    </row>
    <row r="1805" customFormat="false" ht="42" hidden="false" customHeight="true" outlineLevel="0" collapsed="false">
      <c r="A1805" s="12" t="s">
        <v>1763</v>
      </c>
      <c r="B1805" s="12"/>
      <c r="C1805" s="12"/>
      <c r="D1805" s="12"/>
      <c r="E1805" s="12" t="s">
        <v>1764</v>
      </c>
      <c r="F1805" s="12"/>
      <c r="G1805" s="12"/>
      <c r="H1805" s="12"/>
    </row>
    <row r="1806" customFormat="false" ht="42" hidden="false" customHeight="true" outlineLevel="0" collapsed="false">
      <c r="A1806" s="12" t="s">
        <v>1765</v>
      </c>
      <c r="B1806" s="12"/>
      <c r="C1806" s="12"/>
      <c r="D1806" s="12"/>
      <c r="E1806" s="12" t="s">
        <v>1766</v>
      </c>
      <c r="F1806" s="12"/>
      <c r="G1806" s="12"/>
      <c r="H1806" s="12"/>
    </row>
    <row r="1807" customFormat="false" ht="24" hidden="false" customHeight="true" outlineLevel="0" collapsed="false">
      <c r="A1807" s="13" t="s">
        <v>1434</v>
      </c>
      <c r="B1807" s="13"/>
      <c r="C1807" s="13"/>
      <c r="D1807" s="13"/>
      <c r="E1807" s="13"/>
      <c r="F1807" s="13"/>
      <c r="G1807" s="13"/>
      <c r="H1807" s="13"/>
    </row>
    <row r="1808" customFormat="false" ht="7.5" hidden="false" customHeight="true" outlineLevel="0" collapsed="false"/>
    <row r="1809" customFormat="false" ht="24" hidden="false" customHeight="true" outlineLevel="0" collapsed="false">
      <c r="A1809" s="9" t="s">
        <v>1767</v>
      </c>
      <c r="B1809" s="9"/>
      <c r="C1809" s="9"/>
      <c r="D1809" s="9"/>
      <c r="E1809" s="9"/>
      <c r="F1809" s="9"/>
      <c r="G1809" s="9"/>
      <c r="H1809" s="9"/>
    </row>
    <row r="1810" customFormat="false" ht="42" hidden="false" customHeight="true" outlineLevel="0" collapsed="false">
      <c r="A1810" s="11" t="s">
        <v>1768</v>
      </c>
      <c r="B1810" s="11"/>
      <c r="C1810" s="11"/>
      <c r="D1810" s="11"/>
      <c r="E1810" s="11"/>
      <c r="F1810" s="11"/>
      <c r="G1810" s="11"/>
      <c r="H1810" s="11"/>
    </row>
    <row r="1811" customFormat="false" ht="67.5" hidden="false" customHeight="true" outlineLevel="0" collapsed="false">
      <c r="A1811" s="12" t="s">
        <v>1769</v>
      </c>
      <c r="B1811" s="12"/>
      <c r="C1811" s="12"/>
      <c r="D1811" s="12"/>
      <c r="E1811" s="12" t="s">
        <v>1770</v>
      </c>
      <c r="F1811" s="12"/>
      <c r="G1811" s="12"/>
      <c r="H1811" s="12"/>
    </row>
    <row r="1812" customFormat="false" ht="42" hidden="false" customHeight="true" outlineLevel="0" collapsed="false">
      <c r="A1812" s="12" t="s">
        <v>1771</v>
      </c>
      <c r="B1812" s="12"/>
      <c r="C1812" s="12"/>
      <c r="D1812" s="12"/>
      <c r="E1812" s="12" t="s">
        <v>1772</v>
      </c>
      <c r="F1812" s="12"/>
      <c r="G1812" s="12"/>
      <c r="H1812" s="12"/>
    </row>
    <row r="1813" customFormat="false" ht="24" hidden="false" customHeight="true" outlineLevel="0" collapsed="false">
      <c r="A1813" s="13" t="s">
        <v>1311</v>
      </c>
      <c r="B1813" s="13"/>
      <c r="C1813" s="13"/>
      <c r="D1813" s="13"/>
      <c r="E1813" s="13"/>
      <c r="F1813" s="13"/>
      <c r="G1813" s="13"/>
      <c r="H1813" s="13"/>
    </row>
    <row r="1814" customFormat="false" ht="7.5" hidden="false" customHeight="true" outlineLevel="0" collapsed="false"/>
    <row r="1815" customFormat="false" ht="24" hidden="false" customHeight="true" outlineLevel="0" collapsed="false">
      <c r="A1815" s="9" t="s">
        <v>1773</v>
      </c>
      <c r="B1815" s="9"/>
      <c r="C1815" s="9"/>
      <c r="D1815" s="9"/>
      <c r="E1815" s="9"/>
      <c r="F1815" s="9"/>
      <c r="G1815" s="9"/>
      <c r="H1815" s="9"/>
    </row>
    <row r="1816" customFormat="false" ht="45.75" hidden="false" customHeight="true" outlineLevel="0" collapsed="false">
      <c r="A1816" s="11" t="s">
        <v>1774</v>
      </c>
      <c r="B1816" s="11"/>
      <c r="C1816" s="11"/>
      <c r="D1816" s="11"/>
      <c r="E1816" s="11"/>
      <c r="F1816" s="11"/>
      <c r="G1816" s="11"/>
      <c r="H1816" s="11"/>
    </row>
    <row r="1817" customFormat="false" ht="42" hidden="false" customHeight="true" outlineLevel="0" collapsed="false">
      <c r="A1817" s="12" t="s">
        <v>1775</v>
      </c>
      <c r="B1817" s="12"/>
      <c r="C1817" s="12"/>
      <c r="D1817" s="12"/>
      <c r="E1817" s="12" t="s">
        <v>1776</v>
      </c>
      <c r="F1817" s="12"/>
      <c r="G1817" s="12"/>
      <c r="H1817" s="12"/>
    </row>
    <row r="1818" customFormat="false" ht="42" hidden="false" customHeight="true" outlineLevel="0" collapsed="false">
      <c r="A1818" s="12" t="s">
        <v>1777</v>
      </c>
      <c r="B1818" s="12"/>
      <c r="C1818" s="12"/>
      <c r="D1818" s="12"/>
      <c r="E1818" s="12" t="s">
        <v>1778</v>
      </c>
      <c r="F1818" s="12"/>
      <c r="G1818" s="12"/>
      <c r="H1818" s="12"/>
    </row>
    <row r="1819" customFormat="false" ht="24" hidden="false" customHeight="true" outlineLevel="0" collapsed="false">
      <c r="A1819" s="13" t="s">
        <v>1502</v>
      </c>
      <c r="B1819" s="13"/>
      <c r="C1819" s="13"/>
      <c r="D1819" s="13"/>
      <c r="E1819" s="13"/>
      <c r="F1819" s="13"/>
      <c r="G1819" s="13"/>
      <c r="H1819" s="13"/>
    </row>
    <row r="1820" customFormat="false" ht="7.5" hidden="false" customHeight="true" outlineLevel="0" collapsed="false"/>
    <row r="1821" customFormat="false" ht="24" hidden="false" customHeight="true" outlineLevel="0" collapsed="false">
      <c r="A1821" s="9" t="s">
        <v>1779</v>
      </c>
      <c r="B1821" s="9"/>
      <c r="C1821" s="9"/>
      <c r="D1821" s="9"/>
      <c r="E1821" s="9"/>
      <c r="F1821" s="9"/>
      <c r="G1821" s="9"/>
      <c r="H1821" s="9"/>
    </row>
    <row r="1822" customFormat="false" ht="73.5" hidden="false" customHeight="true" outlineLevel="0" collapsed="false">
      <c r="A1822" s="11" t="s">
        <v>1780</v>
      </c>
      <c r="B1822" s="11"/>
      <c r="C1822" s="11"/>
      <c r="D1822" s="11"/>
      <c r="E1822" s="11"/>
      <c r="F1822" s="11"/>
      <c r="G1822" s="11"/>
      <c r="H1822" s="11"/>
    </row>
    <row r="1823" customFormat="false" ht="33.75" hidden="false" customHeight="true" outlineLevel="0" collapsed="false">
      <c r="A1823" s="12" t="s">
        <v>1781</v>
      </c>
      <c r="B1823" s="12"/>
      <c r="C1823" s="12"/>
      <c r="D1823" s="12"/>
      <c r="E1823" s="12" t="s">
        <v>1782</v>
      </c>
      <c r="F1823" s="12"/>
      <c r="G1823" s="12"/>
      <c r="H1823" s="12"/>
    </row>
    <row r="1824" customFormat="false" ht="33.75" hidden="false" customHeight="true" outlineLevel="0" collapsed="false">
      <c r="A1824" s="12" t="s">
        <v>1783</v>
      </c>
      <c r="B1824" s="12"/>
      <c r="C1824" s="12"/>
      <c r="D1824" s="12"/>
      <c r="E1824" s="12" t="s">
        <v>1784</v>
      </c>
      <c r="F1824" s="12"/>
      <c r="G1824" s="12"/>
      <c r="H1824" s="12"/>
    </row>
    <row r="1825" customFormat="false" ht="24" hidden="false" customHeight="true" outlineLevel="0" collapsed="false">
      <c r="A1825" s="13" t="s">
        <v>1297</v>
      </c>
      <c r="B1825" s="13"/>
      <c r="C1825" s="13"/>
      <c r="D1825" s="13"/>
      <c r="E1825" s="13"/>
      <c r="F1825" s="13"/>
      <c r="G1825" s="13"/>
      <c r="H1825" s="13"/>
    </row>
    <row r="1826" customFormat="false" ht="7.5" hidden="false" customHeight="true" outlineLevel="0" collapsed="false"/>
    <row r="1827" customFormat="false" ht="24" hidden="false" customHeight="true" outlineLevel="0" collapsed="false">
      <c r="A1827" s="9" t="s">
        <v>1785</v>
      </c>
      <c r="B1827" s="9"/>
      <c r="C1827" s="9"/>
      <c r="D1827" s="9"/>
      <c r="E1827" s="9"/>
      <c r="F1827" s="9"/>
      <c r="G1827" s="9"/>
      <c r="H1827" s="9"/>
    </row>
    <row r="1828" customFormat="false" ht="42" hidden="false" customHeight="true" outlineLevel="0" collapsed="false">
      <c r="A1828" s="11" t="s">
        <v>1786</v>
      </c>
      <c r="B1828" s="11"/>
      <c r="C1828" s="11"/>
      <c r="D1828" s="11"/>
      <c r="E1828" s="11"/>
      <c r="F1828" s="11"/>
      <c r="G1828" s="11"/>
      <c r="H1828" s="11"/>
    </row>
    <row r="1829" customFormat="false" ht="42" hidden="false" customHeight="true" outlineLevel="0" collapsed="false">
      <c r="A1829" s="12" t="s">
        <v>1787</v>
      </c>
      <c r="B1829" s="12"/>
      <c r="C1829" s="12"/>
      <c r="D1829" s="12"/>
      <c r="E1829" s="12" t="s">
        <v>1788</v>
      </c>
      <c r="F1829" s="12"/>
      <c r="G1829" s="12"/>
      <c r="H1829" s="12"/>
    </row>
    <row r="1830" customFormat="false" ht="33.75" hidden="false" customHeight="true" outlineLevel="0" collapsed="false">
      <c r="A1830" s="12" t="s">
        <v>1789</v>
      </c>
      <c r="B1830" s="12"/>
      <c r="C1830" s="12"/>
      <c r="D1830" s="12"/>
      <c r="E1830" s="12" t="s">
        <v>1790</v>
      </c>
      <c r="F1830" s="12"/>
      <c r="G1830" s="12"/>
      <c r="H1830" s="12"/>
    </row>
    <row r="1831" customFormat="false" ht="24" hidden="false" customHeight="true" outlineLevel="0" collapsed="false">
      <c r="A1831" s="13" t="s">
        <v>1421</v>
      </c>
      <c r="B1831" s="13"/>
      <c r="C1831" s="13"/>
      <c r="D1831" s="13"/>
      <c r="E1831" s="13"/>
      <c r="F1831" s="13"/>
      <c r="G1831" s="13"/>
      <c r="H1831" s="13"/>
    </row>
    <row r="1832" customFormat="false" ht="7.5" hidden="false" customHeight="true" outlineLevel="0" collapsed="false"/>
    <row r="1833" customFormat="false" ht="24" hidden="false" customHeight="true" outlineLevel="0" collapsed="false">
      <c r="A1833" s="9" t="s">
        <v>1791</v>
      </c>
      <c r="B1833" s="9"/>
      <c r="C1833" s="9"/>
      <c r="D1833" s="9"/>
      <c r="E1833" s="9"/>
      <c r="F1833" s="9"/>
      <c r="G1833" s="9"/>
      <c r="H1833" s="9"/>
    </row>
    <row r="1834" customFormat="false" ht="42" hidden="false" customHeight="true" outlineLevel="0" collapsed="false">
      <c r="A1834" s="11" t="s">
        <v>1792</v>
      </c>
      <c r="B1834" s="11"/>
      <c r="C1834" s="11"/>
      <c r="D1834" s="11"/>
      <c r="E1834" s="11"/>
      <c r="F1834" s="11"/>
      <c r="G1834" s="11"/>
      <c r="H1834" s="11"/>
    </row>
    <row r="1835" customFormat="false" ht="42" hidden="false" customHeight="true" outlineLevel="0" collapsed="false">
      <c r="A1835" s="12" t="s">
        <v>1793</v>
      </c>
      <c r="B1835" s="12"/>
      <c r="C1835" s="12"/>
      <c r="D1835" s="12"/>
      <c r="E1835" s="12" t="s">
        <v>1794</v>
      </c>
      <c r="F1835" s="12"/>
      <c r="G1835" s="12"/>
      <c r="H1835" s="12"/>
    </row>
    <row r="1836" customFormat="false" ht="42" hidden="false" customHeight="true" outlineLevel="0" collapsed="false">
      <c r="A1836" s="12" t="s">
        <v>1795</v>
      </c>
      <c r="B1836" s="12"/>
      <c r="C1836" s="12"/>
      <c r="D1836" s="12"/>
      <c r="E1836" s="12" t="s">
        <v>1796</v>
      </c>
      <c r="F1836" s="12"/>
      <c r="G1836" s="12"/>
      <c r="H1836" s="12"/>
    </row>
    <row r="1837" customFormat="false" ht="24" hidden="false" customHeight="true" outlineLevel="0" collapsed="false">
      <c r="A1837" s="13" t="s">
        <v>1467</v>
      </c>
      <c r="B1837" s="13"/>
      <c r="C1837" s="13"/>
      <c r="D1837" s="13"/>
      <c r="E1837" s="13"/>
      <c r="F1837" s="13"/>
      <c r="G1837" s="13"/>
      <c r="H1837" s="13"/>
    </row>
    <row r="1838" customFormat="false" ht="7.5" hidden="false" customHeight="true" outlineLevel="0" collapsed="false"/>
    <row r="1839" customFormat="false" ht="24" hidden="false" customHeight="true" outlineLevel="0" collapsed="false">
      <c r="A1839" s="9" t="s">
        <v>1797</v>
      </c>
      <c r="B1839" s="9"/>
      <c r="C1839" s="9"/>
      <c r="D1839" s="9"/>
      <c r="E1839" s="9"/>
      <c r="F1839" s="9"/>
      <c r="G1839" s="9"/>
      <c r="H1839" s="9"/>
    </row>
    <row r="1840" customFormat="false" ht="42" hidden="false" customHeight="true" outlineLevel="0" collapsed="false">
      <c r="A1840" s="11" t="s">
        <v>1798</v>
      </c>
      <c r="B1840" s="11"/>
      <c r="C1840" s="11"/>
      <c r="D1840" s="11"/>
      <c r="E1840" s="11"/>
      <c r="F1840" s="11"/>
      <c r="G1840" s="11"/>
      <c r="H1840" s="11"/>
    </row>
    <row r="1841" customFormat="false" ht="67.5" hidden="false" customHeight="true" outlineLevel="0" collapsed="false">
      <c r="A1841" s="12" t="s">
        <v>1799</v>
      </c>
      <c r="B1841" s="12"/>
      <c r="C1841" s="12"/>
      <c r="D1841" s="12"/>
      <c r="E1841" s="12" t="s">
        <v>1800</v>
      </c>
      <c r="F1841" s="12"/>
      <c r="G1841" s="12"/>
      <c r="H1841" s="12"/>
    </row>
    <row r="1842" customFormat="false" ht="42" hidden="false" customHeight="true" outlineLevel="0" collapsed="false">
      <c r="A1842" s="12" t="s">
        <v>1801</v>
      </c>
      <c r="B1842" s="12"/>
      <c r="C1842" s="12"/>
      <c r="D1842" s="12"/>
      <c r="E1842" s="12" t="s">
        <v>1802</v>
      </c>
      <c r="F1842" s="12"/>
      <c r="G1842" s="12"/>
      <c r="H1842" s="12"/>
    </row>
    <row r="1843" customFormat="false" ht="24" hidden="false" customHeight="true" outlineLevel="0" collapsed="false">
      <c r="A1843" s="13" t="s">
        <v>1276</v>
      </c>
      <c r="B1843" s="13"/>
      <c r="C1843" s="13"/>
      <c r="D1843" s="13"/>
      <c r="E1843" s="13"/>
      <c r="F1843" s="13"/>
      <c r="G1843" s="13"/>
      <c r="H1843" s="13"/>
    </row>
    <row r="1844" customFormat="false" ht="7.5" hidden="false" customHeight="true" outlineLevel="0" collapsed="false"/>
    <row r="1845" customFormat="false" ht="24" hidden="false" customHeight="true" outlineLevel="0" collapsed="false">
      <c r="A1845" s="9" t="s">
        <v>1803</v>
      </c>
      <c r="B1845" s="9"/>
      <c r="C1845" s="9"/>
      <c r="D1845" s="9"/>
      <c r="E1845" s="9"/>
      <c r="F1845" s="9"/>
      <c r="G1845" s="9"/>
      <c r="H1845" s="9"/>
    </row>
    <row r="1846" customFormat="false" ht="42" hidden="false" customHeight="true" outlineLevel="0" collapsed="false">
      <c r="A1846" s="11" t="s">
        <v>1804</v>
      </c>
      <c r="B1846" s="11"/>
      <c r="C1846" s="11"/>
      <c r="D1846" s="11"/>
      <c r="E1846" s="11"/>
      <c r="F1846" s="11"/>
      <c r="G1846" s="11"/>
      <c r="H1846" s="11"/>
    </row>
    <row r="1847" customFormat="false" ht="54.75" hidden="false" customHeight="true" outlineLevel="0" collapsed="false">
      <c r="A1847" s="12" t="s">
        <v>1805</v>
      </c>
      <c r="B1847" s="12"/>
      <c r="C1847" s="12"/>
      <c r="D1847" s="12"/>
      <c r="E1847" s="12" t="s">
        <v>1806</v>
      </c>
      <c r="F1847" s="12"/>
      <c r="G1847" s="12"/>
      <c r="H1847" s="12"/>
    </row>
    <row r="1848" customFormat="false" ht="42" hidden="false" customHeight="true" outlineLevel="0" collapsed="false">
      <c r="A1848" s="12" t="s">
        <v>1807</v>
      </c>
      <c r="B1848" s="12"/>
      <c r="C1848" s="12"/>
      <c r="D1848" s="12"/>
      <c r="E1848" s="12" t="s">
        <v>1808</v>
      </c>
      <c r="F1848" s="12"/>
      <c r="G1848" s="12"/>
      <c r="H1848" s="12"/>
    </row>
    <row r="1849" customFormat="false" ht="24" hidden="false" customHeight="true" outlineLevel="0" collapsed="false">
      <c r="A1849" s="13" t="s">
        <v>1383</v>
      </c>
      <c r="B1849" s="13"/>
      <c r="C1849" s="13"/>
      <c r="D1849" s="13"/>
      <c r="E1849" s="13"/>
      <c r="F1849" s="13"/>
      <c r="G1849" s="13"/>
      <c r="H1849" s="13"/>
    </row>
    <row r="1850" customFormat="false" ht="7.5" hidden="false" customHeight="true" outlineLevel="0" collapsed="false"/>
    <row r="1851" customFormat="false" ht="24" hidden="false" customHeight="true" outlineLevel="0" collapsed="false">
      <c r="A1851" s="9" t="s">
        <v>1809</v>
      </c>
      <c r="B1851" s="9"/>
      <c r="C1851" s="9"/>
      <c r="D1851" s="9"/>
      <c r="E1851" s="9"/>
      <c r="F1851" s="9"/>
      <c r="G1851" s="9"/>
      <c r="H1851" s="9"/>
    </row>
    <row r="1852" customFormat="false" ht="60" hidden="false" customHeight="true" outlineLevel="0" collapsed="false">
      <c r="A1852" s="11" t="s">
        <v>1810</v>
      </c>
      <c r="B1852" s="11"/>
      <c r="C1852" s="11"/>
      <c r="D1852" s="11"/>
      <c r="E1852" s="11"/>
      <c r="F1852" s="11"/>
      <c r="G1852" s="11"/>
      <c r="H1852" s="11"/>
    </row>
    <row r="1853" customFormat="false" ht="54.75" hidden="false" customHeight="true" outlineLevel="0" collapsed="false">
      <c r="A1853" s="12" t="s">
        <v>1811</v>
      </c>
      <c r="B1853" s="12"/>
      <c r="C1853" s="12"/>
      <c r="D1853" s="12"/>
      <c r="E1853" s="12" t="s">
        <v>1812</v>
      </c>
      <c r="F1853" s="12"/>
      <c r="G1853" s="12"/>
      <c r="H1853" s="12"/>
    </row>
    <row r="1854" customFormat="false" ht="54.75" hidden="false" customHeight="true" outlineLevel="0" collapsed="false">
      <c r="A1854" s="12" t="s">
        <v>1813</v>
      </c>
      <c r="B1854" s="12"/>
      <c r="C1854" s="12"/>
      <c r="D1854" s="12"/>
      <c r="E1854" s="12" t="s">
        <v>1814</v>
      </c>
      <c r="F1854" s="12"/>
      <c r="G1854" s="12"/>
      <c r="H1854" s="12"/>
    </row>
    <row r="1855" customFormat="false" ht="24" hidden="false" customHeight="true" outlineLevel="0" collapsed="false">
      <c r="A1855" s="13" t="s">
        <v>1290</v>
      </c>
      <c r="B1855" s="13"/>
      <c r="C1855" s="13"/>
      <c r="D1855" s="13"/>
      <c r="E1855" s="13"/>
      <c r="F1855" s="13"/>
      <c r="G1855" s="13"/>
      <c r="H1855" s="13"/>
    </row>
    <row r="1856" customFormat="false" ht="7.5" hidden="false" customHeight="true" outlineLevel="0" collapsed="false"/>
    <row r="1857" customFormat="false" ht="24" hidden="false" customHeight="true" outlineLevel="0" collapsed="false">
      <c r="A1857" s="9" t="s">
        <v>1815</v>
      </c>
      <c r="B1857" s="9"/>
      <c r="C1857" s="9"/>
      <c r="D1857" s="9"/>
      <c r="E1857" s="9"/>
      <c r="F1857" s="9"/>
      <c r="G1857" s="9"/>
      <c r="H1857" s="9"/>
    </row>
    <row r="1858" customFormat="false" ht="99.75" hidden="false" customHeight="true" outlineLevel="0" collapsed="false">
      <c r="A1858" s="10" t="s">
        <v>1816</v>
      </c>
      <c r="B1858" s="10"/>
      <c r="C1858" s="10"/>
      <c r="D1858" s="10"/>
      <c r="E1858" s="10"/>
      <c r="F1858" s="10"/>
      <c r="G1858" s="10"/>
      <c r="H1858" s="10"/>
    </row>
    <row r="1859" customFormat="false" ht="87" hidden="false" customHeight="true" outlineLevel="0" collapsed="false">
      <c r="A1859" s="10" t="s">
        <v>1817</v>
      </c>
      <c r="B1859" s="10"/>
      <c r="C1859" s="10"/>
      <c r="D1859" s="10"/>
      <c r="E1859" s="10"/>
      <c r="F1859" s="10"/>
      <c r="G1859" s="10"/>
      <c r="H1859" s="10"/>
    </row>
    <row r="1860" customFormat="false" ht="42" hidden="false" customHeight="true" outlineLevel="0" collapsed="false">
      <c r="A1860" s="11" t="s">
        <v>1818</v>
      </c>
      <c r="B1860" s="11"/>
      <c r="C1860" s="11"/>
      <c r="D1860" s="11"/>
      <c r="E1860" s="11"/>
      <c r="F1860" s="11"/>
      <c r="G1860" s="11"/>
      <c r="H1860" s="11"/>
    </row>
    <row r="1861" customFormat="false" ht="42" hidden="false" customHeight="true" outlineLevel="0" collapsed="false">
      <c r="A1861" s="12" t="s">
        <v>1819</v>
      </c>
      <c r="B1861" s="12"/>
      <c r="C1861" s="12"/>
      <c r="D1861" s="12"/>
      <c r="E1861" s="12" t="s">
        <v>1820</v>
      </c>
      <c r="F1861" s="12"/>
      <c r="G1861" s="12"/>
      <c r="H1861" s="12"/>
    </row>
    <row r="1862" customFormat="false" ht="33.75" hidden="false" customHeight="true" outlineLevel="0" collapsed="false">
      <c r="A1862" s="12" t="s">
        <v>1821</v>
      </c>
      <c r="B1862" s="12"/>
      <c r="C1862" s="12"/>
      <c r="D1862" s="12"/>
      <c r="E1862" s="12" t="s">
        <v>1822</v>
      </c>
      <c r="F1862" s="12"/>
      <c r="G1862" s="12"/>
      <c r="H1862" s="12"/>
    </row>
    <row r="1863" customFormat="false" ht="24" hidden="false" customHeight="true" outlineLevel="0" collapsed="false">
      <c r="A1863" s="13" t="s">
        <v>1823</v>
      </c>
      <c r="B1863" s="13"/>
      <c r="C1863" s="13"/>
      <c r="D1863" s="13"/>
      <c r="E1863" s="13"/>
      <c r="F1863" s="13"/>
      <c r="G1863" s="13"/>
      <c r="H1863" s="13"/>
    </row>
    <row r="1864" customFormat="false" ht="7.5" hidden="false" customHeight="true" outlineLevel="0" collapsed="false"/>
    <row r="1865" customFormat="false" ht="24" hidden="false" customHeight="true" outlineLevel="0" collapsed="false">
      <c r="A1865" s="9" t="s">
        <v>1824</v>
      </c>
      <c r="B1865" s="9"/>
      <c r="C1865" s="9"/>
      <c r="D1865" s="9"/>
      <c r="E1865" s="9"/>
      <c r="F1865" s="9"/>
      <c r="G1865" s="9"/>
      <c r="H1865" s="9"/>
    </row>
    <row r="1866" customFormat="false" ht="42" hidden="false" customHeight="true" outlineLevel="0" collapsed="false">
      <c r="A1866" s="11" t="s">
        <v>1825</v>
      </c>
      <c r="B1866" s="11"/>
      <c r="C1866" s="11"/>
      <c r="D1866" s="11"/>
      <c r="E1866" s="11"/>
      <c r="F1866" s="11"/>
      <c r="G1866" s="11"/>
      <c r="H1866" s="11"/>
    </row>
    <row r="1867" customFormat="false" ht="42" hidden="false" customHeight="true" outlineLevel="0" collapsed="false">
      <c r="A1867" s="12" t="s">
        <v>1826</v>
      </c>
      <c r="B1867" s="12"/>
      <c r="C1867" s="12"/>
      <c r="D1867" s="12"/>
      <c r="E1867" s="12" t="s">
        <v>1827</v>
      </c>
      <c r="F1867" s="12"/>
      <c r="G1867" s="12"/>
      <c r="H1867" s="12"/>
    </row>
    <row r="1868" customFormat="false" ht="33.75" hidden="false" customHeight="true" outlineLevel="0" collapsed="false">
      <c r="A1868" s="12" t="s">
        <v>1828</v>
      </c>
      <c r="B1868" s="12"/>
      <c r="C1868" s="12"/>
      <c r="D1868" s="12"/>
      <c r="E1868" s="12" t="s">
        <v>1829</v>
      </c>
      <c r="F1868" s="12"/>
      <c r="G1868" s="12"/>
      <c r="H1868" s="12"/>
    </row>
    <row r="1869" customFormat="false" ht="24" hidden="false" customHeight="true" outlineLevel="0" collapsed="false">
      <c r="A1869" s="13" t="s">
        <v>1297</v>
      </c>
      <c r="B1869" s="13"/>
      <c r="C1869" s="13"/>
      <c r="D1869" s="13"/>
      <c r="E1869" s="13"/>
      <c r="F1869" s="13"/>
      <c r="G1869" s="13"/>
      <c r="H1869" s="13"/>
    </row>
    <row r="1870" customFormat="false" ht="7.5" hidden="false" customHeight="true" outlineLevel="0" collapsed="false"/>
    <row r="1871" customFormat="false" ht="24" hidden="false" customHeight="true" outlineLevel="0" collapsed="false">
      <c r="A1871" s="9" t="s">
        <v>1830</v>
      </c>
      <c r="B1871" s="9"/>
      <c r="C1871" s="9"/>
      <c r="D1871" s="9"/>
      <c r="E1871" s="9"/>
      <c r="F1871" s="9"/>
      <c r="G1871" s="9"/>
      <c r="H1871" s="9"/>
    </row>
    <row r="1872" customFormat="false" ht="87.75" hidden="false" customHeight="true" outlineLevel="0" collapsed="false">
      <c r="A1872" s="11" t="s">
        <v>1831</v>
      </c>
      <c r="B1872" s="11"/>
      <c r="C1872" s="11"/>
      <c r="D1872" s="11"/>
      <c r="E1872" s="11"/>
      <c r="F1872" s="11"/>
      <c r="G1872" s="11"/>
      <c r="H1872" s="11"/>
    </row>
    <row r="1873" customFormat="false" ht="42" hidden="false" customHeight="true" outlineLevel="0" collapsed="false">
      <c r="A1873" s="12" t="s">
        <v>1832</v>
      </c>
      <c r="B1873" s="12"/>
      <c r="C1873" s="12"/>
      <c r="D1873" s="12"/>
      <c r="E1873" s="12" t="s">
        <v>1833</v>
      </c>
      <c r="F1873" s="12"/>
      <c r="G1873" s="12"/>
      <c r="H1873" s="12"/>
    </row>
    <row r="1874" customFormat="false" ht="54.75" hidden="false" customHeight="true" outlineLevel="0" collapsed="false">
      <c r="A1874" s="12" t="s">
        <v>1834</v>
      </c>
      <c r="B1874" s="12"/>
      <c r="C1874" s="12"/>
      <c r="D1874" s="12"/>
      <c r="E1874" s="12" t="s">
        <v>1835</v>
      </c>
      <c r="F1874" s="12"/>
      <c r="G1874" s="12"/>
      <c r="H1874" s="12"/>
    </row>
    <row r="1875" customFormat="false" ht="24" hidden="false" customHeight="true" outlineLevel="0" collapsed="false">
      <c r="A1875" s="13" t="s">
        <v>1402</v>
      </c>
      <c r="B1875" s="13"/>
      <c r="C1875" s="13"/>
      <c r="D1875" s="13"/>
      <c r="E1875" s="13"/>
      <c r="F1875" s="13"/>
      <c r="G1875" s="13"/>
      <c r="H1875" s="13"/>
    </row>
    <row r="1876" customFormat="false" ht="7.5" hidden="false" customHeight="true" outlineLevel="0" collapsed="false"/>
    <row r="1877" customFormat="false" ht="24" hidden="false" customHeight="true" outlineLevel="0" collapsed="false">
      <c r="A1877" s="9" t="s">
        <v>1836</v>
      </c>
      <c r="B1877" s="9"/>
      <c r="C1877" s="9"/>
      <c r="D1877" s="9"/>
      <c r="E1877" s="9"/>
      <c r="F1877" s="9"/>
      <c r="G1877" s="9"/>
      <c r="H1877" s="9"/>
    </row>
    <row r="1878" customFormat="false" ht="42" hidden="false" customHeight="true" outlineLevel="0" collapsed="false">
      <c r="A1878" s="11" t="s">
        <v>1837</v>
      </c>
      <c r="B1878" s="11"/>
      <c r="C1878" s="11"/>
      <c r="D1878" s="11"/>
      <c r="E1878" s="11"/>
      <c r="F1878" s="11"/>
      <c r="G1878" s="11"/>
      <c r="H1878" s="11"/>
    </row>
    <row r="1879" customFormat="false" ht="42" hidden="false" customHeight="true" outlineLevel="0" collapsed="false">
      <c r="A1879" s="12" t="s">
        <v>1838</v>
      </c>
      <c r="B1879" s="12"/>
      <c r="C1879" s="12"/>
      <c r="D1879" s="12"/>
      <c r="E1879" s="12" t="s">
        <v>1839</v>
      </c>
      <c r="F1879" s="12"/>
      <c r="G1879" s="12"/>
      <c r="H1879" s="12"/>
    </row>
    <row r="1880" customFormat="false" ht="54.75" hidden="false" customHeight="true" outlineLevel="0" collapsed="false">
      <c r="A1880" s="12" t="s">
        <v>1840</v>
      </c>
      <c r="B1880" s="12"/>
      <c r="C1880" s="12"/>
      <c r="D1880" s="12"/>
      <c r="E1880" s="12" t="s">
        <v>1841</v>
      </c>
      <c r="F1880" s="12"/>
      <c r="G1880" s="12"/>
      <c r="H1880" s="12"/>
    </row>
    <row r="1881" customFormat="false" ht="24" hidden="false" customHeight="true" outlineLevel="0" collapsed="false">
      <c r="A1881" s="13" t="s">
        <v>1434</v>
      </c>
      <c r="B1881" s="13"/>
      <c r="C1881" s="13"/>
      <c r="D1881" s="13"/>
      <c r="E1881" s="13"/>
      <c r="F1881" s="13"/>
      <c r="G1881" s="13"/>
      <c r="H1881" s="13"/>
    </row>
    <row r="1882" customFormat="false" ht="7.5" hidden="false" customHeight="true" outlineLevel="0" collapsed="false"/>
    <row r="1883" customFormat="false" ht="24" hidden="false" customHeight="true" outlineLevel="0" collapsed="false">
      <c r="A1883" s="9" t="s">
        <v>1842</v>
      </c>
      <c r="B1883" s="9"/>
      <c r="C1883" s="9"/>
      <c r="D1883" s="9"/>
      <c r="E1883" s="9"/>
      <c r="F1883" s="9"/>
      <c r="G1883" s="9"/>
      <c r="H1883" s="9"/>
    </row>
    <row r="1884" customFormat="false" ht="42" hidden="false" customHeight="true" outlineLevel="0" collapsed="false">
      <c r="A1884" s="11" t="s">
        <v>1843</v>
      </c>
      <c r="B1884" s="11"/>
      <c r="C1884" s="11"/>
      <c r="D1884" s="11"/>
      <c r="E1884" s="11"/>
      <c r="F1884" s="11"/>
      <c r="G1884" s="11"/>
      <c r="H1884" s="11"/>
    </row>
    <row r="1885" customFormat="false" ht="33.75" hidden="false" customHeight="true" outlineLevel="0" collapsed="false">
      <c r="A1885" s="12" t="s">
        <v>1844</v>
      </c>
      <c r="B1885" s="12"/>
      <c r="C1885" s="12"/>
      <c r="D1885" s="12"/>
      <c r="E1885" s="12" t="s">
        <v>1845</v>
      </c>
      <c r="F1885" s="12"/>
      <c r="G1885" s="12"/>
      <c r="H1885" s="12"/>
    </row>
    <row r="1886" customFormat="false" ht="33.75" hidden="false" customHeight="true" outlineLevel="0" collapsed="false">
      <c r="A1886" s="12" t="s">
        <v>1846</v>
      </c>
      <c r="B1886" s="12"/>
      <c r="C1886" s="12"/>
      <c r="D1886" s="12"/>
      <c r="E1886" s="12" t="s">
        <v>1847</v>
      </c>
      <c r="F1886" s="12"/>
      <c r="G1886" s="12"/>
      <c r="H1886" s="12"/>
    </row>
    <row r="1887" customFormat="false" ht="24" hidden="false" customHeight="true" outlineLevel="0" collapsed="false">
      <c r="A1887" s="13" t="s">
        <v>1383</v>
      </c>
      <c r="B1887" s="13"/>
      <c r="C1887" s="13"/>
      <c r="D1887" s="13"/>
      <c r="E1887" s="13"/>
      <c r="F1887" s="13"/>
      <c r="G1887" s="13"/>
      <c r="H1887" s="13"/>
    </row>
    <row r="1888" customFormat="false" ht="7.5" hidden="false" customHeight="true" outlineLevel="0" collapsed="false"/>
    <row r="1889" customFormat="false" ht="24" hidden="false" customHeight="true" outlineLevel="0" collapsed="false">
      <c r="A1889" s="9" t="s">
        <v>1848</v>
      </c>
      <c r="B1889" s="9"/>
      <c r="C1889" s="9"/>
      <c r="D1889" s="9"/>
      <c r="E1889" s="9"/>
      <c r="F1889" s="9"/>
      <c r="G1889" s="9"/>
      <c r="H1889" s="9"/>
    </row>
    <row r="1890" customFormat="false" ht="42" hidden="false" customHeight="true" outlineLevel="0" collapsed="false">
      <c r="A1890" s="11" t="s">
        <v>1849</v>
      </c>
      <c r="B1890" s="11"/>
      <c r="C1890" s="11"/>
      <c r="D1890" s="11"/>
      <c r="E1890" s="11"/>
      <c r="F1890" s="11"/>
      <c r="G1890" s="11"/>
      <c r="H1890" s="11"/>
    </row>
    <row r="1891" customFormat="false" ht="54.75" hidden="false" customHeight="true" outlineLevel="0" collapsed="false">
      <c r="A1891" s="12" t="s">
        <v>1850</v>
      </c>
      <c r="B1891" s="12"/>
      <c r="C1891" s="12"/>
      <c r="D1891" s="12"/>
      <c r="E1891" s="12" t="s">
        <v>1851</v>
      </c>
      <c r="F1891" s="12"/>
      <c r="G1891" s="12"/>
      <c r="H1891" s="12"/>
    </row>
    <row r="1892" customFormat="false" ht="54.75" hidden="false" customHeight="true" outlineLevel="0" collapsed="false">
      <c r="A1892" s="12" t="s">
        <v>1852</v>
      </c>
      <c r="B1892" s="12"/>
      <c r="C1892" s="12"/>
      <c r="D1892" s="12"/>
      <c r="E1892" s="12" t="s">
        <v>1853</v>
      </c>
      <c r="F1892" s="12"/>
      <c r="G1892" s="12"/>
      <c r="H1892" s="12"/>
    </row>
    <row r="1893" customFormat="false" ht="24" hidden="false" customHeight="true" outlineLevel="0" collapsed="false">
      <c r="A1893" s="13" t="s">
        <v>1854</v>
      </c>
      <c r="B1893" s="13"/>
      <c r="C1893" s="13"/>
      <c r="D1893" s="13"/>
      <c r="E1893" s="13"/>
      <c r="F1893" s="13"/>
      <c r="G1893" s="13"/>
      <c r="H1893" s="13"/>
    </row>
    <row r="1894" customFormat="false" ht="7.5" hidden="false" customHeight="true" outlineLevel="0" collapsed="false"/>
    <row r="1895" customFormat="false" ht="24" hidden="false" customHeight="true" outlineLevel="0" collapsed="false">
      <c r="A1895" s="9" t="s">
        <v>1855</v>
      </c>
      <c r="B1895" s="9"/>
      <c r="C1895" s="9"/>
      <c r="D1895" s="9"/>
      <c r="E1895" s="9"/>
      <c r="F1895" s="9"/>
      <c r="G1895" s="9"/>
      <c r="H1895" s="9"/>
    </row>
    <row r="1896" customFormat="false" ht="42" hidden="false" customHeight="true" outlineLevel="0" collapsed="false">
      <c r="A1896" s="11" t="s">
        <v>1856</v>
      </c>
      <c r="B1896" s="11"/>
      <c r="C1896" s="11"/>
      <c r="D1896" s="11"/>
      <c r="E1896" s="11"/>
      <c r="F1896" s="11"/>
      <c r="G1896" s="11"/>
      <c r="H1896" s="11"/>
    </row>
    <row r="1897" customFormat="false" ht="33.75" hidden="false" customHeight="true" outlineLevel="0" collapsed="false">
      <c r="A1897" s="12" t="s">
        <v>1857</v>
      </c>
      <c r="B1897" s="12"/>
      <c r="C1897" s="12"/>
      <c r="D1897" s="12"/>
      <c r="E1897" s="12" t="s">
        <v>1858</v>
      </c>
      <c r="F1897" s="12"/>
      <c r="G1897" s="12"/>
      <c r="H1897" s="12"/>
    </row>
    <row r="1898" customFormat="false" ht="33.75" hidden="false" customHeight="true" outlineLevel="0" collapsed="false">
      <c r="A1898" s="12" t="s">
        <v>1859</v>
      </c>
      <c r="B1898" s="12"/>
      <c r="C1898" s="12"/>
      <c r="D1898" s="12"/>
      <c r="E1898" s="12" t="s">
        <v>1860</v>
      </c>
      <c r="F1898" s="12"/>
      <c r="G1898" s="12"/>
      <c r="H1898" s="12"/>
    </row>
    <row r="1899" customFormat="false" ht="24" hidden="false" customHeight="true" outlineLevel="0" collapsed="false">
      <c r="A1899" s="13" t="s">
        <v>1861</v>
      </c>
      <c r="B1899" s="13"/>
      <c r="C1899" s="13"/>
      <c r="D1899" s="13"/>
      <c r="E1899" s="13"/>
      <c r="F1899" s="13"/>
      <c r="G1899" s="13"/>
      <c r="H1899" s="13"/>
    </row>
    <row r="1900" customFormat="false" ht="7.5" hidden="false" customHeight="true" outlineLevel="0" collapsed="false"/>
    <row r="1901" customFormat="false" ht="24" hidden="false" customHeight="true" outlineLevel="0" collapsed="false">
      <c r="A1901" s="9" t="s">
        <v>1862</v>
      </c>
      <c r="B1901" s="9"/>
      <c r="C1901" s="9"/>
      <c r="D1901" s="9"/>
      <c r="E1901" s="9"/>
      <c r="F1901" s="9"/>
      <c r="G1901" s="9"/>
      <c r="H1901" s="9"/>
    </row>
    <row r="1902" customFormat="false" ht="60" hidden="false" customHeight="true" outlineLevel="0" collapsed="false">
      <c r="A1902" s="11" t="s">
        <v>1863</v>
      </c>
      <c r="B1902" s="11"/>
      <c r="C1902" s="11"/>
      <c r="D1902" s="11"/>
      <c r="E1902" s="11"/>
      <c r="F1902" s="11"/>
      <c r="G1902" s="11"/>
      <c r="H1902" s="11"/>
    </row>
    <row r="1903" customFormat="false" ht="33.75" hidden="false" customHeight="true" outlineLevel="0" collapsed="false">
      <c r="A1903" s="12" t="s">
        <v>1864</v>
      </c>
      <c r="B1903" s="12"/>
      <c r="C1903" s="12"/>
      <c r="D1903" s="12"/>
      <c r="E1903" s="12" t="s">
        <v>1865</v>
      </c>
      <c r="F1903" s="12"/>
      <c r="G1903" s="12"/>
      <c r="H1903" s="12"/>
    </row>
    <row r="1904" customFormat="false" ht="33.75" hidden="false" customHeight="true" outlineLevel="0" collapsed="false">
      <c r="A1904" s="12" t="s">
        <v>1866</v>
      </c>
      <c r="B1904" s="12"/>
      <c r="C1904" s="12"/>
      <c r="D1904" s="12"/>
      <c r="E1904" s="12" t="s">
        <v>1867</v>
      </c>
      <c r="F1904" s="12"/>
      <c r="G1904" s="12"/>
      <c r="H1904" s="12"/>
    </row>
    <row r="1905" customFormat="false" ht="24" hidden="false" customHeight="true" outlineLevel="0" collapsed="false">
      <c r="A1905" s="13" t="s">
        <v>1276</v>
      </c>
      <c r="B1905" s="13"/>
      <c r="C1905" s="13"/>
      <c r="D1905" s="13"/>
      <c r="E1905" s="13"/>
      <c r="F1905" s="13"/>
      <c r="G1905" s="13"/>
      <c r="H1905" s="13"/>
    </row>
    <row r="1906" customFormat="false" ht="7.5" hidden="false" customHeight="true" outlineLevel="0" collapsed="false"/>
    <row r="1907" customFormat="false" ht="24" hidden="false" customHeight="true" outlineLevel="0" collapsed="false">
      <c r="A1907" s="9" t="s">
        <v>1868</v>
      </c>
      <c r="B1907" s="9"/>
      <c r="C1907" s="9"/>
      <c r="D1907" s="9"/>
      <c r="E1907" s="9"/>
      <c r="F1907" s="9"/>
      <c r="G1907" s="9"/>
      <c r="H1907" s="9"/>
    </row>
    <row r="1908" customFormat="false" ht="42" hidden="false" customHeight="true" outlineLevel="0" collapsed="false">
      <c r="A1908" s="11" t="s">
        <v>1869</v>
      </c>
      <c r="B1908" s="11"/>
      <c r="C1908" s="11"/>
      <c r="D1908" s="11"/>
      <c r="E1908" s="11"/>
      <c r="F1908" s="11"/>
      <c r="G1908" s="11"/>
      <c r="H1908" s="11"/>
    </row>
    <row r="1909" customFormat="false" ht="42" hidden="false" customHeight="true" outlineLevel="0" collapsed="false">
      <c r="A1909" s="12" t="s">
        <v>1870</v>
      </c>
      <c r="B1909" s="12"/>
      <c r="C1909" s="12"/>
      <c r="D1909" s="12"/>
      <c r="E1909" s="12" t="s">
        <v>1871</v>
      </c>
      <c r="F1909" s="12"/>
      <c r="G1909" s="12"/>
      <c r="H1909" s="12"/>
    </row>
    <row r="1910" customFormat="false" ht="42" hidden="false" customHeight="true" outlineLevel="0" collapsed="false">
      <c r="A1910" s="12" t="s">
        <v>1872</v>
      </c>
      <c r="B1910" s="12"/>
      <c r="C1910" s="12"/>
      <c r="D1910" s="12"/>
      <c r="E1910" s="12" t="s">
        <v>1873</v>
      </c>
      <c r="F1910" s="12"/>
      <c r="G1910" s="12"/>
      <c r="H1910" s="12"/>
    </row>
    <row r="1911" customFormat="false" ht="24" hidden="false" customHeight="true" outlineLevel="0" collapsed="false">
      <c r="A1911" s="13" t="s">
        <v>1589</v>
      </c>
      <c r="B1911" s="13"/>
      <c r="C1911" s="13"/>
      <c r="D1911" s="13"/>
      <c r="E1911" s="13"/>
      <c r="F1911" s="13"/>
      <c r="G1911" s="13"/>
      <c r="H1911" s="13"/>
    </row>
    <row r="1912" customFormat="false" ht="7.5" hidden="false" customHeight="true" outlineLevel="0" collapsed="false"/>
    <row r="1913" customFormat="false" ht="24" hidden="false" customHeight="true" outlineLevel="0" collapsed="false">
      <c r="A1913" s="9" t="s">
        <v>1874</v>
      </c>
      <c r="B1913" s="9"/>
      <c r="C1913" s="9"/>
      <c r="D1913" s="9"/>
      <c r="E1913" s="9"/>
      <c r="F1913" s="9"/>
      <c r="G1913" s="9"/>
      <c r="H1913" s="9"/>
    </row>
    <row r="1914" customFormat="false" ht="42" hidden="false" customHeight="true" outlineLevel="0" collapsed="false">
      <c r="A1914" s="11" t="s">
        <v>1875</v>
      </c>
      <c r="B1914" s="11"/>
      <c r="C1914" s="11"/>
      <c r="D1914" s="11"/>
      <c r="E1914" s="11"/>
      <c r="F1914" s="11"/>
      <c r="G1914" s="11"/>
      <c r="H1914" s="11"/>
    </row>
    <row r="1915" customFormat="false" ht="33.75" hidden="false" customHeight="true" outlineLevel="0" collapsed="false">
      <c r="A1915" s="12" t="s">
        <v>1876</v>
      </c>
      <c r="B1915" s="12"/>
      <c r="C1915" s="12"/>
      <c r="D1915" s="12"/>
      <c r="E1915" s="12" t="s">
        <v>1877</v>
      </c>
      <c r="F1915" s="12"/>
      <c r="G1915" s="12"/>
      <c r="H1915" s="12"/>
    </row>
    <row r="1916" customFormat="false" ht="33.75" hidden="false" customHeight="true" outlineLevel="0" collapsed="false">
      <c r="A1916" s="12" t="s">
        <v>1878</v>
      </c>
      <c r="B1916" s="12"/>
      <c r="C1916" s="12"/>
      <c r="D1916" s="12"/>
      <c r="E1916" s="12" t="s">
        <v>1879</v>
      </c>
      <c r="F1916" s="12"/>
      <c r="G1916" s="12"/>
      <c r="H1916" s="12"/>
    </row>
    <row r="1917" customFormat="false" ht="24" hidden="false" customHeight="true" outlineLevel="0" collapsed="false">
      <c r="A1917" s="13" t="s">
        <v>1880</v>
      </c>
      <c r="B1917" s="13"/>
      <c r="C1917" s="13"/>
      <c r="D1917" s="13"/>
      <c r="E1917" s="13"/>
      <c r="F1917" s="13"/>
      <c r="G1917" s="13"/>
      <c r="H1917" s="13"/>
    </row>
    <row r="1918" customFormat="false" ht="7.5" hidden="false" customHeight="true" outlineLevel="0" collapsed="false"/>
    <row r="1919" customFormat="false" ht="24" hidden="false" customHeight="true" outlineLevel="0" collapsed="false">
      <c r="A1919" s="9" t="s">
        <v>1881</v>
      </c>
      <c r="B1919" s="9"/>
      <c r="C1919" s="9"/>
      <c r="D1919" s="9"/>
      <c r="E1919" s="9"/>
      <c r="F1919" s="9"/>
      <c r="G1919" s="9"/>
      <c r="H1919" s="9"/>
    </row>
    <row r="1920" customFormat="false" ht="42" hidden="false" customHeight="true" outlineLevel="0" collapsed="false">
      <c r="A1920" s="11" t="s">
        <v>1882</v>
      </c>
      <c r="B1920" s="11"/>
      <c r="C1920" s="11"/>
      <c r="D1920" s="11"/>
      <c r="E1920" s="11"/>
      <c r="F1920" s="11"/>
      <c r="G1920" s="11"/>
      <c r="H1920" s="11"/>
    </row>
    <row r="1921" customFormat="false" ht="42" hidden="false" customHeight="true" outlineLevel="0" collapsed="false">
      <c r="A1921" s="12" t="s">
        <v>1883</v>
      </c>
      <c r="B1921" s="12"/>
      <c r="C1921" s="12"/>
      <c r="D1921" s="12"/>
      <c r="E1921" s="12" t="s">
        <v>1884</v>
      </c>
      <c r="F1921" s="12"/>
      <c r="G1921" s="12"/>
      <c r="H1921" s="12"/>
    </row>
    <row r="1922" customFormat="false" ht="54.75" hidden="false" customHeight="true" outlineLevel="0" collapsed="false">
      <c r="A1922" s="12" t="s">
        <v>1885</v>
      </c>
      <c r="B1922" s="12"/>
      <c r="C1922" s="12"/>
      <c r="D1922" s="12"/>
      <c r="E1922" s="12" t="s">
        <v>1886</v>
      </c>
      <c r="F1922" s="12"/>
      <c r="G1922" s="12"/>
      <c r="H1922" s="12"/>
    </row>
    <row r="1923" customFormat="false" ht="24" hidden="false" customHeight="true" outlineLevel="0" collapsed="false">
      <c r="A1923" s="13" t="s">
        <v>1460</v>
      </c>
      <c r="B1923" s="13"/>
      <c r="C1923" s="13"/>
      <c r="D1923" s="13"/>
      <c r="E1923" s="13"/>
      <c r="F1923" s="13"/>
      <c r="G1923" s="13"/>
      <c r="H1923" s="13"/>
    </row>
    <row r="1924" customFormat="false" ht="7.5" hidden="false" customHeight="true" outlineLevel="0" collapsed="false"/>
    <row r="1925" customFormat="false" ht="24" hidden="false" customHeight="true" outlineLevel="0" collapsed="false">
      <c r="A1925" s="9" t="s">
        <v>1887</v>
      </c>
      <c r="B1925" s="9"/>
      <c r="C1925" s="9"/>
      <c r="D1925" s="9"/>
      <c r="E1925" s="9"/>
      <c r="F1925" s="9"/>
      <c r="G1925" s="9"/>
      <c r="H1925" s="9"/>
    </row>
    <row r="1926" customFormat="false" ht="45.75" hidden="false" customHeight="true" outlineLevel="0" collapsed="false">
      <c r="A1926" s="11" t="s">
        <v>1888</v>
      </c>
      <c r="B1926" s="11"/>
      <c r="C1926" s="11"/>
      <c r="D1926" s="11"/>
      <c r="E1926" s="11"/>
      <c r="F1926" s="11"/>
      <c r="G1926" s="11"/>
      <c r="H1926" s="11"/>
    </row>
    <row r="1927" customFormat="false" ht="33.75" hidden="false" customHeight="true" outlineLevel="0" collapsed="false">
      <c r="A1927" s="12" t="s">
        <v>1889</v>
      </c>
      <c r="B1927" s="12"/>
      <c r="C1927" s="12"/>
      <c r="D1927" s="12"/>
      <c r="E1927" s="12" t="s">
        <v>1890</v>
      </c>
      <c r="F1927" s="12"/>
      <c r="G1927" s="12"/>
      <c r="H1927" s="12"/>
    </row>
    <row r="1928" customFormat="false" ht="33.75" hidden="false" customHeight="true" outlineLevel="0" collapsed="false">
      <c r="A1928" s="12" t="s">
        <v>1891</v>
      </c>
      <c r="B1928" s="12"/>
      <c r="C1928" s="12"/>
      <c r="D1928" s="12"/>
      <c r="E1928" s="12" t="s">
        <v>1892</v>
      </c>
      <c r="F1928" s="12"/>
      <c r="G1928" s="12"/>
      <c r="H1928" s="12"/>
    </row>
    <row r="1929" customFormat="false" ht="24" hidden="false" customHeight="true" outlineLevel="0" collapsed="false">
      <c r="A1929" s="13" t="s">
        <v>1854</v>
      </c>
      <c r="B1929" s="13"/>
      <c r="C1929" s="13"/>
      <c r="D1929" s="13"/>
      <c r="E1929" s="13"/>
      <c r="F1929" s="13"/>
      <c r="G1929" s="13"/>
      <c r="H1929" s="13"/>
    </row>
    <row r="1930" customFormat="false" ht="7.5" hidden="false" customHeight="true" outlineLevel="0" collapsed="false"/>
    <row r="1931" customFormat="false" ht="24" hidden="false" customHeight="true" outlineLevel="0" collapsed="false">
      <c r="A1931" s="9" t="s">
        <v>1893</v>
      </c>
      <c r="B1931" s="9"/>
      <c r="C1931" s="9"/>
      <c r="D1931" s="9"/>
      <c r="E1931" s="9"/>
      <c r="F1931" s="9"/>
      <c r="G1931" s="9"/>
      <c r="H1931" s="9"/>
    </row>
    <row r="1932" customFormat="false" ht="42" hidden="false" customHeight="true" outlineLevel="0" collapsed="false">
      <c r="A1932" s="11" t="s">
        <v>1894</v>
      </c>
      <c r="B1932" s="11"/>
      <c r="C1932" s="11"/>
      <c r="D1932" s="11"/>
      <c r="E1932" s="11"/>
      <c r="F1932" s="11"/>
      <c r="G1932" s="11"/>
      <c r="H1932" s="11"/>
    </row>
    <row r="1933" customFormat="false" ht="54.75" hidden="false" customHeight="true" outlineLevel="0" collapsed="false">
      <c r="A1933" s="12" t="s">
        <v>1895</v>
      </c>
      <c r="B1933" s="12"/>
      <c r="C1933" s="12"/>
      <c r="D1933" s="12"/>
      <c r="E1933" s="12" t="s">
        <v>1896</v>
      </c>
      <c r="F1933" s="12"/>
      <c r="G1933" s="12"/>
      <c r="H1933" s="12"/>
    </row>
    <row r="1934" customFormat="false" ht="42" hidden="false" customHeight="true" outlineLevel="0" collapsed="false">
      <c r="A1934" s="12" t="s">
        <v>1897</v>
      </c>
      <c r="B1934" s="12"/>
      <c r="C1934" s="12"/>
      <c r="D1934" s="12"/>
      <c r="E1934" s="12" t="s">
        <v>1898</v>
      </c>
      <c r="F1934" s="12"/>
      <c r="G1934" s="12"/>
      <c r="H1934" s="12"/>
    </row>
    <row r="1935" customFormat="false" ht="24" hidden="false" customHeight="true" outlineLevel="0" collapsed="false">
      <c r="A1935" s="13" t="s">
        <v>1383</v>
      </c>
      <c r="B1935" s="13"/>
      <c r="C1935" s="13"/>
      <c r="D1935" s="13"/>
      <c r="E1935" s="13"/>
      <c r="F1935" s="13"/>
      <c r="G1935" s="13"/>
      <c r="H1935" s="13"/>
    </row>
    <row r="1936" customFormat="false" ht="7.5" hidden="false" customHeight="true" outlineLevel="0" collapsed="false"/>
    <row r="1937" customFormat="false" ht="24" hidden="false" customHeight="true" outlineLevel="0" collapsed="false">
      <c r="A1937" s="9" t="s">
        <v>1899</v>
      </c>
      <c r="B1937" s="9"/>
      <c r="C1937" s="9"/>
      <c r="D1937" s="9"/>
      <c r="E1937" s="9"/>
      <c r="F1937" s="9"/>
      <c r="G1937" s="9"/>
      <c r="H1937" s="9"/>
    </row>
    <row r="1938" customFormat="false" ht="45.75" hidden="false" customHeight="true" outlineLevel="0" collapsed="false">
      <c r="A1938" s="11" t="s">
        <v>1900</v>
      </c>
      <c r="B1938" s="11"/>
      <c r="C1938" s="11"/>
      <c r="D1938" s="11"/>
      <c r="E1938" s="11"/>
      <c r="F1938" s="11"/>
      <c r="G1938" s="11"/>
      <c r="H1938" s="11"/>
    </row>
    <row r="1939" customFormat="false" ht="54.75" hidden="false" customHeight="true" outlineLevel="0" collapsed="false">
      <c r="A1939" s="12" t="s">
        <v>1901</v>
      </c>
      <c r="B1939" s="12"/>
      <c r="C1939" s="12"/>
      <c r="D1939" s="12"/>
      <c r="E1939" s="12" t="s">
        <v>1902</v>
      </c>
      <c r="F1939" s="12"/>
      <c r="G1939" s="12"/>
      <c r="H1939" s="12"/>
    </row>
    <row r="1940" customFormat="false" ht="54.75" hidden="false" customHeight="true" outlineLevel="0" collapsed="false">
      <c r="A1940" s="12" t="s">
        <v>1903</v>
      </c>
      <c r="B1940" s="12"/>
      <c r="C1940" s="12"/>
      <c r="D1940" s="12"/>
      <c r="E1940" s="12" t="s">
        <v>1904</v>
      </c>
      <c r="F1940" s="12"/>
      <c r="G1940" s="12"/>
      <c r="H1940" s="12"/>
    </row>
    <row r="1941" customFormat="false" ht="24" hidden="false" customHeight="true" outlineLevel="0" collapsed="false">
      <c r="A1941" s="13" t="s">
        <v>1905</v>
      </c>
      <c r="B1941" s="13"/>
      <c r="C1941" s="13"/>
      <c r="D1941" s="13"/>
      <c r="E1941" s="13"/>
      <c r="F1941" s="13"/>
      <c r="G1941" s="13"/>
      <c r="H1941" s="13"/>
    </row>
    <row r="1942" customFormat="false" ht="7.5" hidden="false" customHeight="true" outlineLevel="0" collapsed="false"/>
    <row r="1943" customFormat="false" ht="24" hidden="false" customHeight="true" outlineLevel="0" collapsed="false">
      <c r="A1943" s="9" t="s">
        <v>1906</v>
      </c>
      <c r="B1943" s="9"/>
      <c r="C1943" s="9"/>
      <c r="D1943" s="9"/>
      <c r="E1943" s="9"/>
      <c r="F1943" s="9"/>
      <c r="G1943" s="9"/>
      <c r="H1943" s="9"/>
    </row>
    <row r="1944" customFormat="false" ht="42" hidden="false" customHeight="true" outlineLevel="0" collapsed="false">
      <c r="A1944" s="11" t="s">
        <v>1907</v>
      </c>
      <c r="B1944" s="11"/>
      <c r="C1944" s="11"/>
      <c r="D1944" s="11"/>
      <c r="E1944" s="11"/>
      <c r="F1944" s="11"/>
      <c r="G1944" s="11"/>
      <c r="H1944" s="11"/>
    </row>
    <row r="1945" customFormat="false" ht="106.5" hidden="false" customHeight="true" outlineLevel="0" collapsed="false">
      <c r="A1945" s="12" t="s">
        <v>1908</v>
      </c>
      <c r="B1945" s="12"/>
      <c r="C1945" s="12"/>
      <c r="D1945" s="12"/>
      <c r="E1945" s="12" t="s">
        <v>1909</v>
      </c>
      <c r="F1945" s="12"/>
      <c r="G1945" s="12"/>
      <c r="H1945" s="12"/>
    </row>
    <row r="1946" customFormat="false" ht="120" hidden="false" customHeight="true" outlineLevel="0" collapsed="false">
      <c r="A1946" s="12" t="s">
        <v>1910</v>
      </c>
      <c r="B1946" s="12"/>
      <c r="C1946" s="12"/>
      <c r="D1946" s="12"/>
      <c r="E1946" s="12" t="s">
        <v>1911</v>
      </c>
      <c r="F1946" s="12"/>
      <c r="G1946" s="12"/>
      <c r="H1946" s="12"/>
    </row>
    <row r="1947" customFormat="false" ht="24" hidden="false" customHeight="true" outlineLevel="0" collapsed="false">
      <c r="A1947" s="13" t="s">
        <v>1297</v>
      </c>
      <c r="B1947" s="13"/>
      <c r="C1947" s="13"/>
      <c r="D1947" s="13"/>
      <c r="E1947" s="13"/>
      <c r="F1947" s="13"/>
      <c r="G1947" s="13"/>
      <c r="H1947" s="13"/>
    </row>
    <row r="1948" customFormat="false" ht="7.5" hidden="false" customHeight="true" outlineLevel="0" collapsed="false"/>
    <row r="1949" customFormat="false" ht="24" hidden="false" customHeight="true" outlineLevel="0" collapsed="false">
      <c r="A1949" s="9" t="s">
        <v>1912</v>
      </c>
      <c r="B1949" s="9"/>
      <c r="C1949" s="9"/>
      <c r="D1949" s="9"/>
      <c r="E1949" s="9"/>
      <c r="F1949" s="9"/>
      <c r="G1949" s="9"/>
      <c r="H1949" s="9"/>
    </row>
    <row r="1950" customFormat="false" ht="45.75" hidden="false" customHeight="true" outlineLevel="0" collapsed="false">
      <c r="A1950" s="11" t="s">
        <v>1913</v>
      </c>
      <c r="B1950" s="11"/>
      <c r="C1950" s="11"/>
      <c r="D1950" s="11"/>
      <c r="E1950" s="11"/>
      <c r="F1950" s="11"/>
      <c r="G1950" s="11"/>
      <c r="H1950" s="11"/>
    </row>
    <row r="1951" customFormat="false" ht="33.75" hidden="false" customHeight="true" outlineLevel="0" collapsed="false">
      <c r="A1951" s="12" t="s">
        <v>1914</v>
      </c>
      <c r="B1951" s="12"/>
      <c r="C1951" s="12"/>
      <c r="D1951" s="12"/>
      <c r="E1951" s="12" t="s">
        <v>1915</v>
      </c>
      <c r="F1951" s="12"/>
      <c r="G1951" s="12"/>
      <c r="H1951" s="12"/>
    </row>
    <row r="1952" customFormat="false" ht="33.75" hidden="false" customHeight="true" outlineLevel="0" collapsed="false">
      <c r="A1952" s="12" t="s">
        <v>1916</v>
      </c>
      <c r="B1952" s="12"/>
      <c r="C1952" s="12"/>
      <c r="D1952" s="12"/>
      <c r="E1952" s="12" t="s">
        <v>1917</v>
      </c>
      <c r="F1952" s="12"/>
      <c r="G1952" s="12"/>
      <c r="H1952" s="12"/>
    </row>
    <row r="1953" customFormat="false" ht="24" hidden="false" customHeight="true" outlineLevel="0" collapsed="false">
      <c r="A1953" s="13" t="s">
        <v>1421</v>
      </c>
      <c r="B1953" s="13"/>
      <c r="C1953" s="13"/>
      <c r="D1953" s="13"/>
      <c r="E1953" s="13"/>
      <c r="F1953" s="13"/>
      <c r="G1953" s="13"/>
      <c r="H1953" s="13"/>
    </row>
    <row r="1954" customFormat="false" ht="7.5" hidden="false" customHeight="true" outlineLevel="0" collapsed="false"/>
    <row r="1955" customFormat="false" ht="24" hidden="false" customHeight="true" outlineLevel="0" collapsed="false">
      <c r="A1955" s="9" t="s">
        <v>1918</v>
      </c>
      <c r="B1955" s="9"/>
      <c r="C1955" s="9"/>
      <c r="D1955" s="9"/>
      <c r="E1955" s="9"/>
      <c r="F1955" s="9"/>
      <c r="G1955" s="9"/>
      <c r="H1955" s="9"/>
    </row>
    <row r="1956" customFormat="false" ht="42" hidden="false" customHeight="true" outlineLevel="0" collapsed="false">
      <c r="A1956" s="11" t="s">
        <v>1919</v>
      </c>
      <c r="B1956" s="11"/>
      <c r="C1956" s="11"/>
      <c r="D1956" s="11"/>
      <c r="E1956" s="11"/>
      <c r="F1956" s="11"/>
      <c r="G1956" s="11"/>
      <c r="H1956" s="11"/>
    </row>
    <row r="1957" customFormat="false" ht="33.75" hidden="false" customHeight="true" outlineLevel="0" collapsed="false">
      <c r="A1957" s="12" t="s">
        <v>1920</v>
      </c>
      <c r="B1957" s="12"/>
      <c r="C1957" s="12"/>
      <c r="D1957" s="12"/>
      <c r="E1957" s="12" t="s">
        <v>1921</v>
      </c>
      <c r="F1957" s="12"/>
      <c r="G1957" s="12"/>
      <c r="H1957" s="12"/>
    </row>
    <row r="1958" customFormat="false" ht="33.75" hidden="false" customHeight="true" outlineLevel="0" collapsed="false">
      <c r="A1958" s="12" t="s">
        <v>1922</v>
      </c>
      <c r="B1958" s="12"/>
      <c r="C1958" s="12"/>
      <c r="D1958" s="12"/>
      <c r="E1958" s="12" t="s">
        <v>1923</v>
      </c>
      <c r="F1958" s="12"/>
      <c r="G1958" s="12"/>
      <c r="H1958" s="12"/>
    </row>
    <row r="1959" customFormat="false" ht="24" hidden="false" customHeight="true" outlineLevel="0" collapsed="false">
      <c r="A1959" s="13" t="s">
        <v>1924</v>
      </c>
      <c r="B1959" s="13"/>
      <c r="C1959" s="13"/>
      <c r="D1959" s="13"/>
      <c r="E1959" s="13"/>
      <c r="F1959" s="13"/>
      <c r="G1959" s="13"/>
      <c r="H1959" s="13"/>
    </row>
    <row r="1960" customFormat="false" ht="7.5" hidden="false" customHeight="true" outlineLevel="0" collapsed="false"/>
    <row r="1961" customFormat="false" ht="24" hidden="false" customHeight="true" outlineLevel="0" collapsed="false">
      <c r="A1961" s="9" t="s">
        <v>1925</v>
      </c>
      <c r="B1961" s="9"/>
      <c r="C1961" s="9"/>
      <c r="D1961" s="9"/>
      <c r="E1961" s="9"/>
      <c r="F1961" s="9"/>
      <c r="G1961" s="9"/>
      <c r="H1961" s="9"/>
    </row>
    <row r="1962" customFormat="false" ht="42" hidden="false" customHeight="true" outlineLevel="0" collapsed="false">
      <c r="A1962" s="11" t="s">
        <v>1926</v>
      </c>
      <c r="B1962" s="11"/>
      <c r="C1962" s="11"/>
      <c r="D1962" s="11"/>
      <c r="E1962" s="11"/>
      <c r="F1962" s="11"/>
      <c r="G1962" s="11"/>
      <c r="H1962" s="11"/>
    </row>
    <row r="1963" customFormat="false" ht="42" hidden="false" customHeight="true" outlineLevel="0" collapsed="false">
      <c r="A1963" s="12" t="s">
        <v>1927</v>
      </c>
      <c r="B1963" s="12"/>
      <c r="C1963" s="12"/>
      <c r="D1963" s="12"/>
      <c r="E1963" s="12" t="s">
        <v>1928</v>
      </c>
      <c r="F1963" s="12"/>
      <c r="G1963" s="12"/>
      <c r="H1963" s="12"/>
    </row>
    <row r="1964" customFormat="false" ht="54.75" hidden="false" customHeight="true" outlineLevel="0" collapsed="false">
      <c r="A1964" s="12" t="s">
        <v>1929</v>
      </c>
      <c r="B1964" s="12"/>
      <c r="C1964" s="12"/>
      <c r="D1964" s="12"/>
      <c r="E1964" s="12" t="s">
        <v>1473</v>
      </c>
      <c r="F1964" s="12"/>
      <c r="G1964" s="12"/>
      <c r="H1964" s="12"/>
    </row>
    <row r="1965" customFormat="false" ht="24" hidden="false" customHeight="true" outlineLevel="0" collapsed="false">
      <c r="A1965" s="13" t="s">
        <v>1290</v>
      </c>
      <c r="B1965" s="13"/>
      <c r="C1965" s="13"/>
      <c r="D1965" s="13"/>
      <c r="E1965" s="13"/>
      <c r="F1965" s="13"/>
      <c r="G1965" s="13"/>
      <c r="H1965" s="13"/>
    </row>
    <row r="1966" customFormat="false" ht="7.5" hidden="false" customHeight="true" outlineLevel="0" collapsed="false"/>
    <row r="1967" customFormat="false" ht="24" hidden="false" customHeight="true" outlineLevel="0" collapsed="false">
      <c r="A1967" s="9" t="s">
        <v>1930</v>
      </c>
      <c r="B1967" s="9"/>
      <c r="C1967" s="9"/>
      <c r="D1967" s="9"/>
      <c r="E1967" s="9"/>
      <c r="F1967" s="9"/>
      <c r="G1967" s="9"/>
      <c r="H1967" s="9"/>
    </row>
    <row r="1968" customFormat="false" ht="42" hidden="false" customHeight="true" outlineLevel="0" collapsed="false">
      <c r="A1968" s="11" t="s">
        <v>1931</v>
      </c>
      <c r="B1968" s="11"/>
      <c r="C1968" s="11"/>
      <c r="D1968" s="11"/>
      <c r="E1968" s="11"/>
      <c r="F1968" s="11"/>
      <c r="G1968" s="11"/>
      <c r="H1968" s="11"/>
    </row>
    <row r="1969" customFormat="false" ht="33.75" hidden="false" customHeight="true" outlineLevel="0" collapsed="false">
      <c r="A1969" s="12" t="s">
        <v>1932</v>
      </c>
      <c r="B1969" s="12"/>
      <c r="C1969" s="12"/>
      <c r="D1969" s="12"/>
      <c r="E1969" s="12" t="s">
        <v>1933</v>
      </c>
      <c r="F1969" s="12"/>
      <c r="G1969" s="12"/>
      <c r="H1969" s="12"/>
    </row>
    <row r="1970" customFormat="false" ht="42" hidden="false" customHeight="true" outlineLevel="0" collapsed="false">
      <c r="A1970" s="12" t="s">
        <v>1934</v>
      </c>
      <c r="B1970" s="12"/>
      <c r="C1970" s="12"/>
      <c r="D1970" s="12"/>
      <c r="E1970" s="12" t="s">
        <v>1473</v>
      </c>
      <c r="F1970" s="12"/>
      <c r="G1970" s="12"/>
      <c r="H1970" s="12"/>
    </row>
    <row r="1971" customFormat="false" ht="24" hidden="false" customHeight="true" outlineLevel="0" collapsed="false">
      <c r="A1971" s="13" t="s">
        <v>1434</v>
      </c>
      <c r="B1971" s="13"/>
      <c r="C1971" s="13"/>
      <c r="D1971" s="13"/>
      <c r="E1971" s="13"/>
      <c r="F1971" s="13"/>
      <c r="G1971" s="13"/>
      <c r="H1971" s="13"/>
    </row>
    <row r="1972" customFormat="false" ht="7.5" hidden="false" customHeight="true" outlineLevel="0" collapsed="false"/>
    <row r="1973" customFormat="false" ht="24" hidden="false" customHeight="true" outlineLevel="0" collapsed="false">
      <c r="A1973" s="9" t="s">
        <v>1935</v>
      </c>
      <c r="B1973" s="9"/>
      <c r="C1973" s="9"/>
      <c r="D1973" s="9"/>
      <c r="E1973" s="9"/>
      <c r="F1973" s="9"/>
      <c r="G1973" s="9"/>
      <c r="H1973" s="9"/>
    </row>
    <row r="1974" customFormat="false" ht="42" hidden="false" customHeight="true" outlineLevel="0" collapsed="false">
      <c r="A1974" s="11" t="s">
        <v>1936</v>
      </c>
      <c r="B1974" s="11"/>
      <c r="C1974" s="11"/>
      <c r="D1974" s="11"/>
      <c r="E1974" s="11"/>
      <c r="F1974" s="11"/>
      <c r="G1974" s="11"/>
      <c r="H1974" s="11"/>
    </row>
    <row r="1975" customFormat="false" ht="33.75" hidden="false" customHeight="true" outlineLevel="0" collapsed="false">
      <c r="A1975" s="12" t="s">
        <v>1937</v>
      </c>
      <c r="B1975" s="12"/>
      <c r="C1975" s="12"/>
      <c r="D1975" s="12"/>
      <c r="E1975" s="12" t="s">
        <v>1938</v>
      </c>
      <c r="F1975" s="12"/>
      <c r="G1975" s="12"/>
      <c r="H1975" s="12"/>
    </row>
    <row r="1976" customFormat="false" ht="33.75" hidden="false" customHeight="true" outlineLevel="0" collapsed="false">
      <c r="A1976" s="12" t="s">
        <v>1939</v>
      </c>
      <c r="B1976" s="12"/>
      <c r="C1976" s="12"/>
      <c r="D1976" s="12"/>
      <c r="E1976" s="12" t="s">
        <v>1940</v>
      </c>
      <c r="F1976" s="12"/>
      <c r="G1976" s="12"/>
      <c r="H1976" s="12"/>
    </row>
    <row r="1977" customFormat="false" ht="24" hidden="false" customHeight="true" outlineLevel="0" collapsed="false">
      <c r="A1977" s="13" t="s">
        <v>1421</v>
      </c>
      <c r="B1977" s="13"/>
      <c r="C1977" s="13"/>
      <c r="D1977" s="13"/>
      <c r="E1977" s="13"/>
      <c r="F1977" s="13"/>
      <c r="G1977" s="13"/>
      <c r="H1977" s="13"/>
    </row>
    <row r="1978" customFormat="false" ht="7.5" hidden="false" customHeight="true" outlineLevel="0" collapsed="false"/>
    <row r="1979" customFormat="false" ht="24" hidden="false" customHeight="true" outlineLevel="0" collapsed="false">
      <c r="A1979" s="9" t="s">
        <v>1941</v>
      </c>
      <c r="B1979" s="9"/>
      <c r="C1979" s="9"/>
      <c r="D1979" s="9"/>
      <c r="E1979" s="9"/>
      <c r="F1979" s="9"/>
      <c r="G1979" s="9"/>
      <c r="H1979" s="9"/>
    </row>
    <row r="1980" customFormat="false" ht="45.75" hidden="false" customHeight="true" outlineLevel="0" collapsed="false">
      <c r="A1980" s="11" t="s">
        <v>1942</v>
      </c>
      <c r="B1980" s="11"/>
      <c r="C1980" s="11"/>
      <c r="D1980" s="11"/>
      <c r="E1980" s="11"/>
      <c r="F1980" s="11"/>
      <c r="G1980" s="11"/>
      <c r="H1980" s="11"/>
    </row>
    <row r="1981" customFormat="false" ht="42" hidden="false" customHeight="true" outlineLevel="0" collapsed="false">
      <c r="A1981" s="12" t="s">
        <v>1943</v>
      </c>
      <c r="B1981" s="12"/>
      <c r="C1981" s="12"/>
      <c r="D1981" s="12"/>
      <c r="E1981" s="12" t="s">
        <v>1944</v>
      </c>
      <c r="F1981" s="12"/>
      <c r="G1981" s="12"/>
      <c r="H1981" s="12"/>
    </row>
    <row r="1982" customFormat="false" ht="54.75" hidden="false" customHeight="true" outlineLevel="0" collapsed="false">
      <c r="A1982" s="12" t="s">
        <v>1945</v>
      </c>
      <c r="B1982" s="12"/>
      <c r="C1982" s="12"/>
      <c r="D1982" s="12"/>
      <c r="E1982" s="12" t="s">
        <v>1473</v>
      </c>
      <c r="F1982" s="12"/>
      <c r="G1982" s="12"/>
      <c r="H1982" s="12"/>
    </row>
    <row r="1983" customFormat="false" ht="24" hidden="false" customHeight="true" outlineLevel="0" collapsed="false">
      <c r="A1983" s="13" t="s">
        <v>1924</v>
      </c>
      <c r="B1983" s="13"/>
      <c r="C1983" s="13"/>
      <c r="D1983" s="13"/>
      <c r="E1983" s="13"/>
      <c r="F1983" s="13"/>
      <c r="G1983" s="13"/>
      <c r="H1983" s="13"/>
    </row>
    <row r="1984" customFormat="false" ht="7.5" hidden="false" customHeight="true" outlineLevel="0" collapsed="false"/>
    <row r="1985" customFormat="false" ht="24" hidden="false" customHeight="true" outlineLevel="0" collapsed="false">
      <c r="A1985" s="9" t="s">
        <v>1946</v>
      </c>
      <c r="B1985" s="9"/>
      <c r="C1985" s="9"/>
      <c r="D1985" s="9"/>
      <c r="E1985" s="9"/>
      <c r="F1985" s="9"/>
      <c r="G1985" s="9"/>
      <c r="H1985" s="9"/>
    </row>
    <row r="1986" customFormat="false" ht="45.75" hidden="false" customHeight="true" outlineLevel="0" collapsed="false">
      <c r="A1986" s="11" t="s">
        <v>1947</v>
      </c>
      <c r="B1986" s="11"/>
      <c r="C1986" s="11"/>
      <c r="D1986" s="11"/>
      <c r="E1986" s="11"/>
      <c r="F1986" s="11"/>
      <c r="G1986" s="11"/>
      <c r="H1986" s="11"/>
    </row>
    <row r="1987" customFormat="false" ht="33.75" hidden="false" customHeight="true" outlineLevel="0" collapsed="false">
      <c r="A1987" s="12" t="s">
        <v>1948</v>
      </c>
      <c r="B1987" s="12"/>
      <c r="C1987" s="12"/>
      <c r="D1987" s="12"/>
      <c r="E1987" s="12" t="s">
        <v>1949</v>
      </c>
      <c r="F1987" s="12"/>
      <c r="G1987" s="12"/>
      <c r="H1987" s="12"/>
    </row>
    <row r="1988" customFormat="false" ht="33.75" hidden="false" customHeight="true" outlineLevel="0" collapsed="false">
      <c r="A1988" s="12" t="s">
        <v>1891</v>
      </c>
      <c r="B1988" s="12"/>
      <c r="C1988" s="12"/>
      <c r="D1988" s="12"/>
      <c r="E1988" s="12" t="s">
        <v>1950</v>
      </c>
      <c r="F1988" s="12"/>
      <c r="G1988" s="12"/>
      <c r="H1988" s="12"/>
    </row>
    <row r="1989" customFormat="false" ht="24" hidden="false" customHeight="true" outlineLevel="0" collapsed="false">
      <c r="A1989" s="13" t="s">
        <v>1276</v>
      </c>
      <c r="B1989" s="13"/>
      <c r="C1989" s="13"/>
      <c r="D1989" s="13"/>
      <c r="E1989" s="13"/>
      <c r="F1989" s="13"/>
      <c r="G1989" s="13"/>
      <c r="H1989" s="13"/>
    </row>
    <row r="1990" customFormat="false" ht="7.5" hidden="false" customHeight="true" outlineLevel="0" collapsed="false"/>
    <row r="1991" customFormat="false" ht="24" hidden="false" customHeight="true" outlineLevel="0" collapsed="false">
      <c r="A1991" s="9" t="s">
        <v>1951</v>
      </c>
      <c r="B1991" s="9"/>
      <c r="C1991" s="9"/>
      <c r="D1991" s="9"/>
      <c r="E1991" s="9"/>
      <c r="F1991" s="9"/>
      <c r="G1991" s="9"/>
      <c r="H1991" s="9"/>
    </row>
    <row r="1992" customFormat="false" ht="45.75" hidden="false" customHeight="true" outlineLevel="0" collapsed="false">
      <c r="A1992" s="11" t="s">
        <v>1952</v>
      </c>
      <c r="B1992" s="11"/>
      <c r="C1992" s="11"/>
      <c r="D1992" s="11"/>
      <c r="E1992" s="11"/>
      <c r="F1992" s="11"/>
      <c r="G1992" s="11"/>
      <c r="H1992" s="11"/>
    </row>
    <row r="1993" customFormat="false" ht="67.5" hidden="false" customHeight="true" outlineLevel="0" collapsed="false">
      <c r="A1993" s="12" t="s">
        <v>1953</v>
      </c>
      <c r="B1993" s="12"/>
      <c r="C1993" s="12"/>
      <c r="D1993" s="12"/>
      <c r="E1993" s="12" t="s">
        <v>1954</v>
      </c>
      <c r="F1993" s="12"/>
      <c r="G1993" s="12"/>
      <c r="H1993" s="12"/>
    </row>
    <row r="1994" customFormat="false" ht="81" hidden="false" customHeight="true" outlineLevel="0" collapsed="false">
      <c r="A1994" s="12" t="s">
        <v>1955</v>
      </c>
      <c r="B1994" s="12"/>
      <c r="C1994" s="12"/>
      <c r="D1994" s="12"/>
      <c r="E1994" s="12" t="s">
        <v>1956</v>
      </c>
      <c r="F1994" s="12"/>
      <c r="G1994" s="12"/>
      <c r="H1994" s="12"/>
    </row>
    <row r="1995" customFormat="false" ht="24" hidden="false" customHeight="true" outlineLevel="0" collapsed="false">
      <c r="A1995" s="13" t="s">
        <v>1515</v>
      </c>
      <c r="B1995" s="13"/>
      <c r="C1995" s="13"/>
      <c r="D1995" s="13"/>
      <c r="E1995" s="13"/>
      <c r="F1995" s="13"/>
      <c r="G1995" s="13"/>
      <c r="H1995" s="13"/>
    </row>
    <row r="1996" customFormat="false" ht="7.5" hidden="false" customHeight="true" outlineLevel="0" collapsed="false"/>
    <row r="1997" customFormat="false" ht="24" hidden="false" customHeight="true" outlineLevel="0" collapsed="false">
      <c r="A1997" s="9" t="s">
        <v>1957</v>
      </c>
      <c r="B1997" s="9"/>
      <c r="C1997" s="9"/>
      <c r="D1997" s="9"/>
      <c r="E1997" s="9"/>
      <c r="F1997" s="9"/>
      <c r="G1997" s="9"/>
      <c r="H1997" s="9"/>
    </row>
    <row r="1998" customFormat="false" ht="45.75" hidden="false" customHeight="true" outlineLevel="0" collapsed="false">
      <c r="A1998" s="11" t="s">
        <v>1958</v>
      </c>
      <c r="B1998" s="11"/>
      <c r="C1998" s="11"/>
      <c r="D1998" s="11"/>
      <c r="E1998" s="11"/>
      <c r="F1998" s="11"/>
      <c r="G1998" s="11"/>
      <c r="H1998" s="11"/>
    </row>
    <row r="1999" customFormat="false" ht="33.75" hidden="false" customHeight="true" outlineLevel="0" collapsed="false">
      <c r="A1999" s="12" t="s">
        <v>1959</v>
      </c>
      <c r="B1999" s="12"/>
      <c r="C1999" s="12"/>
      <c r="D1999" s="12"/>
      <c r="E1999" s="12" t="s">
        <v>1960</v>
      </c>
      <c r="F1999" s="12"/>
      <c r="G1999" s="12"/>
      <c r="H1999" s="12"/>
    </row>
    <row r="2000" customFormat="false" ht="33.75" hidden="false" customHeight="true" outlineLevel="0" collapsed="false">
      <c r="A2000" s="12" t="s">
        <v>1961</v>
      </c>
      <c r="B2000" s="12"/>
      <c r="C2000" s="12"/>
      <c r="D2000" s="12"/>
      <c r="E2000" s="12" t="s">
        <v>1962</v>
      </c>
      <c r="F2000" s="12"/>
      <c r="G2000" s="12"/>
      <c r="H2000" s="12"/>
    </row>
    <row r="2001" customFormat="false" ht="24" hidden="false" customHeight="true" outlineLevel="0" collapsed="false">
      <c r="A2001" s="13" t="s">
        <v>1434</v>
      </c>
      <c r="B2001" s="13"/>
      <c r="C2001" s="13"/>
      <c r="D2001" s="13"/>
      <c r="E2001" s="13"/>
      <c r="F2001" s="13"/>
      <c r="G2001" s="13"/>
      <c r="H2001" s="13"/>
    </row>
    <row r="2002" customFormat="false" ht="7.5" hidden="false" customHeight="true" outlineLevel="0" collapsed="false"/>
    <row r="2003" customFormat="false" ht="24" hidden="false" customHeight="true" outlineLevel="0" collapsed="false">
      <c r="A2003" s="9" t="s">
        <v>1963</v>
      </c>
      <c r="B2003" s="9"/>
      <c r="C2003" s="9"/>
      <c r="D2003" s="9"/>
      <c r="E2003" s="9"/>
      <c r="F2003" s="9"/>
      <c r="G2003" s="9"/>
      <c r="H2003" s="9"/>
    </row>
    <row r="2004" customFormat="false" ht="45.75" hidden="false" customHeight="true" outlineLevel="0" collapsed="false">
      <c r="A2004" s="11" t="s">
        <v>1964</v>
      </c>
      <c r="B2004" s="11"/>
      <c r="C2004" s="11"/>
      <c r="D2004" s="11"/>
      <c r="E2004" s="11"/>
      <c r="F2004" s="11"/>
      <c r="G2004" s="11"/>
      <c r="H2004" s="11"/>
    </row>
    <row r="2005" customFormat="false" ht="33.75" hidden="false" customHeight="true" outlineLevel="0" collapsed="false">
      <c r="A2005" s="12" t="s">
        <v>1965</v>
      </c>
      <c r="B2005" s="12"/>
      <c r="C2005" s="12"/>
      <c r="D2005" s="12"/>
      <c r="E2005" s="12" t="s">
        <v>1966</v>
      </c>
      <c r="F2005" s="12"/>
      <c r="G2005" s="12"/>
      <c r="H2005" s="12"/>
    </row>
    <row r="2006" customFormat="false" ht="42" hidden="false" customHeight="true" outlineLevel="0" collapsed="false">
      <c r="A2006" s="12" t="s">
        <v>1967</v>
      </c>
      <c r="B2006" s="12"/>
      <c r="C2006" s="12"/>
      <c r="D2006" s="12"/>
      <c r="E2006" s="12" t="s">
        <v>1968</v>
      </c>
      <c r="F2006" s="12"/>
      <c r="G2006" s="12"/>
      <c r="H2006" s="12"/>
    </row>
    <row r="2007" customFormat="false" ht="24" hidden="false" customHeight="true" outlineLevel="0" collapsed="false">
      <c r="A2007" s="13" t="s">
        <v>1304</v>
      </c>
      <c r="B2007" s="13"/>
      <c r="C2007" s="13"/>
      <c r="D2007" s="13"/>
      <c r="E2007" s="13"/>
      <c r="F2007" s="13"/>
      <c r="G2007" s="13"/>
      <c r="H2007" s="13"/>
    </row>
    <row r="2008" customFormat="false" ht="7.5" hidden="false" customHeight="true" outlineLevel="0" collapsed="false"/>
    <row r="2009" customFormat="false" ht="24" hidden="false" customHeight="true" outlineLevel="0" collapsed="false">
      <c r="A2009" s="9" t="s">
        <v>1969</v>
      </c>
      <c r="B2009" s="9"/>
      <c r="C2009" s="9"/>
      <c r="D2009" s="9"/>
      <c r="E2009" s="9"/>
      <c r="F2009" s="9"/>
      <c r="G2009" s="9"/>
      <c r="H2009" s="9"/>
    </row>
    <row r="2010" customFormat="false" ht="42" hidden="false" customHeight="true" outlineLevel="0" collapsed="false">
      <c r="A2010" s="11" t="s">
        <v>1970</v>
      </c>
      <c r="B2010" s="11"/>
      <c r="C2010" s="11"/>
      <c r="D2010" s="11"/>
      <c r="E2010" s="11"/>
      <c r="F2010" s="11"/>
      <c r="G2010" s="11"/>
      <c r="H2010" s="11"/>
    </row>
    <row r="2011" customFormat="false" ht="67.5" hidden="false" customHeight="true" outlineLevel="0" collapsed="false">
      <c r="A2011" s="12" t="s">
        <v>1971</v>
      </c>
      <c r="B2011" s="12"/>
      <c r="C2011" s="12"/>
      <c r="D2011" s="12"/>
      <c r="E2011" s="12" t="s">
        <v>1972</v>
      </c>
      <c r="F2011" s="12"/>
      <c r="G2011" s="12"/>
      <c r="H2011" s="12"/>
    </row>
    <row r="2012" customFormat="false" ht="54.75" hidden="false" customHeight="true" outlineLevel="0" collapsed="false">
      <c r="A2012" s="12" t="s">
        <v>1973</v>
      </c>
      <c r="B2012" s="12"/>
      <c r="C2012" s="12"/>
      <c r="D2012" s="12"/>
      <c r="E2012" s="12" t="s">
        <v>1974</v>
      </c>
      <c r="F2012" s="12"/>
      <c r="G2012" s="12"/>
      <c r="H2012" s="12"/>
    </row>
    <row r="2013" customFormat="false" ht="24" hidden="false" customHeight="true" outlineLevel="0" collapsed="false">
      <c r="A2013" s="13" t="s">
        <v>1441</v>
      </c>
      <c r="B2013" s="13"/>
      <c r="C2013" s="13"/>
      <c r="D2013" s="13"/>
      <c r="E2013" s="13"/>
      <c r="F2013" s="13"/>
      <c r="G2013" s="13"/>
      <c r="H2013" s="13"/>
    </row>
    <row r="2014" customFormat="false" ht="7.5" hidden="false" customHeight="true" outlineLevel="0" collapsed="false"/>
    <row r="2015" customFormat="false" ht="24" hidden="false" customHeight="true" outlineLevel="0" collapsed="false">
      <c r="A2015" s="9" t="s">
        <v>1975</v>
      </c>
      <c r="B2015" s="9"/>
      <c r="C2015" s="9"/>
      <c r="D2015" s="9"/>
      <c r="E2015" s="9"/>
      <c r="F2015" s="9"/>
      <c r="G2015" s="9"/>
      <c r="H2015" s="9"/>
    </row>
    <row r="2016" customFormat="false" ht="42" hidden="false" customHeight="true" outlineLevel="0" collapsed="false">
      <c r="A2016" s="11" t="s">
        <v>1976</v>
      </c>
      <c r="B2016" s="11"/>
      <c r="C2016" s="11"/>
      <c r="D2016" s="11"/>
      <c r="E2016" s="11"/>
      <c r="F2016" s="11"/>
      <c r="G2016" s="11"/>
      <c r="H2016" s="11"/>
    </row>
    <row r="2017" customFormat="false" ht="42" hidden="false" customHeight="true" outlineLevel="0" collapsed="false">
      <c r="A2017" s="12" t="s">
        <v>1977</v>
      </c>
      <c r="B2017" s="12"/>
      <c r="C2017" s="12"/>
      <c r="D2017" s="12"/>
      <c r="E2017" s="12" t="s">
        <v>1978</v>
      </c>
      <c r="F2017" s="12"/>
      <c r="G2017" s="12"/>
      <c r="H2017" s="12"/>
    </row>
    <row r="2018" customFormat="false" ht="42" hidden="false" customHeight="true" outlineLevel="0" collapsed="false">
      <c r="A2018" s="12" t="s">
        <v>1979</v>
      </c>
      <c r="B2018" s="12"/>
      <c r="C2018" s="12"/>
      <c r="D2018" s="12"/>
      <c r="E2018" s="12" t="s">
        <v>1980</v>
      </c>
      <c r="F2018" s="12"/>
      <c r="G2018" s="12"/>
      <c r="H2018" s="12"/>
    </row>
    <row r="2019" customFormat="false" ht="24" hidden="false" customHeight="true" outlineLevel="0" collapsed="false">
      <c r="A2019" s="13" t="s">
        <v>1880</v>
      </c>
      <c r="B2019" s="13"/>
      <c r="C2019" s="13"/>
      <c r="D2019" s="13"/>
      <c r="E2019" s="13"/>
      <c r="F2019" s="13"/>
      <c r="G2019" s="13"/>
      <c r="H2019" s="13"/>
    </row>
    <row r="2020" customFormat="false" ht="7.5" hidden="false" customHeight="true" outlineLevel="0" collapsed="false"/>
    <row r="2021" customFormat="false" ht="24" hidden="false" customHeight="true" outlineLevel="0" collapsed="false">
      <c r="A2021" s="9" t="s">
        <v>1981</v>
      </c>
      <c r="B2021" s="9"/>
      <c r="C2021" s="9"/>
      <c r="D2021" s="9"/>
      <c r="E2021" s="9"/>
      <c r="F2021" s="9"/>
      <c r="G2021" s="9"/>
      <c r="H2021" s="9"/>
    </row>
    <row r="2022" customFormat="false" ht="45.75" hidden="false" customHeight="true" outlineLevel="0" collapsed="false">
      <c r="A2022" s="11" t="s">
        <v>1982</v>
      </c>
      <c r="B2022" s="11"/>
      <c r="C2022" s="11"/>
      <c r="D2022" s="11"/>
      <c r="E2022" s="11"/>
      <c r="F2022" s="11"/>
      <c r="G2022" s="11"/>
      <c r="H2022" s="11"/>
    </row>
    <row r="2023" customFormat="false" ht="33.75" hidden="false" customHeight="true" outlineLevel="0" collapsed="false">
      <c r="A2023" s="12" t="s">
        <v>1983</v>
      </c>
      <c r="B2023" s="12"/>
      <c r="C2023" s="12"/>
      <c r="D2023" s="12"/>
      <c r="E2023" s="12" t="s">
        <v>1984</v>
      </c>
      <c r="F2023" s="12"/>
      <c r="G2023" s="12"/>
      <c r="H2023" s="12"/>
    </row>
    <row r="2024" customFormat="false" ht="33.75" hidden="false" customHeight="true" outlineLevel="0" collapsed="false">
      <c r="A2024" s="12" t="s">
        <v>1985</v>
      </c>
      <c r="B2024" s="12"/>
      <c r="C2024" s="12"/>
      <c r="D2024" s="12"/>
      <c r="E2024" s="12" t="s">
        <v>1986</v>
      </c>
      <c r="F2024" s="12"/>
      <c r="G2024" s="12"/>
      <c r="H2024" s="12"/>
    </row>
    <row r="2025" customFormat="false" ht="24" hidden="false" customHeight="true" outlineLevel="0" collapsed="false">
      <c r="A2025" s="13" t="s">
        <v>1383</v>
      </c>
      <c r="B2025" s="13"/>
      <c r="C2025" s="13"/>
      <c r="D2025" s="13"/>
      <c r="E2025" s="13"/>
      <c r="F2025" s="13"/>
      <c r="G2025" s="13"/>
      <c r="H2025" s="13"/>
    </row>
    <row r="2026" customFormat="false" ht="7.5" hidden="false" customHeight="true" outlineLevel="0" collapsed="false"/>
    <row r="2027" customFormat="false" ht="24" hidden="false" customHeight="true" outlineLevel="0" collapsed="false">
      <c r="A2027" s="9" t="s">
        <v>1987</v>
      </c>
      <c r="B2027" s="9"/>
      <c r="C2027" s="9"/>
      <c r="D2027" s="9"/>
      <c r="E2027" s="9"/>
      <c r="F2027" s="9"/>
      <c r="G2027" s="9"/>
      <c r="H2027" s="9"/>
    </row>
    <row r="2028" customFormat="false" ht="73.5" hidden="false" customHeight="true" outlineLevel="0" collapsed="false">
      <c r="A2028" s="11" t="s">
        <v>1988</v>
      </c>
      <c r="B2028" s="11"/>
      <c r="C2028" s="11"/>
      <c r="D2028" s="11"/>
      <c r="E2028" s="11"/>
      <c r="F2028" s="11"/>
      <c r="G2028" s="11"/>
      <c r="H2028" s="11"/>
    </row>
    <row r="2029" customFormat="false" ht="33.75" hidden="false" customHeight="true" outlineLevel="0" collapsed="false">
      <c r="A2029" s="12" t="s">
        <v>1989</v>
      </c>
      <c r="B2029" s="12"/>
      <c r="C2029" s="12"/>
      <c r="D2029" s="12"/>
      <c r="E2029" s="12" t="s">
        <v>1990</v>
      </c>
      <c r="F2029" s="12"/>
      <c r="G2029" s="12"/>
      <c r="H2029" s="12"/>
    </row>
    <row r="2030" customFormat="false" ht="33.75" hidden="false" customHeight="true" outlineLevel="0" collapsed="false">
      <c r="A2030" s="12" t="s">
        <v>1991</v>
      </c>
      <c r="B2030" s="12"/>
      <c r="C2030" s="12"/>
      <c r="D2030" s="12"/>
      <c r="E2030" s="12" t="s">
        <v>1992</v>
      </c>
      <c r="F2030" s="12"/>
      <c r="G2030" s="12"/>
      <c r="H2030" s="12"/>
    </row>
    <row r="2031" customFormat="false" ht="24" hidden="false" customHeight="true" outlineLevel="0" collapsed="false">
      <c r="A2031" s="13" t="s">
        <v>1376</v>
      </c>
      <c r="B2031" s="13"/>
      <c r="C2031" s="13"/>
      <c r="D2031" s="13"/>
      <c r="E2031" s="13"/>
      <c r="F2031" s="13"/>
      <c r="G2031" s="13"/>
      <c r="H2031" s="13"/>
    </row>
    <row r="2032" customFormat="false" ht="7.5" hidden="false" customHeight="true" outlineLevel="0" collapsed="false"/>
    <row r="2033" customFormat="false" ht="24" hidden="false" customHeight="true" outlineLevel="0" collapsed="false">
      <c r="A2033" s="9" t="s">
        <v>1993</v>
      </c>
      <c r="B2033" s="9"/>
      <c r="C2033" s="9"/>
      <c r="D2033" s="9"/>
      <c r="E2033" s="9"/>
      <c r="F2033" s="9"/>
      <c r="G2033" s="9"/>
      <c r="H2033" s="9"/>
    </row>
    <row r="2034" customFormat="false" ht="45.75" hidden="false" customHeight="true" outlineLevel="0" collapsed="false">
      <c r="A2034" s="11" t="s">
        <v>1994</v>
      </c>
      <c r="B2034" s="11"/>
      <c r="C2034" s="11"/>
      <c r="D2034" s="11"/>
      <c r="E2034" s="11"/>
      <c r="F2034" s="11"/>
      <c r="G2034" s="11"/>
      <c r="H2034" s="11"/>
    </row>
    <row r="2035" customFormat="false" ht="42" hidden="false" customHeight="true" outlineLevel="0" collapsed="false">
      <c r="A2035" s="12" t="s">
        <v>1995</v>
      </c>
      <c r="B2035" s="12"/>
      <c r="C2035" s="12"/>
      <c r="D2035" s="12"/>
      <c r="E2035" s="12" t="s">
        <v>1996</v>
      </c>
      <c r="F2035" s="12"/>
      <c r="G2035" s="12"/>
      <c r="H2035" s="12"/>
    </row>
    <row r="2036" customFormat="false" ht="54.75" hidden="false" customHeight="true" outlineLevel="0" collapsed="false">
      <c r="A2036" s="12" t="s">
        <v>1997</v>
      </c>
      <c r="B2036" s="12"/>
      <c r="C2036" s="12"/>
      <c r="D2036" s="12"/>
      <c r="E2036" s="12" t="s">
        <v>1998</v>
      </c>
      <c r="F2036" s="12"/>
      <c r="G2036" s="12"/>
      <c r="H2036" s="12"/>
    </row>
    <row r="2037" customFormat="false" ht="24" hidden="false" customHeight="true" outlineLevel="0" collapsed="false">
      <c r="A2037" s="13" t="s">
        <v>1327</v>
      </c>
      <c r="B2037" s="13"/>
      <c r="C2037" s="13"/>
      <c r="D2037" s="13"/>
      <c r="E2037" s="13"/>
      <c r="F2037" s="13"/>
      <c r="G2037" s="13"/>
      <c r="H2037" s="13"/>
    </row>
    <row r="2038" customFormat="false" ht="7.5" hidden="false" customHeight="true" outlineLevel="0" collapsed="false"/>
    <row r="2039" customFormat="false" ht="24" hidden="false" customHeight="true" outlineLevel="0" collapsed="false">
      <c r="A2039" s="9" t="s">
        <v>1999</v>
      </c>
      <c r="B2039" s="9"/>
      <c r="C2039" s="9"/>
      <c r="D2039" s="9"/>
      <c r="E2039" s="9"/>
      <c r="F2039" s="9"/>
      <c r="G2039" s="9"/>
      <c r="H2039" s="9"/>
    </row>
    <row r="2040" customFormat="false" ht="45.75" hidden="false" customHeight="true" outlineLevel="0" collapsed="false">
      <c r="A2040" s="11" t="s">
        <v>2000</v>
      </c>
      <c r="B2040" s="11"/>
      <c r="C2040" s="11"/>
      <c r="D2040" s="11"/>
      <c r="E2040" s="11"/>
      <c r="F2040" s="11"/>
      <c r="G2040" s="11"/>
      <c r="H2040" s="11"/>
    </row>
    <row r="2041" customFormat="false" ht="42" hidden="false" customHeight="true" outlineLevel="0" collapsed="false">
      <c r="A2041" s="12" t="s">
        <v>2001</v>
      </c>
      <c r="B2041" s="12"/>
      <c r="C2041" s="12"/>
      <c r="D2041" s="12"/>
      <c r="E2041" s="12" t="s">
        <v>2002</v>
      </c>
      <c r="F2041" s="12"/>
      <c r="G2041" s="12"/>
      <c r="H2041" s="12"/>
    </row>
    <row r="2042" customFormat="false" ht="42" hidden="false" customHeight="true" outlineLevel="0" collapsed="false">
      <c r="A2042" s="12" t="s">
        <v>2003</v>
      </c>
      <c r="B2042" s="12"/>
      <c r="C2042" s="12"/>
      <c r="D2042" s="12"/>
      <c r="E2042" s="12" t="s">
        <v>2004</v>
      </c>
      <c r="F2042" s="12"/>
      <c r="G2042" s="12"/>
      <c r="H2042" s="12"/>
    </row>
    <row r="2043" customFormat="false" ht="24" hidden="false" customHeight="true" outlineLevel="0" collapsed="false">
      <c r="A2043" s="13" t="s">
        <v>1421</v>
      </c>
      <c r="B2043" s="13"/>
      <c r="C2043" s="13"/>
      <c r="D2043" s="13"/>
      <c r="E2043" s="13"/>
      <c r="F2043" s="13"/>
      <c r="G2043" s="13"/>
      <c r="H2043" s="13"/>
    </row>
    <row r="2044" customFormat="false" ht="7.5" hidden="false" customHeight="true" outlineLevel="0" collapsed="false"/>
    <row r="2045" customFormat="false" ht="24" hidden="false" customHeight="true" outlineLevel="0" collapsed="false">
      <c r="A2045" s="9" t="s">
        <v>2005</v>
      </c>
      <c r="B2045" s="9"/>
      <c r="C2045" s="9"/>
      <c r="D2045" s="9"/>
      <c r="E2045" s="9"/>
      <c r="F2045" s="9"/>
      <c r="G2045" s="9"/>
      <c r="H2045" s="9"/>
    </row>
    <row r="2046" customFormat="false" ht="42" hidden="false" customHeight="true" outlineLevel="0" collapsed="false">
      <c r="A2046" s="11" t="s">
        <v>2006</v>
      </c>
      <c r="B2046" s="11"/>
      <c r="C2046" s="11"/>
      <c r="D2046" s="11"/>
      <c r="E2046" s="11"/>
      <c r="F2046" s="11"/>
      <c r="G2046" s="11"/>
      <c r="H2046" s="11"/>
    </row>
    <row r="2047" customFormat="false" ht="42" hidden="false" customHeight="true" outlineLevel="0" collapsed="false">
      <c r="A2047" s="12" t="s">
        <v>2007</v>
      </c>
      <c r="B2047" s="12"/>
      <c r="C2047" s="12"/>
      <c r="D2047" s="12"/>
      <c r="E2047" s="12" t="s">
        <v>2008</v>
      </c>
      <c r="F2047" s="12"/>
      <c r="G2047" s="12"/>
      <c r="H2047" s="12"/>
    </row>
    <row r="2048" customFormat="false" ht="42" hidden="false" customHeight="true" outlineLevel="0" collapsed="false">
      <c r="A2048" s="12" t="s">
        <v>2009</v>
      </c>
      <c r="B2048" s="12"/>
      <c r="C2048" s="12"/>
      <c r="D2048" s="12"/>
      <c r="E2048" s="12" t="s">
        <v>2010</v>
      </c>
      <c r="F2048" s="12"/>
      <c r="G2048" s="12"/>
      <c r="H2048" s="12"/>
    </row>
    <row r="2049" customFormat="false" ht="24" hidden="false" customHeight="true" outlineLevel="0" collapsed="false">
      <c r="A2049" s="13" t="s">
        <v>1905</v>
      </c>
      <c r="B2049" s="13"/>
      <c r="C2049" s="13"/>
      <c r="D2049" s="13"/>
      <c r="E2049" s="13"/>
      <c r="F2049" s="13"/>
      <c r="G2049" s="13"/>
      <c r="H2049" s="13"/>
    </row>
    <row r="2050" customFormat="false" ht="7.5" hidden="false" customHeight="true" outlineLevel="0" collapsed="false"/>
    <row r="2051" customFormat="false" ht="24" hidden="false" customHeight="true" outlineLevel="0" collapsed="false">
      <c r="A2051" s="9" t="s">
        <v>2011</v>
      </c>
      <c r="B2051" s="9"/>
      <c r="C2051" s="9"/>
      <c r="D2051" s="9"/>
      <c r="E2051" s="9"/>
      <c r="F2051" s="9"/>
      <c r="G2051" s="9"/>
      <c r="H2051" s="9"/>
    </row>
    <row r="2052" customFormat="false" ht="42" hidden="false" customHeight="true" outlineLevel="0" collapsed="false">
      <c r="A2052" s="11" t="s">
        <v>2012</v>
      </c>
      <c r="B2052" s="11"/>
      <c r="C2052" s="11"/>
      <c r="D2052" s="11"/>
      <c r="E2052" s="11"/>
      <c r="F2052" s="11"/>
      <c r="G2052" s="11"/>
      <c r="H2052" s="11"/>
    </row>
    <row r="2053" customFormat="false" ht="33.75" hidden="false" customHeight="true" outlineLevel="0" collapsed="false">
      <c r="A2053" s="12" t="s">
        <v>2013</v>
      </c>
      <c r="B2053" s="12"/>
      <c r="C2053" s="12"/>
      <c r="D2053" s="12"/>
      <c r="E2053" s="12" t="s">
        <v>2014</v>
      </c>
      <c r="F2053" s="12"/>
      <c r="G2053" s="12"/>
      <c r="H2053" s="12"/>
    </row>
    <row r="2054" customFormat="false" ht="33.75" hidden="false" customHeight="true" outlineLevel="0" collapsed="false">
      <c r="A2054" s="12" t="s">
        <v>2015</v>
      </c>
      <c r="B2054" s="12"/>
      <c r="C2054" s="12"/>
      <c r="D2054" s="12"/>
      <c r="E2054" s="12" t="s">
        <v>2016</v>
      </c>
      <c r="F2054" s="12"/>
      <c r="G2054" s="12"/>
      <c r="H2054" s="12"/>
    </row>
    <row r="2055" customFormat="false" ht="24" hidden="false" customHeight="true" outlineLevel="0" collapsed="false">
      <c r="A2055" s="13" t="s">
        <v>1589</v>
      </c>
      <c r="B2055" s="13"/>
      <c r="C2055" s="13"/>
      <c r="D2055" s="13"/>
      <c r="E2055" s="13"/>
      <c r="F2055" s="13"/>
      <c r="G2055" s="13"/>
      <c r="H2055" s="13"/>
    </row>
    <row r="2056" customFormat="false" ht="7.5" hidden="false" customHeight="true" outlineLevel="0" collapsed="false"/>
    <row r="2057" customFormat="false" ht="24" hidden="false" customHeight="true" outlineLevel="0" collapsed="false">
      <c r="A2057" s="9" t="s">
        <v>2017</v>
      </c>
      <c r="B2057" s="9"/>
      <c r="C2057" s="9"/>
      <c r="D2057" s="9"/>
      <c r="E2057" s="9"/>
      <c r="F2057" s="9"/>
      <c r="G2057" s="9"/>
      <c r="H2057" s="9"/>
    </row>
    <row r="2058" customFormat="false" ht="87.75" hidden="false" customHeight="true" outlineLevel="0" collapsed="false">
      <c r="A2058" s="11" t="s">
        <v>2018</v>
      </c>
      <c r="B2058" s="11"/>
      <c r="C2058" s="11"/>
      <c r="D2058" s="11"/>
      <c r="E2058" s="11"/>
      <c r="F2058" s="11"/>
      <c r="G2058" s="11"/>
      <c r="H2058" s="11"/>
    </row>
    <row r="2059" customFormat="false" ht="33.75" hidden="false" customHeight="true" outlineLevel="0" collapsed="false">
      <c r="A2059" s="12" t="s">
        <v>2019</v>
      </c>
      <c r="B2059" s="12"/>
      <c r="C2059" s="12"/>
      <c r="D2059" s="12"/>
      <c r="E2059" s="12" t="s">
        <v>2020</v>
      </c>
      <c r="F2059" s="12"/>
      <c r="G2059" s="12"/>
      <c r="H2059" s="12"/>
    </row>
    <row r="2060" customFormat="false" ht="33.75" hidden="false" customHeight="true" outlineLevel="0" collapsed="false">
      <c r="A2060" s="12" t="s">
        <v>2021</v>
      </c>
      <c r="B2060" s="12"/>
      <c r="C2060" s="12"/>
      <c r="D2060" s="12"/>
      <c r="E2060" s="12" t="s">
        <v>2022</v>
      </c>
      <c r="F2060" s="12"/>
      <c r="G2060" s="12"/>
      <c r="H2060" s="12"/>
    </row>
    <row r="2061" customFormat="false" ht="24" hidden="false" customHeight="true" outlineLevel="0" collapsed="false">
      <c r="A2061" s="13" t="s">
        <v>1460</v>
      </c>
      <c r="B2061" s="13"/>
      <c r="C2061" s="13"/>
      <c r="D2061" s="13"/>
      <c r="E2061" s="13"/>
      <c r="F2061" s="13"/>
      <c r="G2061" s="13"/>
      <c r="H2061" s="13"/>
    </row>
    <row r="2062" customFormat="false" ht="7.5" hidden="false" customHeight="true" outlineLevel="0" collapsed="false"/>
    <row r="2063" customFormat="false" ht="24" hidden="false" customHeight="true" outlineLevel="0" collapsed="false">
      <c r="A2063" s="9" t="s">
        <v>2023</v>
      </c>
      <c r="B2063" s="9"/>
      <c r="C2063" s="9"/>
      <c r="D2063" s="9"/>
      <c r="E2063" s="9"/>
      <c r="F2063" s="9"/>
      <c r="G2063" s="9"/>
      <c r="H2063" s="9"/>
    </row>
    <row r="2064" customFormat="false" ht="60" hidden="false" customHeight="true" outlineLevel="0" collapsed="false">
      <c r="A2064" s="11" t="s">
        <v>2024</v>
      </c>
      <c r="B2064" s="11"/>
      <c r="C2064" s="11"/>
      <c r="D2064" s="11"/>
      <c r="E2064" s="11"/>
      <c r="F2064" s="11"/>
      <c r="G2064" s="11"/>
      <c r="H2064" s="11"/>
    </row>
    <row r="2065" customFormat="false" ht="33.75" hidden="false" customHeight="true" outlineLevel="0" collapsed="false">
      <c r="A2065" s="12" t="s">
        <v>2025</v>
      </c>
      <c r="B2065" s="12"/>
      <c r="C2065" s="12"/>
      <c r="D2065" s="12"/>
      <c r="E2065" s="12" t="s">
        <v>2026</v>
      </c>
      <c r="F2065" s="12"/>
      <c r="G2065" s="12"/>
      <c r="H2065" s="12"/>
    </row>
    <row r="2066" customFormat="false" ht="33.75" hidden="false" customHeight="true" outlineLevel="0" collapsed="false">
      <c r="A2066" s="12" t="s">
        <v>2027</v>
      </c>
      <c r="B2066" s="12"/>
      <c r="C2066" s="12"/>
      <c r="D2066" s="12"/>
      <c r="E2066" s="12" t="s">
        <v>2028</v>
      </c>
      <c r="F2066" s="12"/>
      <c r="G2066" s="12"/>
      <c r="H2066" s="12"/>
    </row>
    <row r="2067" customFormat="false" ht="24" hidden="false" customHeight="true" outlineLevel="0" collapsed="false">
      <c r="A2067" s="13" t="s">
        <v>1861</v>
      </c>
      <c r="B2067" s="13"/>
      <c r="C2067" s="13"/>
      <c r="D2067" s="13"/>
      <c r="E2067" s="13"/>
      <c r="F2067" s="13"/>
      <c r="G2067" s="13"/>
      <c r="H2067" s="13"/>
    </row>
    <row r="2068" customFormat="false" ht="7.5" hidden="false" customHeight="true" outlineLevel="0" collapsed="false"/>
    <row r="2069" customFormat="false" ht="24" hidden="false" customHeight="true" outlineLevel="0" collapsed="false">
      <c r="A2069" s="9" t="s">
        <v>2029</v>
      </c>
      <c r="B2069" s="9"/>
      <c r="C2069" s="9"/>
      <c r="D2069" s="9"/>
      <c r="E2069" s="9"/>
      <c r="F2069" s="9"/>
      <c r="G2069" s="9"/>
      <c r="H2069" s="9"/>
    </row>
    <row r="2070" customFormat="false" ht="45.75" hidden="false" customHeight="true" outlineLevel="0" collapsed="false">
      <c r="A2070" s="11" t="s">
        <v>2030</v>
      </c>
      <c r="B2070" s="11"/>
      <c r="C2070" s="11"/>
      <c r="D2070" s="11"/>
      <c r="E2070" s="11"/>
      <c r="F2070" s="11"/>
      <c r="G2070" s="11"/>
      <c r="H2070" s="11"/>
    </row>
    <row r="2071" customFormat="false" ht="33.75" hidden="false" customHeight="true" outlineLevel="0" collapsed="false">
      <c r="A2071" s="12" t="s">
        <v>2031</v>
      </c>
      <c r="B2071" s="12"/>
      <c r="C2071" s="12"/>
      <c r="D2071" s="12"/>
      <c r="E2071" s="12" t="s">
        <v>2032</v>
      </c>
      <c r="F2071" s="12"/>
      <c r="G2071" s="12"/>
      <c r="H2071" s="12"/>
    </row>
    <row r="2072" customFormat="false" ht="33.75" hidden="false" customHeight="true" outlineLevel="0" collapsed="false">
      <c r="A2072" s="12" t="s">
        <v>2033</v>
      </c>
      <c r="B2072" s="12"/>
      <c r="C2072" s="12"/>
      <c r="D2072" s="12"/>
      <c r="E2072" s="12" t="s">
        <v>2034</v>
      </c>
      <c r="F2072" s="12"/>
      <c r="G2072" s="12"/>
      <c r="H2072" s="12"/>
    </row>
    <row r="2073" customFormat="false" ht="24" hidden="false" customHeight="true" outlineLevel="0" collapsed="false">
      <c r="A2073" s="13" t="s">
        <v>1327</v>
      </c>
      <c r="B2073" s="13"/>
      <c r="C2073" s="13"/>
      <c r="D2073" s="13"/>
      <c r="E2073" s="13"/>
      <c r="F2073" s="13"/>
      <c r="G2073" s="13"/>
      <c r="H2073" s="13"/>
    </row>
    <row r="2074" customFormat="false" ht="7.5" hidden="false" customHeight="true" outlineLevel="0" collapsed="false"/>
    <row r="2075" customFormat="false" ht="24" hidden="false" customHeight="true" outlineLevel="0" collapsed="false">
      <c r="A2075" s="9" t="s">
        <v>2035</v>
      </c>
      <c r="B2075" s="9"/>
      <c r="C2075" s="9"/>
      <c r="D2075" s="9"/>
      <c r="E2075" s="9"/>
      <c r="F2075" s="9"/>
      <c r="G2075" s="9"/>
      <c r="H2075" s="9"/>
    </row>
    <row r="2076" customFormat="false" ht="45.75" hidden="false" customHeight="true" outlineLevel="0" collapsed="false">
      <c r="A2076" s="11" t="s">
        <v>2036</v>
      </c>
      <c r="B2076" s="11"/>
      <c r="C2076" s="11"/>
      <c r="D2076" s="11"/>
      <c r="E2076" s="11"/>
      <c r="F2076" s="11"/>
      <c r="G2076" s="11"/>
      <c r="H2076" s="11"/>
    </row>
    <row r="2077" customFormat="false" ht="54.75" hidden="false" customHeight="true" outlineLevel="0" collapsed="false">
      <c r="A2077" s="12" t="s">
        <v>2037</v>
      </c>
      <c r="B2077" s="12"/>
      <c r="C2077" s="12"/>
      <c r="D2077" s="12"/>
      <c r="E2077" s="12" t="s">
        <v>2038</v>
      </c>
      <c r="F2077" s="12"/>
      <c r="G2077" s="12"/>
      <c r="H2077" s="12"/>
    </row>
    <row r="2078" customFormat="false" ht="42" hidden="false" customHeight="true" outlineLevel="0" collapsed="false">
      <c r="A2078" s="12" t="s">
        <v>2039</v>
      </c>
      <c r="B2078" s="12"/>
      <c r="C2078" s="12"/>
      <c r="D2078" s="12"/>
      <c r="E2078" s="12" t="s">
        <v>2040</v>
      </c>
      <c r="F2078" s="12"/>
      <c r="G2078" s="12"/>
      <c r="H2078" s="12"/>
    </row>
    <row r="2079" customFormat="false" ht="24" hidden="false" customHeight="true" outlineLevel="0" collapsed="false">
      <c r="A2079" s="13" t="s">
        <v>1721</v>
      </c>
      <c r="B2079" s="13"/>
      <c r="C2079" s="13"/>
      <c r="D2079" s="13"/>
      <c r="E2079" s="13"/>
      <c r="F2079" s="13"/>
      <c r="G2079" s="13"/>
      <c r="H2079" s="13"/>
    </row>
    <row r="2080" customFormat="false" ht="7.5" hidden="false" customHeight="true" outlineLevel="0" collapsed="false"/>
    <row r="2081" customFormat="false" ht="24" hidden="false" customHeight="true" outlineLevel="0" collapsed="false">
      <c r="A2081" s="9" t="s">
        <v>2041</v>
      </c>
      <c r="B2081" s="9"/>
      <c r="C2081" s="9"/>
      <c r="D2081" s="9"/>
      <c r="E2081" s="9"/>
      <c r="F2081" s="9"/>
      <c r="G2081" s="9"/>
      <c r="H2081" s="9"/>
    </row>
    <row r="2082" customFormat="false" ht="42" hidden="false" customHeight="true" outlineLevel="0" collapsed="false">
      <c r="A2082" s="11" t="s">
        <v>2042</v>
      </c>
      <c r="B2082" s="11"/>
      <c r="C2082" s="11"/>
      <c r="D2082" s="11"/>
      <c r="E2082" s="11"/>
      <c r="F2082" s="11"/>
      <c r="G2082" s="11"/>
      <c r="H2082" s="11"/>
    </row>
    <row r="2083" customFormat="false" ht="54.75" hidden="false" customHeight="true" outlineLevel="0" collapsed="false">
      <c r="A2083" s="12" t="s">
        <v>2043</v>
      </c>
      <c r="B2083" s="12"/>
      <c r="C2083" s="12"/>
      <c r="D2083" s="12"/>
      <c r="E2083" s="12" t="s">
        <v>2044</v>
      </c>
      <c r="F2083" s="12"/>
      <c r="G2083" s="12"/>
      <c r="H2083" s="12"/>
    </row>
    <row r="2084" customFormat="false" ht="42" hidden="false" customHeight="true" outlineLevel="0" collapsed="false">
      <c r="A2084" s="12" t="s">
        <v>2045</v>
      </c>
      <c r="B2084" s="12"/>
      <c r="C2084" s="12"/>
      <c r="D2084" s="12"/>
      <c r="E2084" s="12" t="s">
        <v>2046</v>
      </c>
      <c r="F2084" s="12"/>
      <c r="G2084" s="12"/>
      <c r="H2084" s="12"/>
    </row>
    <row r="2085" customFormat="false" ht="24" hidden="false" customHeight="true" outlineLevel="0" collapsed="false">
      <c r="A2085" s="13" t="s">
        <v>1905</v>
      </c>
      <c r="B2085" s="13"/>
      <c r="C2085" s="13"/>
      <c r="D2085" s="13"/>
      <c r="E2085" s="13"/>
      <c r="F2085" s="13"/>
      <c r="G2085" s="13"/>
      <c r="H2085" s="13"/>
    </row>
    <row r="2086" customFormat="false" ht="7.5" hidden="false" customHeight="true" outlineLevel="0" collapsed="false"/>
    <row r="2087" customFormat="false" ht="24" hidden="false" customHeight="true" outlineLevel="0" collapsed="false">
      <c r="A2087" s="9" t="s">
        <v>2047</v>
      </c>
      <c r="B2087" s="9"/>
      <c r="C2087" s="9"/>
      <c r="D2087" s="9"/>
      <c r="E2087" s="9"/>
      <c r="F2087" s="9"/>
      <c r="G2087" s="9"/>
      <c r="H2087" s="9"/>
    </row>
    <row r="2088" customFormat="false" ht="42" hidden="false" customHeight="true" outlineLevel="0" collapsed="false">
      <c r="A2088" s="11" t="s">
        <v>2048</v>
      </c>
      <c r="B2088" s="11"/>
      <c r="C2088" s="11"/>
      <c r="D2088" s="11"/>
      <c r="E2088" s="11"/>
      <c r="F2088" s="11"/>
      <c r="G2088" s="11"/>
      <c r="H2088" s="11"/>
    </row>
    <row r="2089" customFormat="false" ht="54.75" hidden="false" customHeight="true" outlineLevel="0" collapsed="false">
      <c r="A2089" s="12" t="s">
        <v>2049</v>
      </c>
      <c r="B2089" s="12"/>
      <c r="C2089" s="12"/>
      <c r="D2089" s="12"/>
      <c r="E2089" s="12" t="s">
        <v>2050</v>
      </c>
      <c r="F2089" s="12"/>
      <c r="G2089" s="12"/>
      <c r="H2089" s="12"/>
    </row>
    <row r="2090" customFormat="false" ht="54.75" hidden="false" customHeight="true" outlineLevel="0" collapsed="false">
      <c r="A2090" s="12" t="s">
        <v>2051</v>
      </c>
      <c r="B2090" s="12"/>
      <c r="C2090" s="12"/>
      <c r="D2090" s="12"/>
      <c r="E2090" s="12" t="s">
        <v>2052</v>
      </c>
      <c r="F2090" s="12"/>
      <c r="G2090" s="12"/>
      <c r="H2090" s="12"/>
    </row>
    <row r="2091" customFormat="false" ht="24" hidden="false" customHeight="true" outlineLevel="0" collapsed="false">
      <c r="A2091" s="13" t="s">
        <v>1297</v>
      </c>
      <c r="B2091" s="13"/>
      <c r="C2091" s="13"/>
      <c r="D2091" s="13"/>
      <c r="E2091" s="13"/>
      <c r="F2091" s="13"/>
      <c r="G2091" s="13"/>
      <c r="H2091" s="13"/>
    </row>
    <row r="2092" customFormat="false" ht="7.5" hidden="false" customHeight="true" outlineLevel="0" collapsed="false"/>
    <row r="2093" customFormat="false" ht="24" hidden="false" customHeight="true" outlineLevel="0" collapsed="false">
      <c r="A2093" s="9" t="s">
        <v>2053</v>
      </c>
      <c r="B2093" s="9"/>
      <c r="C2093" s="9"/>
      <c r="D2093" s="9"/>
      <c r="E2093" s="9"/>
      <c r="F2093" s="9"/>
      <c r="G2093" s="9"/>
      <c r="H2093" s="9"/>
    </row>
    <row r="2094" customFormat="false" ht="42" hidden="false" customHeight="true" outlineLevel="0" collapsed="false">
      <c r="A2094" s="11" t="s">
        <v>2054</v>
      </c>
      <c r="B2094" s="11"/>
      <c r="C2094" s="11"/>
      <c r="D2094" s="11"/>
      <c r="E2094" s="11"/>
      <c r="F2094" s="11"/>
      <c r="G2094" s="11"/>
      <c r="H2094" s="11"/>
    </row>
    <row r="2095" customFormat="false" ht="67.5" hidden="false" customHeight="true" outlineLevel="0" collapsed="false">
      <c r="A2095" s="12" t="s">
        <v>2055</v>
      </c>
      <c r="B2095" s="12"/>
      <c r="C2095" s="12"/>
      <c r="D2095" s="12"/>
      <c r="E2095" s="12" t="s">
        <v>2056</v>
      </c>
      <c r="F2095" s="12"/>
      <c r="G2095" s="12"/>
      <c r="H2095" s="12"/>
    </row>
    <row r="2096" customFormat="false" ht="67.5" hidden="false" customHeight="true" outlineLevel="0" collapsed="false">
      <c r="A2096" s="12" t="s">
        <v>2057</v>
      </c>
      <c r="B2096" s="12"/>
      <c r="C2096" s="12"/>
      <c r="D2096" s="12"/>
      <c r="E2096" s="12" t="s">
        <v>2058</v>
      </c>
      <c r="F2096" s="12"/>
      <c r="G2096" s="12"/>
      <c r="H2096" s="12"/>
    </row>
    <row r="2097" customFormat="false" ht="24" hidden="false" customHeight="true" outlineLevel="0" collapsed="false">
      <c r="A2097" s="13" t="s">
        <v>1495</v>
      </c>
      <c r="B2097" s="13"/>
      <c r="C2097" s="13"/>
      <c r="D2097" s="13"/>
      <c r="E2097" s="13"/>
      <c r="F2097" s="13"/>
      <c r="G2097" s="13"/>
      <c r="H2097" s="13"/>
    </row>
    <row r="2098" customFormat="false" ht="7.5" hidden="false" customHeight="true" outlineLevel="0" collapsed="false"/>
    <row r="2099" customFormat="false" ht="24" hidden="false" customHeight="true" outlineLevel="0" collapsed="false">
      <c r="A2099" s="9" t="s">
        <v>2059</v>
      </c>
      <c r="B2099" s="9"/>
      <c r="C2099" s="9"/>
      <c r="D2099" s="9"/>
      <c r="E2099" s="9"/>
      <c r="F2099" s="9"/>
      <c r="G2099" s="9"/>
      <c r="H2099" s="9"/>
    </row>
    <row r="2100" customFormat="false" ht="45.75" hidden="false" customHeight="true" outlineLevel="0" collapsed="false">
      <c r="A2100" s="11" t="s">
        <v>2060</v>
      </c>
      <c r="B2100" s="11"/>
      <c r="C2100" s="11"/>
      <c r="D2100" s="11"/>
      <c r="E2100" s="11"/>
      <c r="F2100" s="11"/>
      <c r="G2100" s="11"/>
      <c r="H2100" s="11"/>
    </row>
    <row r="2101" customFormat="false" ht="33.75" hidden="false" customHeight="true" outlineLevel="0" collapsed="false">
      <c r="A2101" s="12" t="s">
        <v>2061</v>
      </c>
      <c r="B2101" s="12"/>
      <c r="C2101" s="12"/>
      <c r="D2101" s="12"/>
      <c r="E2101" s="12" t="s">
        <v>2062</v>
      </c>
      <c r="F2101" s="12"/>
      <c r="G2101" s="12"/>
      <c r="H2101" s="12"/>
    </row>
    <row r="2102" customFormat="false" ht="33.75" hidden="false" customHeight="true" outlineLevel="0" collapsed="false">
      <c r="A2102" s="12" t="s">
        <v>2063</v>
      </c>
      <c r="B2102" s="12"/>
      <c r="C2102" s="12"/>
      <c r="D2102" s="12"/>
      <c r="E2102" s="12" t="s">
        <v>2064</v>
      </c>
      <c r="F2102" s="12"/>
      <c r="G2102" s="12"/>
      <c r="H2102" s="12"/>
    </row>
    <row r="2103" customFormat="false" ht="24" hidden="false" customHeight="true" outlineLevel="0" collapsed="false">
      <c r="A2103" s="13" t="s">
        <v>1460</v>
      </c>
      <c r="B2103" s="13"/>
      <c r="C2103" s="13"/>
      <c r="D2103" s="13"/>
      <c r="E2103" s="13"/>
      <c r="F2103" s="13"/>
      <c r="G2103" s="13"/>
      <c r="H2103" s="13"/>
    </row>
    <row r="2104" customFormat="false" ht="7.5" hidden="false" customHeight="true" outlineLevel="0" collapsed="false"/>
    <row r="2105" customFormat="false" ht="24" hidden="false" customHeight="true" outlineLevel="0" collapsed="false">
      <c r="A2105" s="9" t="s">
        <v>2065</v>
      </c>
      <c r="B2105" s="9"/>
      <c r="C2105" s="9"/>
      <c r="D2105" s="9"/>
      <c r="E2105" s="9"/>
      <c r="F2105" s="9"/>
      <c r="G2105" s="9"/>
      <c r="H2105" s="9"/>
    </row>
    <row r="2106" customFormat="false" ht="60" hidden="false" customHeight="true" outlineLevel="0" collapsed="false">
      <c r="A2106" s="11" t="s">
        <v>2066</v>
      </c>
      <c r="B2106" s="11"/>
      <c r="C2106" s="11"/>
      <c r="D2106" s="11"/>
      <c r="E2106" s="11"/>
      <c r="F2106" s="11"/>
      <c r="G2106" s="11"/>
      <c r="H2106" s="11"/>
    </row>
    <row r="2107" customFormat="false" ht="33.75" hidden="false" customHeight="true" outlineLevel="0" collapsed="false">
      <c r="A2107" s="12" t="s">
        <v>2067</v>
      </c>
      <c r="B2107" s="12"/>
      <c r="C2107" s="12"/>
      <c r="D2107" s="12"/>
      <c r="E2107" s="12" t="s">
        <v>2068</v>
      </c>
      <c r="F2107" s="12"/>
      <c r="G2107" s="12"/>
      <c r="H2107" s="12"/>
    </row>
    <row r="2108" customFormat="false" ht="33.75" hidden="false" customHeight="true" outlineLevel="0" collapsed="false">
      <c r="A2108" s="12" t="s">
        <v>2069</v>
      </c>
      <c r="B2108" s="12"/>
      <c r="C2108" s="12"/>
      <c r="D2108" s="12"/>
      <c r="E2108" s="12" t="s">
        <v>2070</v>
      </c>
      <c r="F2108" s="12"/>
      <c r="G2108" s="12"/>
      <c r="H2108" s="12"/>
    </row>
    <row r="2109" customFormat="false" ht="24" hidden="false" customHeight="true" outlineLevel="0" collapsed="false">
      <c r="A2109" s="13" t="s">
        <v>1460</v>
      </c>
      <c r="B2109" s="13"/>
      <c r="C2109" s="13"/>
      <c r="D2109" s="13"/>
      <c r="E2109" s="13"/>
      <c r="F2109" s="13"/>
      <c r="G2109" s="13"/>
      <c r="H2109" s="13"/>
    </row>
    <row r="2110" customFormat="false" ht="7.5" hidden="false" customHeight="true" outlineLevel="0" collapsed="false"/>
    <row r="2111" customFormat="false" ht="24" hidden="false" customHeight="true" outlineLevel="0" collapsed="false">
      <c r="A2111" s="9" t="s">
        <v>2071</v>
      </c>
      <c r="B2111" s="9"/>
      <c r="C2111" s="9"/>
      <c r="D2111" s="9"/>
      <c r="E2111" s="9"/>
      <c r="F2111" s="9"/>
      <c r="G2111" s="9"/>
      <c r="H2111" s="9"/>
    </row>
    <row r="2112" customFormat="false" ht="45.75" hidden="false" customHeight="true" outlineLevel="0" collapsed="false">
      <c r="A2112" s="11" t="s">
        <v>2072</v>
      </c>
      <c r="B2112" s="11"/>
      <c r="C2112" s="11"/>
      <c r="D2112" s="11"/>
      <c r="E2112" s="11"/>
      <c r="F2112" s="11"/>
      <c r="G2112" s="11"/>
      <c r="H2112" s="11"/>
    </row>
    <row r="2113" customFormat="false" ht="42" hidden="false" customHeight="true" outlineLevel="0" collapsed="false">
      <c r="A2113" s="12" t="s">
        <v>2073</v>
      </c>
      <c r="B2113" s="12"/>
      <c r="C2113" s="12"/>
      <c r="D2113" s="12"/>
      <c r="E2113" s="12" t="s">
        <v>2074</v>
      </c>
      <c r="F2113" s="12"/>
      <c r="G2113" s="12"/>
      <c r="H2113" s="12"/>
    </row>
    <row r="2114" customFormat="false" ht="33.75" hidden="false" customHeight="true" outlineLevel="0" collapsed="false">
      <c r="A2114" s="12" t="s">
        <v>2075</v>
      </c>
      <c r="B2114" s="12"/>
      <c r="C2114" s="12"/>
      <c r="D2114" s="12"/>
      <c r="E2114" s="12" t="s">
        <v>2076</v>
      </c>
      <c r="F2114" s="12"/>
      <c r="G2114" s="12"/>
      <c r="H2114" s="12"/>
    </row>
    <row r="2115" customFormat="false" ht="24" hidden="false" customHeight="true" outlineLevel="0" collapsed="false">
      <c r="A2115" s="13" t="s">
        <v>1276</v>
      </c>
      <c r="B2115" s="13"/>
      <c r="C2115" s="13"/>
      <c r="D2115" s="13"/>
      <c r="E2115" s="13"/>
      <c r="F2115" s="13"/>
      <c r="G2115" s="13"/>
      <c r="H2115" s="13"/>
    </row>
    <row r="2116" customFormat="false" ht="7.5" hidden="false" customHeight="true" outlineLevel="0" collapsed="false"/>
    <row r="2117" customFormat="false" ht="24" hidden="false" customHeight="true" outlineLevel="0" collapsed="false">
      <c r="A2117" s="9" t="s">
        <v>2077</v>
      </c>
      <c r="B2117" s="9"/>
      <c r="C2117" s="9"/>
      <c r="D2117" s="9"/>
      <c r="E2117" s="9"/>
      <c r="F2117" s="9"/>
      <c r="G2117" s="9"/>
      <c r="H2117" s="9"/>
    </row>
    <row r="2118" customFormat="false" ht="45.75" hidden="false" customHeight="true" outlineLevel="0" collapsed="false">
      <c r="A2118" s="11" t="s">
        <v>2078</v>
      </c>
      <c r="B2118" s="11"/>
      <c r="C2118" s="11"/>
      <c r="D2118" s="11"/>
      <c r="E2118" s="11"/>
      <c r="F2118" s="11"/>
      <c r="G2118" s="11"/>
      <c r="H2118" s="11"/>
    </row>
    <row r="2119" customFormat="false" ht="42" hidden="false" customHeight="true" outlineLevel="0" collapsed="false">
      <c r="A2119" s="12" t="s">
        <v>2079</v>
      </c>
      <c r="B2119" s="12"/>
      <c r="C2119" s="12"/>
      <c r="D2119" s="12"/>
      <c r="E2119" s="12" t="s">
        <v>2080</v>
      </c>
      <c r="F2119" s="12"/>
      <c r="G2119" s="12"/>
      <c r="H2119" s="12"/>
    </row>
    <row r="2120" customFormat="false" ht="33.75" hidden="false" customHeight="true" outlineLevel="0" collapsed="false">
      <c r="A2120" s="12" t="s">
        <v>2081</v>
      </c>
      <c r="B2120" s="12"/>
      <c r="C2120" s="12"/>
      <c r="D2120" s="12"/>
      <c r="E2120" s="12" t="s">
        <v>2082</v>
      </c>
      <c r="F2120" s="12"/>
      <c r="G2120" s="12"/>
      <c r="H2120" s="12"/>
    </row>
    <row r="2121" customFormat="false" ht="24" hidden="false" customHeight="true" outlineLevel="0" collapsed="false">
      <c r="A2121" s="13" t="s">
        <v>1467</v>
      </c>
      <c r="B2121" s="13"/>
      <c r="C2121" s="13"/>
      <c r="D2121" s="13"/>
      <c r="E2121" s="13"/>
      <c r="F2121" s="13"/>
      <c r="G2121" s="13"/>
      <c r="H2121" s="13"/>
    </row>
    <row r="2122" customFormat="false" ht="7.5" hidden="false" customHeight="true" outlineLevel="0" collapsed="false"/>
    <row r="2123" customFormat="false" ht="24" hidden="false" customHeight="true" outlineLevel="0" collapsed="false">
      <c r="A2123" s="9" t="s">
        <v>2083</v>
      </c>
      <c r="B2123" s="9"/>
      <c r="C2123" s="9"/>
      <c r="D2123" s="9"/>
      <c r="E2123" s="9"/>
      <c r="F2123" s="9"/>
      <c r="G2123" s="9"/>
      <c r="H2123" s="9"/>
    </row>
    <row r="2124" customFormat="false" ht="42" hidden="false" customHeight="true" outlineLevel="0" collapsed="false">
      <c r="A2124" s="11" t="s">
        <v>2084</v>
      </c>
      <c r="B2124" s="11"/>
      <c r="C2124" s="11"/>
      <c r="D2124" s="11"/>
      <c r="E2124" s="11"/>
      <c r="F2124" s="11"/>
      <c r="G2124" s="11"/>
      <c r="H2124" s="11"/>
    </row>
    <row r="2125" customFormat="false" ht="42" hidden="false" customHeight="true" outlineLevel="0" collapsed="false">
      <c r="A2125" s="12" t="s">
        <v>2085</v>
      </c>
      <c r="B2125" s="12"/>
      <c r="C2125" s="12"/>
      <c r="D2125" s="12"/>
      <c r="E2125" s="12" t="s">
        <v>2086</v>
      </c>
      <c r="F2125" s="12"/>
      <c r="G2125" s="12"/>
      <c r="H2125" s="12"/>
    </row>
    <row r="2126" customFormat="false" ht="54.75" hidden="false" customHeight="true" outlineLevel="0" collapsed="false">
      <c r="A2126" s="12" t="s">
        <v>2087</v>
      </c>
      <c r="B2126" s="12"/>
      <c r="C2126" s="12"/>
      <c r="D2126" s="12"/>
      <c r="E2126" s="12" t="s">
        <v>2088</v>
      </c>
      <c r="F2126" s="12"/>
      <c r="G2126" s="12"/>
      <c r="H2126" s="12"/>
    </row>
    <row r="2127" customFormat="false" ht="24" hidden="false" customHeight="true" outlineLevel="0" collapsed="false">
      <c r="A2127" s="13" t="s">
        <v>1460</v>
      </c>
      <c r="B2127" s="13"/>
      <c r="C2127" s="13"/>
      <c r="D2127" s="13"/>
      <c r="E2127" s="13"/>
      <c r="F2127" s="13"/>
      <c r="G2127" s="13"/>
      <c r="H2127" s="13"/>
    </row>
    <row r="2128" customFormat="false" ht="7.5" hidden="false" customHeight="true" outlineLevel="0" collapsed="false"/>
    <row r="2129" customFormat="false" ht="24" hidden="false" customHeight="true" outlineLevel="0" collapsed="false">
      <c r="A2129" s="9" t="s">
        <v>2089</v>
      </c>
      <c r="B2129" s="9"/>
      <c r="C2129" s="9"/>
      <c r="D2129" s="9"/>
      <c r="E2129" s="9"/>
      <c r="F2129" s="9"/>
      <c r="G2129" s="9"/>
      <c r="H2129" s="9"/>
    </row>
    <row r="2130" customFormat="false" ht="42" hidden="false" customHeight="true" outlineLevel="0" collapsed="false">
      <c r="A2130" s="11" t="s">
        <v>2090</v>
      </c>
      <c r="B2130" s="11"/>
      <c r="C2130" s="11"/>
      <c r="D2130" s="11"/>
      <c r="E2130" s="11"/>
      <c r="F2130" s="11"/>
      <c r="G2130" s="11"/>
      <c r="H2130" s="11"/>
    </row>
    <row r="2131" customFormat="false" ht="42" hidden="false" customHeight="true" outlineLevel="0" collapsed="false">
      <c r="A2131" s="12" t="s">
        <v>2091</v>
      </c>
      <c r="B2131" s="12"/>
      <c r="C2131" s="12"/>
      <c r="D2131" s="12"/>
      <c r="E2131" s="12" t="s">
        <v>2092</v>
      </c>
      <c r="F2131" s="12"/>
      <c r="G2131" s="12"/>
      <c r="H2131" s="12"/>
    </row>
    <row r="2132" customFormat="false" ht="42" hidden="false" customHeight="true" outlineLevel="0" collapsed="false">
      <c r="A2132" s="12" t="s">
        <v>2093</v>
      </c>
      <c r="B2132" s="12"/>
      <c r="C2132" s="12"/>
      <c r="D2132" s="12"/>
      <c r="E2132" s="12" t="s">
        <v>2094</v>
      </c>
      <c r="F2132" s="12"/>
      <c r="G2132" s="12"/>
      <c r="H2132" s="12"/>
    </row>
    <row r="2133" customFormat="false" ht="24" hidden="false" customHeight="true" outlineLevel="0" collapsed="false">
      <c r="A2133" s="13" t="s">
        <v>1596</v>
      </c>
      <c r="B2133" s="13"/>
      <c r="C2133" s="13"/>
      <c r="D2133" s="13"/>
      <c r="E2133" s="13"/>
      <c r="F2133" s="13"/>
      <c r="G2133" s="13"/>
      <c r="H2133" s="13"/>
    </row>
    <row r="2134" customFormat="false" ht="7.5" hidden="false" customHeight="true" outlineLevel="0" collapsed="false"/>
    <row r="2135" customFormat="false" ht="24" hidden="false" customHeight="true" outlineLevel="0" collapsed="false">
      <c r="A2135" s="9" t="s">
        <v>2095</v>
      </c>
      <c r="B2135" s="9"/>
      <c r="C2135" s="9"/>
      <c r="D2135" s="9"/>
      <c r="E2135" s="9"/>
      <c r="F2135" s="9"/>
      <c r="G2135" s="9"/>
      <c r="H2135" s="9"/>
    </row>
    <row r="2136" customFormat="false" ht="45.75" hidden="false" customHeight="true" outlineLevel="0" collapsed="false">
      <c r="A2136" s="11" t="s">
        <v>2096</v>
      </c>
      <c r="B2136" s="11"/>
      <c r="C2136" s="11"/>
      <c r="D2136" s="11"/>
      <c r="E2136" s="11"/>
      <c r="F2136" s="11"/>
      <c r="G2136" s="11"/>
      <c r="H2136" s="11"/>
    </row>
    <row r="2137" customFormat="false" ht="42" hidden="false" customHeight="true" outlineLevel="0" collapsed="false">
      <c r="A2137" s="12" t="s">
        <v>2097</v>
      </c>
      <c r="B2137" s="12"/>
      <c r="C2137" s="12"/>
      <c r="D2137" s="12"/>
      <c r="E2137" s="12" t="s">
        <v>2098</v>
      </c>
      <c r="F2137" s="12"/>
      <c r="G2137" s="12"/>
      <c r="H2137" s="12"/>
    </row>
    <row r="2138" customFormat="false" ht="54.75" hidden="false" customHeight="true" outlineLevel="0" collapsed="false">
      <c r="A2138" s="12" t="s">
        <v>2099</v>
      </c>
      <c r="B2138" s="12"/>
      <c r="C2138" s="12"/>
      <c r="D2138" s="12"/>
      <c r="E2138" s="12" t="s">
        <v>2100</v>
      </c>
      <c r="F2138" s="12"/>
      <c r="G2138" s="12"/>
      <c r="H2138" s="12"/>
    </row>
    <row r="2139" customFormat="false" ht="24" hidden="false" customHeight="true" outlineLevel="0" collapsed="false">
      <c r="A2139" s="13" t="s">
        <v>1396</v>
      </c>
      <c r="B2139" s="13"/>
      <c r="C2139" s="13"/>
      <c r="D2139" s="13"/>
      <c r="E2139" s="13"/>
      <c r="F2139" s="13"/>
      <c r="G2139" s="13"/>
      <c r="H2139" s="13"/>
    </row>
    <row r="2140" customFormat="false" ht="7.5" hidden="false" customHeight="true" outlineLevel="0" collapsed="false"/>
    <row r="2141" customFormat="false" ht="24" hidden="false" customHeight="true" outlineLevel="0" collapsed="false">
      <c r="A2141" s="9" t="s">
        <v>2101</v>
      </c>
      <c r="B2141" s="9"/>
      <c r="C2141" s="9"/>
      <c r="D2141" s="9"/>
      <c r="E2141" s="9"/>
      <c r="F2141" s="9"/>
      <c r="G2141" s="9"/>
      <c r="H2141" s="9"/>
    </row>
    <row r="2142" customFormat="false" ht="45.75" hidden="false" customHeight="true" outlineLevel="0" collapsed="false">
      <c r="A2142" s="11" t="s">
        <v>2102</v>
      </c>
      <c r="B2142" s="11"/>
      <c r="C2142" s="11"/>
      <c r="D2142" s="11"/>
      <c r="E2142" s="11"/>
      <c r="F2142" s="11"/>
      <c r="G2142" s="11"/>
      <c r="H2142" s="11"/>
    </row>
    <row r="2143" customFormat="false" ht="42" hidden="false" customHeight="true" outlineLevel="0" collapsed="false">
      <c r="A2143" s="12" t="s">
        <v>2103</v>
      </c>
      <c r="B2143" s="12"/>
      <c r="C2143" s="12"/>
      <c r="D2143" s="12"/>
      <c r="E2143" s="12" t="s">
        <v>2104</v>
      </c>
      <c r="F2143" s="12"/>
      <c r="G2143" s="12"/>
      <c r="H2143" s="12"/>
    </row>
    <row r="2144" customFormat="false" ht="42" hidden="false" customHeight="true" outlineLevel="0" collapsed="false">
      <c r="A2144" s="12" t="s">
        <v>2105</v>
      </c>
      <c r="B2144" s="12"/>
      <c r="C2144" s="12"/>
      <c r="D2144" s="12"/>
      <c r="E2144" s="12" t="s">
        <v>2106</v>
      </c>
      <c r="F2144" s="12"/>
      <c r="G2144" s="12"/>
      <c r="H2144" s="12"/>
    </row>
    <row r="2145" customFormat="false" ht="24" hidden="false" customHeight="true" outlineLevel="0" collapsed="false">
      <c r="A2145" s="13" t="s">
        <v>1327</v>
      </c>
      <c r="B2145" s="13"/>
      <c r="C2145" s="13"/>
      <c r="D2145" s="13"/>
      <c r="E2145" s="13"/>
      <c r="F2145" s="13"/>
      <c r="G2145" s="13"/>
      <c r="H2145" s="13"/>
    </row>
    <row r="2146" customFormat="false" ht="7.5" hidden="false" customHeight="true" outlineLevel="0" collapsed="false"/>
    <row r="2147" customFormat="false" ht="24" hidden="false" customHeight="true" outlineLevel="0" collapsed="false">
      <c r="A2147" s="9" t="s">
        <v>2107</v>
      </c>
      <c r="B2147" s="9"/>
      <c r="C2147" s="9"/>
      <c r="D2147" s="9"/>
      <c r="E2147" s="9"/>
      <c r="F2147" s="9"/>
      <c r="G2147" s="9"/>
      <c r="H2147" s="9"/>
    </row>
    <row r="2148" customFormat="false" ht="42" hidden="false" customHeight="true" outlineLevel="0" collapsed="false">
      <c r="A2148" s="11" t="s">
        <v>2108</v>
      </c>
      <c r="B2148" s="11"/>
      <c r="C2148" s="11"/>
      <c r="D2148" s="11"/>
      <c r="E2148" s="11"/>
      <c r="F2148" s="11"/>
      <c r="G2148" s="11"/>
      <c r="H2148" s="11"/>
    </row>
    <row r="2149" customFormat="false" ht="54.75" hidden="false" customHeight="true" outlineLevel="0" collapsed="false">
      <c r="A2149" s="12" t="s">
        <v>2109</v>
      </c>
      <c r="B2149" s="12"/>
      <c r="C2149" s="12"/>
      <c r="D2149" s="12"/>
      <c r="E2149" s="12" t="s">
        <v>2110</v>
      </c>
      <c r="F2149" s="12"/>
      <c r="G2149" s="12"/>
      <c r="H2149" s="12"/>
    </row>
    <row r="2150" customFormat="false" ht="42" hidden="false" customHeight="true" outlineLevel="0" collapsed="false">
      <c r="A2150" s="12" t="s">
        <v>2111</v>
      </c>
      <c r="B2150" s="12"/>
      <c r="C2150" s="12"/>
      <c r="D2150" s="12"/>
      <c r="E2150" s="12" t="s">
        <v>2112</v>
      </c>
      <c r="F2150" s="12"/>
      <c r="G2150" s="12"/>
      <c r="H2150" s="12"/>
    </row>
    <row r="2151" customFormat="false" ht="24" hidden="false" customHeight="true" outlineLevel="0" collapsed="false">
      <c r="A2151" s="13" t="s">
        <v>1495</v>
      </c>
      <c r="B2151" s="13"/>
      <c r="C2151" s="13"/>
      <c r="D2151" s="13"/>
      <c r="E2151" s="13"/>
      <c r="F2151" s="13"/>
      <c r="G2151" s="13"/>
      <c r="H2151" s="13"/>
    </row>
    <row r="2152" customFormat="false" ht="7.5" hidden="false" customHeight="true" outlineLevel="0" collapsed="false"/>
    <row r="2153" customFormat="false" ht="24" hidden="false" customHeight="true" outlineLevel="0" collapsed="false">
      <c r="A2153" s="9" t="s">
        <v>2113</v>
      </c>
      <c r="B2153" s="9"/>
      <c r="C2153" s="9"/>
      <c r="D2153" s="9"/>
      <c r="E2153" s="9"/>
      <c r="F2153" s="9"/>
      <c r="G2153" s="9"/>
      <c r="H2153" s="9"/>
    </row>
    <row r="2154" customFormat="false" ht="45.75" hidden="false" customHeight="true" outlineLevel="0" collapsed="false">
      <c r="A2154" s="11" t="s">
        <v>2114</v>
      </c>
      <c r="B2154" s="11"/>
      <c r="C2154" s="11"/>
      <c r="D2154" s="11"/>
      <c r="E2154" s="11"/>
      <c r="F2154" s="11"/>
      <c r="G2154" s="11"/>
      <c r="H2154" s="11"/>
    </row>
    <row r="2155" customFormat="false" ht="54.75" hidden="false" customHeight="true" outlineLevel="0" collapsed="false">
      <c r="A2155" s="12" t="s">
        <v>2115</v>
      </c>
      <c r="B2155" s="12"/>
      <c r="C2155" s="12"/>
      <c r="D2155" s="12"/>
      <c r="E2155" s="12" t="s">
        <v>2116</v>
      </c>
      <c r="F2155" s="12"/>
      <c r="G2155" s="12"/>
      <c r="H2155" s="12"/>
    </row>
    <row r="2156" customFormat="false" ht="42" hidden="false" customHeight="true" outlineLevel="0" collapsed="false">
      <c r="A2156" s="12" t="s">
        <v>2117</v>
      </c>
      <c r="B2156" s="12"/>
      <c r="C2156" s="12"/>
      <c r="D2156" s="12"/>
      <c r="E2156" s="12" t="s">
        <v>2118</v>
      </c>
      <c r="F2156" s="12"/>
      <c r="G2156" s="12"/>
      <c r="H2156" s="12"/>
    </row>
    <row r="2157" customFormat="false" ht="24" hidden="false" customHeight="true" outlineLevel="0" collapsed="false">
      <c r="A2157" s="13" t="s">
        <v>1297</v>
      </c>
      <c r="B2157" s="13"/>
      <c r="C2157" s="13"/>
      <c r="D2157" s="13"/>
      <c r="E2157" s="13"/>
      <c r="F2157" s="13"/>
      <c r="G2157" s="13"/>
      <c r="H2157" s="13"/>
    </row>
    <row r="2158" customFormat="false" ht="7.5" hidden="false" customHeight="true" outlineLevel="0" collapsed="false"/>
    <row r="2159" customFormat="false" ht="24" hidden="false" customHeight="true" outlineLevel="0" collapsed="false">
      <c r="A2159" s="9" t="s">
        <v>2119</v>
      </c>
      <c r="B2159" s="9"/>
      <c r="C2159" s="9"/>
      <c r="D2159" s="9"/>
      <c r="E2159" s="9"/>
      <c r="F2159" s="9"/>
      <c r="G2159" s="9"/>
      <c r="H2159" s="9"/>
    </row>
    <row r="2160" customFormat="false" ht="73.5" hidden="false" customHeight="true" outlineLevel="0" collapsed="false">
      <c r="A2160" s="11" t="s">
        <v>2120</v>
      </c>
      <c r="B2160" s="11"/>
      <c r="C2160" s="11"/>
      <c r="D2160" s="11"/>
      <c r="E2160" s="11"/>
      <c r="F2160" s="11"/>
      <c r="G2160" s="11"/>
      <c r="H2160" s="11"/>
    </row>
    <row r="2161" customFormat="false" ht="33.75" hidden="false" customHeight="true" outlineLevel="0" collapsed="false">
      <c r="A2161" s="12" t="s">
        <v>2121</v>
      </c>
      <c r="B2161" s="12"/>
      <c r="C2161" s="12"/>
      <c r="D2161" s="12"/>
      <c r="E2161" s="12" t="s">
        <v>2122</v>
      </c>
      <c r="F2161" s="12"/>
      <c r="G2161" s="12"/>
      <c r="H2161" s="12"/>
    </row>
    <row r="2162" customFormat="false" ht="33.75" hidden="false" customHeight="true" outlineLevel="0" collapsed="false">
      <c r="A2162" s="12" t="s">
        <v>2123</v>
      </c>
      <c r="B2162" s="12"/>
      <c r="C2162" s="12"/>
      <c r="D2162" s="12"/>
      <c r="E2162" s="12" t="s">
        <v>2124</v>
      </c>
      <c r="F2162" s="12"/>
      <c r="G2162" s="12"/>
      <c r="H2162" s="12"/>
    </row>
    <row r="2163" customFormat="false" ht="24" hidden="false" customHeight="true" outlineLevel="0" collapsed="false">
      <c r="A2163" s="13" t="s">
        <v>1297</v>
      </c>
      <c r="B2163" s="13"/>
      <c r="C2163" s="13"/>
      <c r="D2163" s="13"/>
      <c r="E2163" s="13"/>
      <c r="F2163" s="13"/>
      <c r="G2163" s="13"/>
      <c r="H2163" s="13"/>
    </row>
    <row r="2164" customFormat="false" ht="7.5" hidden="false" customHeight="true" outlineLevel="0" collapsed="false"/>
    <row r="2165" customFormat="false" ht="24" hidden="false" customHeight="true" outlineLevel="0" collapsed="false">
      <c r="A2165" s="9" t="s">
        <v>2125</v>
      </c>
      <c r="B2165" s="9"/>
      <c r="C2165" s="9"/>
      <c r="D2165" s="9"/>
      <c r="E2165" s="9"/>
      <c r="F2165" s="9"/>
      <c r="G2165" s="9"/>
      <c r="H2165" s="9"/>
    </row>
    <row r="2166" customFormat="false" ht="42" hidden="false" customHeight="true" outlineLevel="0" collapsed="false">
      <c r="A2166" s="11" t="s">
        <v>2126</v>
      </c>
      <c r="B2166" s="11"/>
      <c r="C2166" s="11"/>
      <c r="D2166" s="11"/>
      <c r="E2166" s="11"/>
      <c r="F2166" s="11"/>
      <c r="G2166" s="11"/>
      <c r="H2166" s="11"/>
    </row>
    <row r="2167" customFormat="false" ht="33.75" hidden="false" customHeight="true" outlineLevel="0" collapsed="false">
      <c r="A2167" s="12" t="s">
        <v>2127</v>
      </c>
      <c r="B2167" s="12"/>
      <c r="C2167" s="12"/>
      <c r="D2167" s="12"/>
      <c r="E2167" s="12" t="s">
        <v>2128</v>
      </c>
      <c r="F2167" s="12"/>
      <c r="G2167" s="12"/>
      <c r="H2167" s="12"/>
    </row>
    <row r="2168" customFormat="false" ht="33.75" hidden="false" customHeight="true" outlineLevel="0" collapsed="false">
      <c r="A2168" s="12" t="s">
        <v>2129</v>
      </c>
      <c r="B2168" s="12"/>
      <c r="C2168" s="12"/>
      <c r="D2168" s="12"/>
      <c r="E2168" s="12" t="s">
        <v>2130</v>
      </c>
      <c r="F2168" s="12"/>
      <c r="G2168" s="12"/>
      <c r="H2168" s="12"/>
    </row>
    <row r="2169" customFormat="false" ht="24" hidden="false" customHeight="true" outlineLevel="0" collapsed="false">
      <c r="A2169" s="13" t="s">
        <v>1396</v>
      </c>
      <c r="B2169" s="13"/>
      <c r="C2169" s="13"/>
      <c r="D2169" s="13"/>
      <c r="E2169" s="13"/>
      <c r="F2169" s="13"/>
      <c r="G2169" s="13"/>
      <c r="H2169" s="13"/>
    </row>
    <row r="2170" customFormat="false" ht="7.5" hidden="false" customHeight="true" outlineLevel="0" collapsed="false"/>
    <row r="2171" customFormat="false" ht="24" hidden="false" customHeight="true" outlineLevel="0" collapsed="false">
      <c r="A2171" s="9" t="s">
        <v>2131</v>
      </c>
      <c r="B2171" s="9"/>
      <c r="C2171" s="9"/>
      <c r="D2171" s="9"/>
      <c r="E2171" s="9"/>
      <c r="F2171" s="9"/>
      <c r="G2171" s="9"/>
      <c r="H2171" s="9"/>
    </row>
    <row r="2172" customFormat="false" ht="42" hidden="false" customHeight="true" outlineLevel="0" collapsed="false">
      <c r="A2172" s="11" t="s">
        <v>2132</v>
      </c>
      <c r="B2172" s="11"/>
      <c r="C2172" s="11"/>
      <c r="D2172" s="11"/>
      <c r="E2172" s="11"/>
      <c r="F2172" s="11"/>
      <c r="G2172" s="11"/>
      <c r="H2172" s="11"/>
    </row>
    <row r="2173" customFormat="false" ht="54.75" hidden="false" customHeight="true" outlineLevel="0" collapsed="false">
      <c r="A2173" s="12" t="s">
        <v>2133</v>
      </c>
      <c r="B2173" s="12"/>
      <c r="C2173" s="12"/>
      <c r="D2173" s="12"/>
      <c r="E2173" s="12" t="s">
        <v>2134</v>
      </c>
      <c r="F2173" s="12"/>
      <c r="G2173" s="12"/>
      <c r="H2173" s="12"/>
    </row>
    <row r="2174" customFormat="false" ht="67.5" hidden="false" customHeight="true" outlineLevel="0" collapsed="false">
      <c r="A2174" s="12" t="s">
        <v>2135</v>
      </c>
      <c r="B2174" s="12"/>
      <c r="C2174" s="12"/>
      <c r="D2174" s="12"/>
      <c r="E2174" s="12" t="s">
        <v>2136</v>
      </c>
      <c r="F2174" s="12"/>
      <c r="G2174" s="12"/>
      <c r="H2174" s="12"/>
    </row>
    <row r="2175" customFormat="false" ht="24" hidden="false" customHeight="true" outlineLevel="0" collapsed="false">
      <c r="A2175" s="13" t="s">
        <v>1460</v>
      </c>
      <c r="B2175" s="13"/>
      <c r="C2175" s="13"/>
      <c r="D2175" s="13"/>
      <c r="E2175" s="13"/>
      <c r="F2175" s="13"/>
      <c r="G2175" s="13"/>
      <c r="H2175" s="13"/>
    </row>
    <row r="2176" customFormat="false" ht="7.5" hidden="false" customHeight="true" outlineLevel="0" collapsed="false"/>
    <row r="2177" customFormat="false" ht="24" hidden="false" customHeight="true" outlineLevel="0" collapsed="false">
      <c r="A2177" s="9" t="s">
        <v>2137</v>
      </c>
      <c r="B2177" s="9"/>
      <c r="C2177" s="9"/>
      <c r="D2177" s="9"/>
      <c r="E2177" s="9"/>
      <c r="F2177" s="9"/>
      <c r="G2177" s="9"/>
      <c r="H2177" s="9"/>
    </row>
    <row r="2178" customFormat="false" ht="42" hidden="false" customHeight="true" outlineLevel="0" collapsed="false">
      <c r="A2178" s="11" t="s">
        <v>2138</v>
      </c>
      <c r="B2178" s="11"/>
      <c r="C2178" s="11"/>
      <c r="D2178" s="11"/>
      <c r="E2178" s="11"/>
      <c r="F2178" s="11"/>
      <c r="G2178" s="11"/>
      <c r="H2178" s="11"/>
    </row>
    <row r="2179" customFormat="false" ht="33.75" hidden="false" customHeight="true" outlineLevel="0" collapsed="false">
      <c r="A2179" s="12" t="s">
        <v>2139</v>
      </c>
      <c r="B2179" s="12"/>
      <c r="C2179" s="12"/>
      <c r="D2179" s="12"/>
      <c r="E2179" s="12" t="s">
        <v>2140</v>
      </c>
      <c r="F2179" s="12"/>
      <c r="G2179" s="12"/>
      <c r="H2179" s="12"/>
    </row>
    <row r="2180" customFormat="false" ht="33.75" hidden="false" customHeight="true" outlineLevel="0" collapsed="false">
      <c r="A2180" s="12" t="s">
        <v>2141</v>
      </c>
      <c r="B2180" s="12"/>
      <c r="C2180" s="12"/>
      <c r="D2180" s="12"/>
      <c r="E2180" s="12" t="s">
        <v>2142</v>
      </c>
      <c r="F2180" s="12"/>
      <c r="G2180" s="12"/>
      <c r="H2180" s="12"/>
    </row>
    <row r="2181" customFormat="false" ht="24" hidden="false" customHeight="true" outlineLevel="0" collapsed="false">
      <c r="A2181" s="13" t="s">
        <v>1297</v>
      </c>
      <c r="B2181" s="13"/>
      <c r="C2181" s="13"/>
      <c r="D2181" s="13"/>
      <c r="E2181" s="13"/>
      <c r="F2181" s="13"/>
      <c r="G2181" s="13"/>
      <c r="H2181" s="13"/>
    </row>
    <row r="2182" customFormat="false" ht="7.5" hidden="false" customHeight="true" outlineLevel="0" collapsed="false"/>
    <row r="2183" customFormat="false" ht="24" hidden="false" customHeight="true" outlineLevel="0" collapsed="false">
      <c r="A2183" s="9" t="s">
        <v>2143</v>
      </c>
      <c r="B2183" s="9"/>
      <c r="C2183" s="9"/>
      <c r="D2183" s="9"/>
      <c r="E2183" s="9"/>
      <c r="F2183" s="9"/>
      <c r="G2183" s="9"/>
      <c r="H2183" s="9"/>
    </row>
    <row r="2184" customFormat="false" ht="42" hidden="false" customHeight="true" outlineLevel="0" collapsed="false">
      <c r="A2184" s="11" t="s">
        <v>2144</v>
      </c>
      <c r="B2184" s="11"/>
      <c r="C2184" s="11"/>
      <c r="D2184" s="11"/>
      <c r="E2184" s="11"/>
      <c r="F2184" s="11"/>
      <c r="G2184" s="11"/>
      <c r="H2184" s="11"/>
    </row>
    <row r="2185" customFormat="false" ht="33.75" hidden="false" customHeight="true" outlineLevel="0" collapsed="false">
      <c r="A2185" s="12" t="s">
        <v>2145</v>
      </c>
      <c r="B2185" s="12"/>
      <c r="C2185" s="12"/>
      <c r="D2185" s="12"/>
      <c r="E2185" s="12" t="s">
        <v>2146</v>
      </c>
      <c r="F2185" s="12"/>
      <c r="G2185" s="12"/>
      <c r="H2185" s="12"/>
    </row>
    <row r="2186" customFormat="false" ht="33.75" hidden="false" customHeight="true" outlineLevel="0" collapsed="false">
      <c r="A2186" s="12" t="s">
        <v>2147</v>
      </c>
      <c r="B2186" s="12"/>
      <c r="C2186" s="12"/>
      <c r="D2186" s="12"/>
      <c r="E2186" s="12" t="s">
        <v>2148</v>
      </c>
      <c r="F2186" s="12"/>
      <c r="G2186" s="12"/>
      <c r="H2186" s="12"/>
    </row>
    <row r="2187" customFormat="false" ht="24" hidden="false" customHeight="true" outlineLevel="0" collapsed="false">
      <c r="A2187" s="13" t="s">
        <v>1880</v>
      </c>
      <c r="B2187" s="13"/>
      <c r="C2187" s="13"/>
      <c r="D2187" s="13"/>
      <c r="E2187" s="13"/>
      <c r="F2187" s="13"/>
      <c r="G2187" s="13"/>
      <c r="H2187" s="13"/>
    </row>
    <row r="2188" customFormat="false" ht="7.5" hidden="false" customHeight="true" outlineLevel="0" collapsed="false"/>
    <row r="2189" customFormat="false" ht="24" hidden="false" customHeight="true" outlineLevel="0" collapsed="false">
      <c r="A2189" s="9" t="s">
        <v>2149</v>
      </c>
      <c r="B2189" s="9"/>
      <c r="C2189" s="9"/>
      <c r="D2189" s="9"/>
      <c r="E2189" s="9"/>
      <c r="F2189" s="9"/>
      <c r="G2189" s="9"/>
      <c r="H2189" s="9"/>
    </row>
    <row r="2190" customFormat="false" ht="45.75" hidden="false" customHeight="true" outlineLevel="0" collapsed="false">
      <c r="A2190" s="11" t="s">
        <v>2150</v>
      </c>
      <c r="B2190" s="11"/>
      <c r="C2190" s="11"/>
      <c r="D2190" s="11"/>
      <c r="E2190" s="11"/>
      <c r="F2190" s="11"/>
      <c r="G2190" s="11"/>
      <c r="H2190" s="11"/>
    </row>
    <row r="2191" customFormat="false" ht="33.75" hidden="false" customHeight="true" outlineLevel="0" collapsed="false">
      <c r="A2191" s="12" t="s">
        <v>2151</v>
      </c>
      <c r="B2191" s="12"/>
      <c r="C2191" s="12"/>
      <c r="D2191" s="12"/>
      <c r="E2191" s="12" t="s">
        <v>2152</v>
      </c>
      <c r="F2191" s="12"/>
      <c r="G2191" s="12"/>
      <c r="H2191" s="12"/>
    </row>
    <row r="2192" customFormat="false" ht="42" hidden="false" customHeight="true" outlineLevel="0" collapsed="false">
      <c r="A2192" s="12" t="s">
        <v>2153</v>
      </c>
      <c r="B2192" s="12"/>
      <c r="C2192" s="12"/>
      <c r="D2192" s="12"/>
      <c r="E2192" s="12" t="s">
        <v>2154</v>
      </c>
      <c r="F2192" s="12"/>
      <c r="G2192" s="12"/>
      <c r="H2192" s="12"/>
    </row>
    <row r="2193" customFormat="false" ht="24" hidden="false" customHeight="true" outlineLevel="0" collapsed="false">
      <c r="A2193" s="13" t="s">
        <v>1396</v>
      </c>
      <c r="B2193" s="13"/>
      <c r="C2193" s="13"/>
      <c r="D2193" s="13"/>
      <c r="E2193" s="13"/>
      <c r="F2193" s="13"/>
      <c r="G2193" s="13"/>
      <c r="H2193" s="13"/>
    </row>
    <row r="2194" customFormat="false" ht="7.5" hidden="false" customHeight="true" outlineLevel="0" collapsed="false"/>
    <row r="2195" customFormat="false" ht="24" hidden="false" customHeight="true" outlineLevel="0" collapsed="false">
      <c r="A2195" s="9" t="s">
        <v>2155</v>
      </c>
      <c r="B2195" s="9"/>
      <c r="C2195" s="9"/>
      <c r="D2195" s="9"/>
      <c r="E2195" s="9"/>
      <c r="F2195" s="9"/>
      <c r="G2195" s="9"/>
      <c r="H2195" s="9"/>
    </row>
    <row r="2196" customFormat="false" ht="99.75" hidden="false" customHeight="true" outlineLevel="0" collapsed="false">
      <c r="A2196" s="10" t="s">
        <v>2156</v>
      </c>
      <c r="B2196" s="10"/>
      <c r="C2196" s="10"/>
      <c r="D2196" s="10"/>
      <c r="E2196" s="10"/>
      <c r="F2196" s="10"/>
      <c r="G2196" s="10"/>
      <c r="H2196" s="10"/>
    </row>
    <row r="2197" customFormat="false" ht="87" hidden="false" customHeight="true" outlineLevel="0" collapsed="false">
      <c r="A2197" s="10" t="s">
        <v>2157</v>
      </c>
      <c r="B2197" s="10"/>
      <c r="C2197" s="10"/>
      <c r="D2197" s="10"/>
      <c r="E2197" s="10"/>
      <c r="F2197" s="10"/>
      <c r="G2197" s="10"/>
      <c r="H2197" s="10"/>
    </row>
    <row r="2198" customFormat="false" ht="73.5" hidden="false" customHeight="true" outlineLevel="0" collapsed="false">
      <c r="A2198" s="11" t="s">
        <v>2158</v>
      </c>
      <c r="B2198" s="11"/>
      <c r="C2198" s="11"/>
      <c r="D2198" s="11"/>
      <c r="E2198" s="11"/>
      <c r="F2198" s="11"/>
      <c r="G2198" s="11"/>
      <c r="H2198" s="11"/>
    </row>
    <row r="2199" customFormat="false" ht="54.75" hidden="false" customHeight="true" outlineLevel="0" collapsed="false">
      <c r="A2199" s="12" t="s">
        <v>2159</v>
      </c>
      <c r="B2199" s="12"/>
      <c r="C2199" s="12"/>
      <c r="D2199" s="12"/>
      <c r="E2199" s="12" t="s">
        <v>2160</v>
      </c>
      <c r="F2199" s="12"/>
      <c r="G2199" s="12"/>
      <c r="H2199" s="12"/>
    </row>
    <row r="2200" customFormat="false" ht="67.5" hidden="false" customHeight="true" outlineLevel="0" collapsed="false">
      <c r="A2200" s="12" t="s">
        <v>2161</v>
      </c>
      <c r="B2200" s="12"/>
      <c r="C2200" s="12"/>
      <c r="D2200" s="12"/>
      <c r="E2200" s="12" t="s">
        <v>2162</v>
      </c>
      <c r="F2200" s="12"/>
      <c r="G2200" s="12"/>
      <c r="H2200" s="12"/>
    </row>
    <row r="2201" customFormat="false" ht="24" hidden="false" customHeight="true" outlineLevel="0" collapsed="false">
      <c r="A2201" s="13" t="s">
        <v>2163</v>
      </c>
      <c r="B2201" s="13"/>
      <c r="C2201" s="13"/>
      <c r="D2201" s="13"/>
      <c r="E2201" s="13"/>
      <c r="F2201" s="13"/>
      <c r="G2201" s="13"/>
      <c r="H2201" s="13"/>
    </row>
    <row r="2202" customFormat="false" ht="7.5" hidden="false" customHeight="true" outlineLevel="0" collapsed="false"/>
    <row r="2203" customFormat="false" ht="24" hidden="false" customHeight="true" outlineLevel="0" collapsed="false">
      <c r="A2203" s="9" t="s">
        <v>2164</v>
      </c>
      <c r="B2203" s="9"/>
      <c r="C2203" s="9"/>
      <c r="D2203" s="9"/>
      <c r="E2203" s="9"/>
      <c r="F2203" s="9"/>
      <c r="G2203" s="9"/>
      <c r="H2203" s="9"/>
    </row>
    <row r="2204" customFormat="false" ht="42" hidden="false" customHeight="true" outlineLevel="0" collapsed="false">
      <c r="A2204" s="11" t="s">
        <v>2165</v>
      </c>
      <c r="B2204" s="11"/>
      <c r="C2204" s="11"/>
      <c r="D2204" s="11"/>
      <c r="E2204" s="11"/>
      <c r="F2204" s="11"/>
      <c r="G2204" s="11"/>
      <c r="H2204" s="11"/>
    </row>
    <row r="2205" customFormat="false" ht="33.75" hidden="false" customHeight="true" outlineLevel="0" collapsed="false">
      <c r="A2205" s="12" t="s">
        <v>2166</v>
      </c>
      <c r="B2205" s="12"/>
      <c r="C2205" s="12"/>
      <c r="D2205" s="12"/>
      <c r="E2205" s="12" t="s">
        <v>2167</v>
      </c>
      <c r="F2205" s="12"/>
      <c r="G2205" s="12"/>
      <c r="H2205" s="12"/>
    </row>
    <row r="2206" customFormat="false" ht="42" hidden="false" customHeight="true" outlineLevel="0" collapsed="false">
      <c r="A2206" s="12" t="s">
        <v>2168</v>
      </c>
      <c r="B2206" s="12"/>
      <c r="C2206" s="12"/>
      <c r="D2206" s="12"/>
      <c r="E2206" s="12" t="s">
        <v>2169</v>
      </c>
      <c r="F2206" s="12"/>
      <c r="G2206" s="12"/>
      <c r="H2206" s="12"/>
    </row>
    <row r="2207" customFormat="false" ht="24" hidden="false" customHeight="true" outlineLevel="0" collapsed="false">
      <c r="A2207" s="13" t="s">
        <v>1396</v>
      </c>
      <c r="B2207" s="13"/>
      <c r="C2207" s="13"/>
      <c r="D2207" s="13"/>
      <c r="E2207" s="13"/>
      <c r="F2207" s="13"/>
      <c r="G2207" s="13"/>
      <c r="H2207" s="13"/>
    </row>
    <row r="2208" customFormat="false" ht="7.5" hidden="false" customHeight="true" outlineLevel="0" collapsed="false"/>
    <row r="2209" customFormat="false" ht="24" hidden="false" customHeight="true" outlineLevel="0" collapsed="false">
      <c r="A2209" s="9" t="s">
        <v>2170</v>
      </c>
      <c r="B2209" s="9"/>
      <c r="C2209" s="9"/>
      <c r="D2209" s="9"/>
      <c r="E2209" s="9"/>
      <c r="F2209" s="9"/>
      <c r="G2209" s="9"/>
      <c r="H2209" s="9"/>
    </row>
    <row r="2210" customFormat="false" ht="99.75" hidden="false" customHeight="true" outlineLevel="0" collapsed="false">
      <c r="A2210" s="10" t="s">
        <v>2171</v>
      </c>
      <c r="B2210" s="10"/>
      <c r="C2210" s="10"/>
      <c r="D2210" s="10"/>
      <c r="E2210" s="10"/>
      <c r="F2210" s="10"/>
      <c r="G2210" s="10"/>
      <c r="H2210" s="10"/>
    </row>
    <row r="2211" customFormat="false" ht="99.75" hidden="false" customHeight="true" outlineLevel="0" collapsed="false">
      <c r="A2211" s="10" t="s">
        <v>2172</v>
      </c>
      <c r="B2211" s="10"/>
      <c r="C2211" s="10"/>
      <c r="D2211" s="10"/>
      <c r="E2211" s="10"/>
      <c r="F2211" s="10"/>
      <c r="G2211" s="10"/>
      <c r="H2211" s="10"/>
    </row>
    <row r="2212" customFormat="false" ht="99.75" hidden="false" customHeight="true" outlineLevel="0" collapsed="false">
      <c r="A2212" s="10" t="s">
        <v>2173</v>
      </c>
      <c r="B2212" s="10"/>
      <c r="C2212" s="10"/>
      <c r="D2212" s="10"/>
      <c r="E2212" s="10"/>
      <c r="F2212" s="10"/>
      <c r="G2212" s="10"/>
      <c r="H2212" s="10"/>
    </row>
    <row r="2213" customFormat="false" ht="87" hidden="false" customHeight="true" outlineLevel="0" collapsed="false">
      <c r="A2213" s="10" t="s">
        <v>2174</v>
      </c>
      <c r="B2213" s="10"/>
      <c r="C2213" s="10"/>
      <c r="D2213" s="10"/>
      <c r="E2213" s="10"/>
      <c r="F2213" s="10"/>
      <c r="G2213" s="10"/>
      <c r="H2213" s="10"/>
    </row>
    <row r="2214" customFormat="false" ht="42" hidden="false" customHeight="true" outlineLevel="0" collapsed="false">
      <c r="A2214" s="11" t="s">
        <v>2175</v>
      </c>
      <c r="B2214" s="11"/>
      <c r="C2214" s="11"/>
      <c r="D2214" s="11"/>
      <c r="E2214" s="11"/>
      <c r="F2214" s="11"/>
      <c r="G2214" s="11"/>
      <c r="H2214" s="11"/>
    </row>
    <row r="2215" customFormat="false" ht="42" hidden="false" customHeight="true" outlineLevel="0" collapsed="false">
      <c r="A2215" s="12" t="s">
        <v>2176</v>
      </c>
      <c r="B2215" s="12"/>
      <c r="C2215" s="12"/>
      <c r="D2215" s="12"/>
      <c r="E2215" s="12" t="s">
        <v>2177</v>
      </c>
      <c r="F2215" s="12"/>
      <c r="G2215" s="12"/>
      <c r="H2215" s="12"/>
    </row>
    <row r="2216" customFormat="false" ht="54.75" hidden="false" customHeight="true" outlineLevel="0" collapsed="false">
      <c r="A2216" s="12" t="s">
        <v>2178</v>
      </c>
      <c r="B2216" s="12"/>
      <c r="C2216" s="12"/>
      <c r="D2216" s="12"/>
      <c r="E2216" s="12" t="s">
        <v>2179</v>
      </c>
      <c r="F2216" s="12"/>
      <c r="G2216" s="12"/>
      <c r="H2216" s="12"/>
    </row>
    <row r="2217" customFormat="false" ht="24" hidden="false" customHeight="true" outlineLevel="0" collapsed="false">
      <c r="A2217" s="13" t="s">
        <v>2180</v>
      </c>
      <c r="B2217" s="13"/>
      <c r="C2217" s="13"/>
      <c r="D2217" s="13"/>
      <c r="E2217" s="13"/>
      <c r="F2217" s="13"/>
      <c r="G2217" s="13"/>
      <c r="H2217" s="13"/>
    </row>
    <row r="2218" customFormat="false" ht="7.5" hidden="false" customHeight="true" outlineLevel="0" collapsed="false"/>
    <row r="2219" customFormat="false" ht="24" hidden="false" customHeight="true" outlineLevel="0" collapsed="false">
      <c r="A2219" s="9" t="s">
        <v>2181</v>
      </c>
      <c r="B2219" s="9"/>
      <c r="C2219" s="9"/>
      <c r="D2219" s="9"/>
      <c r="E2219" s="9"/>
      <c r="F2219" s="9"/>
      <c r="G2219" s="9"/>
      <c r="H2219" s="9"/>
    </row>
    <row r="2220" customFormat="false" ht="42" hidden="false" customHeight="true" outlineLevel="0" collapsed="false">
      <c r="A2220" s="11" t="s">
        <v>2182</v>
      </c>
      <c r="B2220" s="11"/>
      <c r="C2220" s="11"/>
      <c r="D2220" s="11"/>
      <c r="E2220" s="11"/>
      <c r="F2220" s="11"/>
      <c r="G2220" s="11"/>
      <c r="H2220" s="11"/>
    </row>
    <row r="2221" customFormat="false" ht="33.75" hidden="false" customHeight="true" outlineLevel="0" collapsed="false">
      <c r="A2221" s="12" t="s">
        <v>2183</v>
      </c>
      <c r="B2221" s="12"/>
      <c r="C2221" s="12"/>
      <c r="D2221" s="12"/>
      <c r="E2221" s="12" t="s">
        <v>2184</v>
      </c>
      <c r="F2221" s="12"/>
      <c r="G2221" s="12"/>
      <c r="H2221" s="12"/>
    </row>
    <row r="2222" customFormat="false" ht="42" hidden="false" customHeight="true" outlineLevel="0" collapsed="false">
      <c r="A2222" s="12" t="s">
        <v>2185</v>
      </c>
      <c r="B2222" s="12"/>
      <c r="C2222" s="12"/>
      <c r="D2222" s="12"/>
      <c r="E2222" s="12" t="s">
        <v>2186</v>
      </c>
      <c r="F2222" s="12"/>
      <c r="G2222" s="12"/>
      <c r="H2222" s="12"/>
    </row>
    <row r="2223" customFormat="false" ht="24" hidden="false" customHeight="true" outlineLevel="0" collapsed="false">
      <c r="A2223" s="13" t="s">
        <v>1327</v>
      </c>
      <c r="B2223" s="13"/>
      <c r="C2223" s="13"/>
      <c r="D2223" s="13"/>
      <c r="E2223" s="13"/>
      <c r="F2223" s="13"/>
      <c r="G2223" s="13"/>
      <c r="H2223" s="13"/>
    </row>
    <row r="2224" customFormat="false" ht="7.5" hidden="false" customHeight="true" outlineLevel="0" collapsed="false"/>
    <row r="2225" customFormat="false" ht="24" hidden="false" customHeight="true" outlineLevel="0" collapsed="false">
      <c r="A2225" s="9" t="s">
        <v>2187</v>
      </c>
      <c r="B2225" s="9"/>
      <c r="C2225" s="9"/>
      <c r="D2225" s="9"/>
      <c r="E2225" s="9"/>
      <c r="F2225" s="9"/>
      <c r="G2225" s="9"/>
      <c r="H2225" s="9"/>
    </row>
    <row r="2226" customFormat="false" ht="45.75" hidden="false" customHeight="true" outlineLevel="0" collapsed="false">
      <c r="A2226" s="11" t="s">
        <v>2188</v>
      </c>
      <c r="B2226" s="11"/>
      <c r="C2226" s="11"/>
      <c r="D2226" s="11"/>
      <c r="E2226" s="11"/>
      <c r="F2226" s="11"/>
      <c r="G2226" s="11"/>
      <c r="H2226" s="11"/>
    </row>
    <row r="2227" customFormat="false" ht="67.5" hidden="false" customHeight="true" outlineLevel="0" collapsed="false">
      <c r="A2227" s="12" t="s">
        <v>2189</v>
      </c>
      <c r="B2227" s="12"/>
      <c r="C2227" s="12"/>
      <c r="D2227" s="12"/>
      <c r="E2227" s="12" t="s">
        <v>2190</v>
      </c>
      <c r="F2227" s="12"/>
      <c r="G2227" s="12"/>
      <c r="H2227" s="12"/>
    </row>
    <row r="2228" customFormat="false" ht="54.75" hidden="false" customHeight="true" outlineLevel="0" collapsed="false">
      <c r="A2228" s="12" t="s">
        <v>2191</v>
      </c>
      <c r="B2228" s="12"/>
      <c r="C2228" s="12"/>
      <c r="D2228" s="12"/>
      <c r="E2228" s="12" t="s">
        <v>2192</v>
      </c>
      <c r="F2228" s="12"/>
      <c r="G2228" s="12"/>
      <c r="H2228" s="12"/>
    </row>
    <row r="2229" customFormat="false" ht="24" hidden="false" customHeight="true" outlineLevel="0" collapsed="false">
      <c r="A2229" s="13" t="s">
        <v>1402</v>
      </c>
      <c r="B2229" s="13"/>
      <c r="C2229" s="13"/>
      <c r="D2229" s="13"/>
      <c r="E2229" s="13"/>
      <c r="F2229" s="13"/>
      <c r="G2229" s="13"/>
      <c r="H2229" s="13"/>
    </row>
    <row r="2230" customFormat="false" ht="7.5" hidden="false" customHeight="true" outlineLevel="0" collapsed="false"/>
    <row r="2231" customFormat="false" ht="24" hidden="false" customHeight="true" outlineLevel="0" collapsed="false">
      <c r="A2231" s="9" t="s">
        <v>2193</v>
      </c>
      <c r="B2231" s="9"/>
      <c r="C2231" s="9"/>
      <c r="D2231" s="9"/>
      <c r="E2231" s="9"/>
      <c r="F2231" s="9"/>
      <c r="G2231" s="9"/>
      <c r="H2231" s="9"/>
    </row>
    <row r="2232" customFormat="false" ht="42" hidden="false" customHeight="true" outlineLevel="0" collapsed="false">
      <c r="A2232" s="11" t="s">
        <v>2194</v>
      </c>
      <c r="B2232" s="11"/>
      <c r="C2232" s="11"/>
      <c r="D2232" s="11"/>
      <c r="E2232" s="11"/>
      <c r="F2232" s="11"/>
      <c r="G2232" s="11"/>
      <c r="H2232" s="11"/>
    </row>
    <row r="2233" customFormat="false" ht="33.75" hidden="false" customHeight="true" outlineLevel="0" collapsed="false">
      <c r="A2233" s="12" t="s">
        <v>2195</v>
      </c>
      <c r="B2233" s="12"/>
      <c r="C2233" s="12"/>
      <c r="D2233" s="12"/>
      <c r="E2233" s="12" t="s">
        <v>2196</v>
      </c>
      <c r="F2233" s="12"/>
      <c r="G2233" s="12"/>
      <c r="H2233" s="12"/>
    </row>
    <row r="2234" customFormat="false" ht="42" hidden="false" customHeight="true" outlineLevel="0" collapsed="false">
      <c r="A2234" s="12" t="s">
        <v>2197</v>
      </c>
      <c r="B2234" s="12"/>
      <c r="C2234" s="12"/>
      <c r="D2234" s="12"/>
      <c r="E2234" s="12" t="s">
        <v>2198</v>
      </c>
      <c r="F2234" s="12"/>
      <c r="G2234" s="12"/>
      <c r="H2234" s="12"/>
    </row>
    <row r="2235" customFormat="false" ht="24" hidden="false" customHeight="true" outlineLevel="0" collapsed="false">
      <c r="A2235" s="13" t="s">
        <v>1297</v>
      </c>
      <c r="B2235" s="13"/>
      <c r="C2235" s="13"/>
      <c r="D2235" s="13"/>
      <c r="E2235" s="13"/>
      <c r="F2235" s="13"/>
      <c r="G2235" s="13"/>
      <c r="H2235" s="13"/>
    </row>
    <row r="2236" customFormat="false" ht="7.5" hidden="false" customHeight="true" outlineLevel="0" collapsed="false"/>
    <row r="2237" customFormat="false" ht="24" hidden="false" customHeight="true" outlineLevel="0" collapsed="false">
      <c r="A2237" s="9" t="s">
        <v>2199</v>
      </c>
      <c r="B2237" s="9"/>
      <c r="C2237" s="9"/>
      <c r="D2237" s="9"/>
      <c r="E2237" s="9"/>
      <c r="F2237" s="9"/>
      <c r="G2237" s="9"/>
      <c r="H2237" s="9"/>
    </row>
    <row r="2238" customFormat="false" ht="42" hidden="false" customHeight="true" outlineLevel="0" collapsed="false">
      <c r="A2238" s="11" t="s">
        <v>2200</v>
      </c>
      <c r="B2238" s="11"/>
      <c r="C2238" s="11"/>
      <c r="D2238" s="11"/>
      <c r="E2238" s="11"/>
      <c r="F2238" s="11"/>
      <c r="G2238" s="11"/>
      <c r="H2238" s="11"/>
    </row>
    <row r="2239" customFormat="false" ht="42" hidden="false" customHeight="true" outlineLevel="0" collapsed="false">
      <c r="A2239" s="12" t="s">
        <v>2201</v>
      </c>
      <c r="B2239" s="12"/>
      <c r="C2239" s="12"/>
      <c r="D2239" s="12"/>
      <c r="E2239" s="12" t="s">
        <v>2202</v>
      </c>
      <c r="F2239" s="12"/>
      <c r="G2239" s="12"/>
      <c r="H2239" s="12"/>
    </row>
    <row r="2240" customFormat="false" ht="33.75" hidden="false" customHeight="true" outlineLevel="0" collapsed="false">
      <c r="A2240" s="12" t="s">
        <v>2203</v>
      </c>
      <c r="B2240" s="12"/>
      <c r="C2240" s="12"/>
      <c r="D2240" s="12"/>
      <c r="E2240" s="12" t="s">
        <v>608</v>
      </c>
      <c r="F2240" s="12"/>
      <c r="G2240" s="12"/>
      <c r="H2240" s="12"/>
    </row>
    <row r="2241" customFormat="false" ht="24" hidden="false" customHeight="true" outlineLevel="0" collapsed="false">
      <c r="A2241" s="13" t="s">
        <v>1276</v>
      </c>
      <c r="B2241" s="13"/>
      <c r="C2241" s="13"/>
      <c r="D2241" s="13"/>
      <c r="E2241" s="13"/>
      <c r="F2241" s="13"/>
      <c r="G2241" s="13"/>
      <c r="H2241" s="13"/>
    </row>
    <row r="2242" customFormat="false" ht="7.5" hidden="false" customHeight="true" outlineLevel="0" collapsed="false"/>
    <row r="2243" customFormat="false" ht="24" hidden="false" customHeight="true" outlineLevel="0" collapsed="false">
      <c r="A2243" s="9" t="s">
        <v>2204</v>
      </c>
      <c r="B2243" s="9"/>
      <c r="C2243" s="9"/>
      <c r="D2243" s="9"/>
      <c r="E2243" s="9"/>
      <c r="F2243" s="9"/>
      <c r="G2243" s="9"/>
      <c r="H2243" s="9"/>
    </row>
    <row r="2244" customFormat="false" ht="42" hidden="false" customHeight="true" outlineLevel="0" collapsed="false">
      <c r="A2244" s="11" t="s">
        <v>2205</v>
      </c>
      <c r="B2244" s="11"/>
      <c r="C2244" s="11"/>
      <c r="D2244" s="11"/>
      <c r="E2244" s="11"/>
      <c r="F2244" s="11"/>
      <c r="G2244" s="11"/>
      <c r="H2244" s="11"/>
    </row>
    <row r="2245" customFormat="false" ht="33.75" hidden="false" customHeight="true" outlineLevel="0" collapsed="false">
      <c r="A2245" s="12" t="s">
        <v>2206</v>
      </c>
      <c r="B2245" s="12"/>
      <c r="C2245" s="12"/>
      <c r="D2245" s="12"/>
      <c r="E2245" s="12" t="s">
        <v>2207</v>
      </c>
      <c r="F2245" s="12"/>
      <c r="G2245" s="12"/>
      <c r="H2245" s="12"/>
    </row>
    <row r="2246" customFormat="false" ht="33.75" hidden="false" customHeight="true" outlineLevel="0" collapsed="false">
      <c r="A2246" s="12" t="s">
        <v>2208</v>
      </c>
      <c r="B2246" s="12"/>
      <c r="C2246" s="12"/>
      <c r="D2246" s="12"/>
      <c r="E2246" s="12" t="s">
        <v>2209</v>
      </c>
      <c r="F2246" s="12"/>
      <c r="G2246" s="12"/>
      <c r="H2246" s="12"/>
    </row>
    <row r="2247" customFormat="false" ht="24" hidden="false" customHeight="true" outlineLevel="0" collapsed="false">
      <c r="A2247" s="13" t="s">
        <v>1340</v>
      </c>
      <c r="B2247" s="13"/>
      <c r="C2247" s="13"/>
      <c r="D2247" s="13"/>
      <c r="E2247" s="13"/>
      <c r="F2247" s="13"/>
      <c r="G2247" s="13"/>
      <c r="H2247" s="13"/>
    </row>
    <row r="2248" customFormat="false" ht="7.5" hidden="false" customHeight="true" outlineLevel="0" collapsed="false"/>
    <row r="2249" customFormat="false" ht="24" hidden="false" customHeight="true" outlineLevel="0" collapsed="false">
      <c r="A2249" s="9" t="s">
        <v>2210</v>
      </c>
      <c r="B2249" s="9"/>
      <c r="C2249" s="9"/>
      <c r="D2249" s="9"/>
      <c r="E2249" s="9"/>
      <c r="F2249" s="9"/>
      <c r="G2249" s="9"/>
      <c r="H2249" s="9"/>
    </row>
    <row r="2250" customFormat="false" ht="99.75" hidden="false" customHeight="true" outlineLevel="0" collapsed="false">
      <c r="A2250" s="10" t="s">
        <v>2211</v>
      </c>
      <c r="B2250" s="10"/>
      <c r="C2250" s="10"/>
      <c r="D2250" s="10"/>
      <c r="E2250" s="10"/>
      <c r="F2250" s="10"/>
      <c r="G2250" s="10"/>
      <c r="H2250" s="10"/>
    </row>
    <row r="2251" customFormat="false" ht="99.75" hidden="false" customHeight="true" outlineLevel="0" collapsed="false">
      <c r="A2251" s="10" t="s">
        <v>2212</v>
      </c>
      <c r="B2251" s="10"/>
      <c r="C2251" s="10"/>
      <c r="D2251" s="10"/>
      <c r="E2251" s="10"/>
      <c r="F2251" s="10"/>
      <c r="G2251" s="10"/>
      <c r="H2251" s="10"/>
    </row>
    <row r="2252" customFormat="false" ht="42" hidden="false" customHeight="true" outlineLevel="0" collapsed="false">
      <c r="A2252" s="10" t="s">
        <v>2213</v>
      </c>
      <c r="B2252" s="10"/>
      <c r="C2252" s="10"/>
      <c r="D2252" s="10"/>
      <c r="E2252" s="10"/>
      <c r="F2252" s="10"/>
      <c r="G2252" s="10"/>
      <c r="H2252" s="10"/>
    </row>
    <row r="2253" customFormat="false" ht="42" hidden="false" customHeight="true" outlineLevel="0" collapsed="false">
      <c r="A2253" s="11" t="s">
        <v>2214</v>
      </c>
      <c r="B2253" s="11"/>
      <c r="C2253" s="11"/>
      <c r="D2253" s="11"/>
      <c r="E2253" s="11"/>
      <c r="F2253" s="11"/>
      <c r="G2253" s="11"/>
      <c r="H2253" s="11"/>
    </row>
    <row r="2254" customFormat="false" ht="54.75" hidden="false" customHeight="true" outlineLevel="0" collapsed="false">
      <c r="A2254" s="12" t="s">
        <v>2215</v>
      </c>
      <c r="B2254" s="12"/>
      <c r="C2254" s="12"/>
      <c r="D2254" s="12"/>
      <c r="E2254" s="12" t="s">
        <v>2216</v>
      </c>
      <c r="F2254" s="12"/>
      <c r="G2254" s="12"/>
      <c r="H2254" s="12"/>
    </row>
    <row r="2255" customFormat="false" ht="81" hidden="false" customHeight="true" outlineLevel="0" collapsed="false">
      <c r="A2255" s="12" t="s">
        <v>2217</v>
      </c>
      <c r="B2255" s="12"/>
      <c r="C2255" s="12"/>
      <c r="D2255" s="12"/>
      <c r="E2255" s="12" t="s">
        <v>2218</v>
      </c>
      <c r="F2255" s="12"/>
      <c r="G2255" s="12"/>
      <c r="H2255" s="12"/>
    </row>
    <row r="2256" customFormat="false" ht="24" hidden="false" customHeight="true" outlineLevel="0" collapsed="false">
      <c r="A2256" s="13" t="s">
        <v>2219</v>
      </c>
      <c r="B2256" s="13"/>
      <c r="C2256" s="13"/>
      <c r="D2256" s="13"/>
      <c r="E2256" s="13"/>
      <c r="F2256" s="13"/>
      <c r="G2256" s="13"/>
      <c r="H2256" s="13"/>
    </row>
    <row r="2257" customFormat="false" ht="7.5" hidden="false" customHeight="true" outlineLevel="0" collapsed="false"/>
    <row r="2258" customFormat="false" ht="24" hidden="false" customHeight="true" outlineLevel="0" collapsed="false">
      <c r="A2258" s="9" t="s">
        <v>2220</v>
      </c>
      <c r="B2258" s="9"/>
      <c r="C2258" s="9"/>
      <c r="D2258" s="9"/>
      <c r="E2258" s="9"/>
      <c r="F2258" s="9"/>
      <c r="G2258" s="9"/>
      <c r="H2258" s="9"/>
    </row>
    <row r="2259" customFormat="false" ht="42" hidden="false" customHeight="true" outlineLevel="0" collapsed="false">
      <c r="A2259" s="11" t="s">
        <v>2221</v>
      </c>
      <c r="B2259" s="11"/>
      <c r="C2259" s="11"/>
      <c r="D2259" s="11"/>
      <c r="E2259" s="11"/>
      <c r="F2259" s="11"/>
      <c r="G2259" s="11"/>
      <c r="H2259" s="11"/>
    </row>
    <row r="2260" customFormat="false" ht="54.75" hidden="false" customHeight="true" outlineLevel="0" collapsed="false">
      <c r="A2260" s="12" t="s">
        <v>2222</v>
      </c>
      <c r="B2260" s="12"/>
      <c r="C2260" s="12"/>
      <c r="D2260" s="12"/>
      <c r="E2260" s="12" t="s">
        <v>2223</v>
      </c>
      <c r="F2260" s="12"/>
      <c r="G2260" s="12"/>
      <c r="H2260" s="12"/>
    </row>
    <row r="2261" customFormat="false" ht="54.75" hidden="false" customHeight="true" outlineLevel="0" collapsed="false">
      <c r="A2261" s="12" t="s">
        <v>2224</v>
      </c>
      <c r="B2261" s="12"/>
      <c r="C2261" s="12"/>
      <c r="D2261" s="12"/>
      <c r="E2261" s="12" t="s">
        <v>2225</v>
      </c>
      <c r="F2261" s="12"/>
      <c r="G2261" s="12"/>
      <c r="H2261" s="12"/>
    </row>
    <row r="2262" customFormat="false" ht="24" hidden="false" customHeight="true" outlineLevel="0" collapsed="false">
      <c r="A2262" s="13" t="s">
        <v>1495</v>
      </c>
      <c r="B2262" s="13"/>
      <c r="C2262" s="13"/>
      <c r="D2262" s="13"/>
      <c r="E2262" s="13"/>
      <c r="F2262" s="13"/>
      <c r="G2262" s="13"/>
      <c r="H2262" s="13"/>
    </row>
    <row r="2263" customFormat="false" ht="7.5" hidden="false" customHeight="true" outlineLevel="0" collapsed="false"/>
    <row r="2264" customFormat="false" ht="24" hidden="false" customHeight="true" outlineLevel="0" collapsed="false">
      <c r="A2264" s="9" t="s">
        <v>2226</v>
      </c>
      <c r="B2264" s="9"/>
      <c r="C2264" s="9"/>
      <c r="D2264" s="9"/>
      <c r="E2264" s="9"/>
      <c r="F2264" s="9"/>
      <c r="G2264" s="9"/>
      <c r="H2264" s="9"/>
    </row>
    <row r="2265" customFormat="false" ht="42" hidden="false" customHeight="true" outlineLevel="0" collapsed="false">
      <c r="A2265" s="11" t="s">
        <v>2227</v>
      </c>
      <c r="B2265" s="11"/>
      <c r="C2265" s="11"/>
      <c r="D2265" s="11"/>
      <c r="E2265" s="11"/>
      <c r="F2265" s="11"/>
      <c r="G2265" s="11"/>
      <c r="H2265" s="11"/>
    </row>
    <row r="2266" customFormat="false" ht="33.75" hidden="false" customHeight="true" outlineLevel="0" collapsed="false">
      <c r="A2266" s="12" t="s">
        <v>2228</v>
      </c>
      <c r="B2266" s="12"/>
      <c r="C2266" s="12"/>
      <c r="D2266" s="12"/>
      <c r="E2266" s="12" t="s">
        <v>2229</v>
      </c>
      <c r="F2266" s="12"/>
      <c r="G2266" s="12"/>
      <c r="H2266" s="12"/>
    </row>
    <row r="2267" customFormat="false" ht="33.75" hidden="false" customHeight="true" outlineLevel="0" collapsed="false">
      <c r="A2267" s="12" t="s">
        <v>2230</v>
      </c>
      <c r="B2267" s="12"/>
      <c r="C2267" s="12"/>
      <c r="D2267" s="12"/>
      <c r="E2267" s="12" t="s">
        <v>2231</v>
      </c>
      <c r="F2267" s="12"/>
      <c r="G2267" s="12"/>
      <c r="H2267" s="12"/>
    </row>
    <row r="2268" customFormat="false" ht="24" hidden="false" customHeight="true" outlineLevel="0" collapsed="false">
      <c r="A2268" s="13" t="s">
        <v>1924</v>
      </c>
      <c r="B2268" s="13"/>
      <c r="C2268" s="13"/>
      <c r="D2268" s="13"/>
      <c r="E2268" s="13"/>
      <c r="F2268" s="13"/>
      <c r="G2268" s="13"/>
      <c r="H2268" s="13"/>
    </row>
    <row r="2269" customFormat="false" ht="7.5" hidden="false" customHeight="true" outlineLevel="0" collapsed="false"/>
    <row r="2270" customFormat="false" ht="24" hidden="false" customHeight="true" outlineLevel="0" collapsed="false">
      <c r="A2270" s="9" t="s">
        <v>2232</v>
      </c>
      <c r="B2270" s="9"/>
      <c r="C2270" s="9"/>
      <c r="D2270" s="9"/>
      <c r="E2270" s="9"/>
      <c r="F2270" s="9"/>
      <c r="G2270" s="9"/>
      <c r="H2270" s="9"/>
    </row>
    <row r="2271" customFormat="false" ht="45.75" hidden="false" customHeight="true" outlineLevel="0" collapsed="false">
      <c r="A2271" s="11" t="s">
        <v>2233</v>
      </c>
      <c r="B2271" s="11"/>
      <c r="C2271" s="11"/>
      <c r="D2271" s="11"/>
      <c r="E2271" s="11"/>
      <c r="F2271" s="11"/>
      <c r="G2271" s="11"/>
      <c r="H2271" s="11"/>
    </row>
    <row r="2272" customFormat="false" ht="33.75" hidden="false" customHeight="true" outlineLevel="0" collapsed="false">
      <c r="A2272" s="12" t="s">
        <v>2234</v>
      </c>
      <c r="B2272" s="12"/>
      <c r="C2272" s="12"/>
      <c r="D2272" s="12"/>
      <c r="E2272" s="12" t="s">
        <v>2235</v>
      </c>
      <c r="F2272" s="12"/>
      <c r="G2272" s="12"/>
      <c r="H2272" s="12"/>
    </row>
    <row r="2273" customFormat="false" ht="42" hidden="false" customHeight="true" outlineLevel="0" collapsed="false">
      <c r="A2273" s="12" t="s">
        <v>2236</v>
      </c>
      <c r="B2273" s="12"/>
      <c r="C2273" s="12"/>
      <c r="D2273" s="12"/>
      <c r="E2273" s="12" t="s">
        <v>2237</v>
      </c>
      <c r="F2273" s="12"/>
      <c r="G2273" s="12"/>
      <c r="H2273" s="12"/>
    </row>
    <row r="2274" customFormat="false" ht="24" hidden="false" customHeight="true" outlineLevel="0" collapsed="false">
      <c r="A2274" s="13" t="s">
        <v>1297</v>
      </c>
      <c r="B2274" s="13"/>
      <c r="C2274" s="13"/>
      <c r="D2274" s="13"/>
      <c r="E2274" s="13"/>
      <c r="F2274" s="13"/>
      <c r="G2274" s="13"/>
      <c r="H2274" s="13"/>
    </row>
    <row r="2275" customFormat="false" ht="7.5" hidden="false" customHeight="true" outlineLevel="0" collapsed="false"/>
    <row r="2276" customFormat="false" ht="24" hidden="false" customHeight="true" outlineLevel="0" collapsed="false">
      <c r="A2276" s="9" t="s">
        <v>2238</v>
      </c>
      <c r="B2276" s="9"/>
      <c r="C2276" s="9"/>
      <c r="D2276" s="9"/>
      <c r="E2276" s="9"/>
      <c r="F2276" s="9"/>
      <c r="G2276" s="9"/>
      <c r="H2276" s="9"/>
    </row>
    <row r="2277" customFormat="false" ht="42" hidden="false" customHeight="true" outlineLevel="0" collapsed="false">
      <c r="A2277" s="11" t="s">
        <v>2239</v>
      </c>
      <c r="B2277" s="11"/>
      <c r="C2277" s="11"/>
      <c r="D2277" s="11"/>
      <c r="E2277" s="11"/>
      <c r="F2277" s="11"/>
      <c r="G2277" s="11"/>
      <c r="H2277" s="11"/>
    </row>
    <row r="2278" customFormat="false" ht="54.75" hidden="false" customHeight="true" outlineLevel="0" collapsed="false">
      <c r="A2278" s="12" t="s">
        <v>2240</v>
      </c>
      <c r="B2278" s="12"/>
      <c r="C2278" s="12"/>
      <c r="D2278" s="12"/>
      <c r="E2278" s="12" t="s">
        <v>2241</v>
      </c>
      <c r="F2278" s="12"/>
      <c r="G2278" s="12"/>
      <c r="H2278" s="12"/>
    </row>
    <row r="2279" customFormat="false" ht="81" hidden="false" customHeight="true" outlineLevel="0" collapsed="false">
      <c r="A2279" s="12" t="s">
        <v>2242</v>
      </c>
      <c r="B2279" s="12"/>
      <c r="C2279" s="12"/>
      <c r="D2279" s="12"/>
      <c r="E2279" s="12" t="s">
        <v>2243</v>
      </c>
      <c r="F2279" s="12"/>
      <c r="G2279" s="12"/>
      <c r="H2279" s="12"/>
    </row>
    <row r="2280" customFormat="false" ht="24" hidden="false" customHeight="true" outlineLevel="0" collapsed="false">
      <c r="A2280" s="13" t="s">
        <v>1861</v>
      </c>
      <c r="B2280" s="13"/>
      <c r="C2280" s="13"/>
      <c r="D2280" s="13"/>
      <c r="E2280" s="13"/>
      <c r="F2280" s="13"/>
      <c r="G2280" s="13"/>
      <c r="H2280" s="13"/>
    </row>
    <row r="2281" customFormat="false" ht="7.5" hidden="false" customHeight="true" outlineLevel="0" collapsed="false"/>
    <row r="2282" customFormat="false" ht="24" hidden="false" customHeight="true" outlineLevel="0" collapsed="false">
      <c r="A2282" s="9" t="s">
        <v>2244</v>
      </c>
      <c r="B2282" s="9"/>
      <c r="C2282" s="9"/>
      <c r="D2282" s="9"/>
      <c r="E2282" s="9"/>
      <c r="F2282" s="9"/>
      <c r="G2282" s="9"/>
      <c r="H2282" s="9"/>
    </row>
    <row r="2283" customFormat="false" ht="45.75" hidden="false" customHeight="true" outlineLevel="0" collapsed="false">
      <c r="A2283" s="11" t="s">
        <v>2245</v>
      </c>
      <c r="B2283" s="11"/>
      <c r="C2283" s="11"/>
      <c r="D2283" s="11"/>
      <c r="E2283" s="11"/>
      <c r="F2283" s="11"/>
      <c r="G2283" s="11"/>
      <c r="H2283" s="11"/>
    </row>
    <row r="2284" customFormat="false" ht="33.75" hidden="false" customHeight="true" outlineLevel="0" collapsed="false">
      <c r="A2284" s="12" t="s">
        <v>2246</v>
      </c>
      <c r="B2284" s="12"/>
      <c r="C2284" s="12"/>
      <c r="D2284" s="12"/>
      <c r="E2284" s="12" t="s">
        <v>2247</v>
      </c>
      <c r="F2284" s="12"/>
      <c r="G2284" s="12"/>
      <c r="H2284" s="12"/>
    </row>
    <row r="2285" customFormat="false" ht="33.75" hidden="false" customHeight="true" outlineLevel="0" collapsed="false">
      <c r="A2285" s="12" t="s">
        <v>2248</v>
      </c>
      <c r="B2285" s="12"/>
      <c r="C2285" s="12"/>
      <c r="D2285" s="12"/>
      <c r="E2285" s="12" t="s">
        <v>1473</v>
      </c>
      <c r="F2285" s="12"/>
      <c r="G2285" s="12"/>
      <c r="H2285" s="12"/>
    </row>
    <row r="2286" customFormat="false" ht="24" hidden="false" customHeight="true" outlineLevel="0" collapsed="false">
      <c r="A2286" s="13" t="s">
        <v>1340</v>
      </c>
      <c r="B2286" s="13"/>
      <c r="C2286" s="13"/>
      <c r="D2286" s="13"/>
      <c r="E2286" s="13"/>
      <c r="F2286" s="13"/>
      <c r="G2286" s="13"/>
      <c r="H2286" s="13"/>
    </row>
    <row r="2287" customFormat="false" ht="7.5" hidden="false" customHeight="true" outlineLevel="0" collapsed="false"/>
    <row r="2288" customFormat="false" ht="24" hidden="false" customHeight="true" outlineLevel="0" collapsed="false">
      <c r="A2288" s="9" t="s">
        <v>2249</v>
      </c>
      <c r="B2288" s="9"/>
      <c r="C2288" s="9"/>
      <c r="D2288" s="9"/>
      <c r="E2288" s="9"/>
      <c r="F2288" s="9"/>
      <c r="G2288" s="9"/>
      <c r="H2288" s="9"/>
    </row>
    <row r="2289" customFormat="false" ht="45.75" hidden="false" customHeight="true" outlineLevel="0" collapsed="false">
      <c r="A2289" s="11" t="s">
        <v>2250</v>
      </c>
      <c r="B2289" s="11"/>
      <c r="C2289" s="11"/>
      <c r="D2289" s="11"/>
      <c r="E2289" s="11"/>
      <c r="F2289" s="11"/>
      <c r="G2289" s="11"/>
      <c r="H2289" s="11"/>
    </row>
    <row r="2290" customFormat="false" ht="33.75" hidden="false" customHeight="true" outlineLevel="0" collapsed="false">
      <c r="A2290" s="12" t="s">
        <v>2251</v>
      </c>
      <c r="B2290" s="12"/>
      <c r="C2290" s="12"/>
      <c r="D2290" s="12"/>
      <c r="E2290" s="12" t="s">
        <v>2252</v>
      </c>
      <c r="F2290" s="12"/>
      <c r="G2290" s="12"/>
      <c r="H2290" s="12"/>
    </row>
    <row r="2291" customFormat="false" ht="42" hidden="false" customHeight="true" outlineLevel="0" collapsed="false">
      <c r="A2291" s="12" t="s">
        <v>2253</v>
      </c>
      <c r="B2291" s="12"/>
      <c r="C2291" s="12"/>
      <c r="D2291" s="12"/>
      <c r="E2291" s="12" t="s">
        <v>2254</v>
      </c>
      <c r="F2291" s="12"/>
      <c r="G2291" s="12"/>
      <c r="H2291" s="12"/>
    </row>
    <row r="2292" customFormat="false" ht="24" hidden="false" customHeight="true" outlineLevel="0" collapsed="false">
      <c r="A2292" s="13" t="s">
        <v>1327</v>
      </c>
      <c r="B2292" s="13"/>
      <c r="C2292" s="13"/>
      <c r="D2292" s="13"/>
      <c r="E2292" s="13"/>
      <c r="F2292" s="13"/>
      <c r="G2292" s="13"/>
      <c r="H2292" s="13"/>
    </row>
    <row r="2293" customFormat="false" ht="7.5" hidden="false" customHeight="true" outlineLevel="0" collapsed="false"/>
    <row r="2294" customFormat="false" ht="24" hidden="false" customHeight="true" outlineLevel="0" collapsed="false">
      <c r="A2294" s="9" t="s">
        <v>2255</v>
      </c>
      <c r="B2294" s="9"/>
      <c r="C2294" s="9"/>
      <c r="D2294" s="9"/>
      <c r="E2294" s="9"/>
      <c r="F2294" s="9"/>
      <c r="G2294" s="9"/>
      <c r="H2294" s="9"/>
    </row>
    <row r="2295" customFormat="false" ht="99.75" hidden="false" customHeight="true" outlineLevel="0" collapsed="false">
      <c r="A2295" s="10" t="s">
        <v>1354</v>
      </c>
      <c r="B2295" s="10"/>
      <c r="C2295" s="10"/>
      <c r="D2295" s="10"/>
      <c r="E2295" s="10"/>
      <c r="F2295" s="10"/>
      <c r="G2295" s="10"/>
      <c r="H2295" s="10"/>
    </row>
    <row r="2296" customFormat="false" ht="99.75" hidden="false" customHeight="true" outlineLevel="0" collapsed="false">
      <c r="A2296" s="10" t="s">
        <v>1355</v>
      </c>
      <c r="B2296" s="10"/>
      <c r="C2296" s="10"/>
      <c r="D2296" s="10"/>
      <c r="E2296" s="10"/>
      <c r="F2296" s="10"/>
      <c r="G2296" s="10"/>
      <c r="H2296" s="10"/>
    </row>
    <row r="2297" customFormat="false" ht="60.75" hidden="false" customHeight="true" outlineLevel="0" collapsed="false">
      <c r="A2297" s="10" t="s">
        <v>1356</v>
      </c>
      <c r="B2297" s="10"/>
      <c r="C2297" s="10"/>
      <c r="D2297" s="10"/>
      <c r="E2297" s="10"/>
      <c r="F2297" s="10"/>
      <c r="G2297" s="10"/>
      <c r="H2297" s="10"/>
    </row>
    <row r="2298" customFormat="false" ht="73.5" hidden="false" customHeight="true" outlineLevel="0" collapsed="false">
      <c r="A2298" s="11" t="s">
        <v>2256</v>
      </c>
      <c r="B2298" s="11"/>
      <c r="C2298" s="11"/>
      <c r="D2298" s="11"/>
      <c r="E2298" s="11"/>
      <c r="F2298" s="11"/>
      <c r="G2298" s="11"/>
      <c r="H2298" s="11"/>
    </row>
    <row r="2299" customFormat="false" ht="54.75" hidden="false" customHeight="true" outlineLevel="0" collapsed="false">
      <c r="A2299" s="12" t="s">
        <v>2257</v>
      </c>
      <c r="B2299" s="12"/>
      <c r="C2299" s="12"/>
      <c r="D2299" s="12"/>
      <c r="E2299" s="12" t="s">
        <v>2258</v>
      </c>
      <c r="F2299" s="12"/>
      <c r="G2299" s="12"/>
      <c r="H2299" s="12"/>
    </row>
    <row r="2300" customFormat="false" ht="42" hidden="false" customHeight="true" outlineLevel="0" collapsed="false">
      <c r="A2300" s="12" t="s">
        <v>2259</v>
      </c>
      <c r="B2300" s="12"/>
      <c r="C2300" s="12"/>
      <c r="D2300" s="12"/>
      <c r="E2300" s="12" t="s">
        <v>2260</v>
      </c>
      <c r="F2300" s="12"/>
      <c r="G2300" s="12"/>
      <c r="H2300" s="12"/>
    </row>
    <row r="2301" customFormat="false" ht="24" hidden="false" customHeight="true" outlineLevel="0" collapsed="false">
      <c r="A2301" s="13" t="s">
        <v>2261</v>
      </c>
      <c r="B2301" s="13"/>
      <c r="C2301" s="13"/>
      <c r="D2301" s="13"/>
      <c r="E2301" s="13"/>
      <c r="F2301" s="13"/>
      <c r="G2301" s="13"/>
      <c r="H2301" s="13"/>
    </row>
    <row r="2302" customFormat="false" ht="7.5" hidden="false" customHeight="true" outlineLevel="0" collapsed="false"/>
    <row r="2303" customFormat="false" ht="24" hidden="false" customHeight="true" outlineLevel="0" collapsed="false">
      <c r="A2303" s="9" t="s">
        <v>2262</v>
      </c>
      <c r="B2303" s="9"/>
      <c r="C2303" s="9"/>
      <c r="D2303" s="9"/>
      <c r="E2303" s="9"/>
      <c r="F2303" s="9"/>
      <c r="G2303" s="9"/>
      <c r="H2303" s="9"/>
    </row>
    <row r="2304" customFormat="false" ht="45.75" hidden="false" customHeight="true" outlineLevel="0" collapsed="false">
      <c r="A2304" s="11" t="s">
        <v>2263</v>
      </c>
      <c r="B2304" s="11"/>
      <c r="C2304" s="11"/>
      <c r="D2304" s="11"/>
      <c r="E2304" s="11"/>
      <c r="F2304" s="11"/>
      <c r="G2304" s="11"/>
      <c r="H2304" s="11"/>
    </row>
    <row r="2305" customFormat="false" ht="81" hidden="false" customHeight="true" outlineLevel="0" collapsed="false">
      <c r="A2305" s="12" t="s">
        <v>2264</v>
      </c>
      <c r="B2305" s="12"/>
      <c r="C2305" s="12"/>
      <c r="D2305" s="12"/>
      <c r="E2305" s="12" t="s">
        <v>2265</v>
      </c>
      <c r="F2305" s="12"/>
      <c r="G2305" s="12"/>
      <c r="H2305" s="12"/>
    </row>
    <row r="2306" customFormat="false" ht="42" hidden="false" customHeight="true" outlineLevel="0" collapsed="false">
      <c r="A2306" s="12" t="s">
        <v>2266</v>
      </c>
      <c r="B2306" s="12"/>
      <c r="C2306" s="12"/>
      <c r="D2306" s="12"/>
      <c r="E2306" s="12" t="s">
        <v>2267</v>
      </c>
      <c r="F2306" s="12"/>
      <c r="G2306" s="12"/>
      <c r="H2306" s="12"/>
    </row>
    <row r="2307" customFormat="false" ht="24" hidden="false" customHeight="true" outlineLevel="0" collapsed="false">
      <c r="A2307" s="13" t="s">
        <v>1924</v>
      </c>
      <c r="B2307" s="13"/>
      <c r="C2307" s="13"/>
      <c r="D2307" s="13"/>
      <c r="E2307" s="13"/>
      <c r="F2307" s="13"/>
      <c r="G2307" s="13"/>
      <c r="H2307" s="13"/>
    </row>
    <row r="2308" customFormat="false" ht="7.5" hidden="false" customHeight="true" outlineLevel="0" collapsed="false"/>
    <row r="2309" customFormat="false" ht="24" hidden="false" customHeight="true" outlineLevel="0" collapsed="false">
      <c r="A2309" s="9" t="s">
        <v>2268</v>
      </c>
      <c r="B2309" s="9"/>
      <c r="C2309" s="9"/>
      <c r="D2309" s="9"/>
      <c r="E2309" s="9"/>
      <c r="F2309" s="9"/>
      <c r="G2309" s="9"/>
      <c r="H2309" s="9"/>
    </row>
    <row r="2310" customFormat="false" ht="60" hidden="false" customHeight="true" outlineLevel="0" collapsed="false">
      <c r="A2310" s="11" t="s">
        <v>2269</v>
      </c>
      <c r="B2310" s="11"/>
      <c r="C2310" s="11"/>
      <c r="D2310" s="11"/>
      <c r="E2310" s="11"/>
      <c r="F2310" s="11"/>
      <c r="G2310" s="11"/>
      <c r="H2310" s="11"/>
    </row>
    <row r="2311" customFormat="false" ht="42" hidden="false" customHeight="true" outlineLevel="0" collapsed="false">
      <c r="A2311" s="12" t="s">
        <v>2270</v>
      </c>
      <c r="B2311" s="12"/>
      <c r="C2311" s="12"/>
      <c r="D2311" s="12"/>
      <c r="E2311" s="12" t="s">
        <v>2271</v>
      </c>
      <c r="F2311" s="12"/>
      <c r="G2311" s="12"/>
      <c r="H2311" s="12"/>
    </row>
    <row r="2312" customFormat="false" ht="54.75" hidden="false" customHeight="true" outlineLevel="0" collapsed="false">
      <c r="A2312" s="12" t="s">
        <v>2272</v>
      </c>
      <c r="B2312" s="12"/>
      <c r="C2312" s="12"/>
      <c r="D2312" s="12"/>
      <c r="E2312" s="12" t="s">
        <v>2273</v>
      </c>
      <c r="F2312" s="12"/>
      <c r="G2312" s="12"/>
      <c r="H2312" s="12"/>
    </row>
    <row r="2313" customFormat="false" ht="24" hidden="false" customHeight="true" outlineLevel="0" collapsed="false">
      <c r="A2313" s="13" t="s">
        <v>1515</v>
      </c>
      <c r="B2313" s="13"/>
      <c r="C2313" s="13"/>
      <c r="D2313" s="13"/>
      <c r="E2313" s="13"/>
      <c r="F2313" s="13"/>
      <c r="G2313" s="13"/>
      <c r="H2313" s="13"/>
    </row>
    <row r="2314" customFormat="false" ht="7.5" hidden="false" customHeight="true" outlineLevel="0" collapsed="false"/>
    <row r="2315" customFormat="false" ht="24" hidden="false" customHeight="true" outlineLevel="0" collapsed="false">
      <c r="A2315" s="9" t="s">
        <v>2274</v>
      </c>
      <c r="B2315" s="9"/>
      <c r="C2315" s="9"/>
      <c r="D2315" s="9"/>
      <c r="E2315" s="9"/>
      <c r="F2315" s="9"/>
      <c r="G2315" s="9"/>
      <c r="H2315" s="9"/>
    </row>
    <row r="2316" customFormat="false" ht="42" hidden="false" customHeight="true" outlineLevel="0" collapsed="false">
      <c r="A2316" s="11" t="s">
        <v>2275</v>
      </c>
      <c r="B2316" s="11"/>
      <c r="C2316" s="11"/>
      <c r="D2316" s="11"/>
      <c r="E2316" s="11"/>
      <c r="F2316" s="11"/>
      <c r="G2316" s="11"/>
      <c r="H2316" s="11"/>
    </row>
    <row r="2317" customFormat="false" ht="33.75" hidden="false" customHeight="true" outlineLevel="0" collapsed="false">
      <c r="A2317" s="12" t="s">
        <v>2276</v>
      </c>
      <c r="B2317" s="12"/>
      <c r="C2317" s="12"/>
      <c r="D2317" s="12"/>
      <c r="E2317" s="12" t="s">
        <v>2277</v>
      </c>
      <c r="F2317" s="12"/>
      <c r="G2317" s="12"/>
      <c r="H2317" s="12"/>
    </row>
    <row r="2318" customFormat="false" ht="42" hidden="false" customHeight="true" outlineLevel="0" collapsed="false">
      <c r="A2318" s="12" t="s">
        <v>2278</v>
      </c>
      <c r="B2318" s="12"/>
      <c r="C2318" s="12"/>
      <c r="D2318" s="12"/>
      <c r="E2318" s="12" t="s">
        <v>2279</v>
      </c>
      <c r="F2318" s="12"/>
      <c r="G2318" s="12"/>
      <c r="H2318" s="12"/>
    </row>
    <row r="2319" customFormat="false" ht="24" hidden="false" customHeight="true" outlineLevel="0" collapsed="false">
      <c r="A2319" s="13" t="s">
        <v>1546</v>
      </c>
      <c r="B2319" s="13"/>
      <c r="C2319" s="13"/>
      <c r="D2319" s="13"/>
      <c r="E2319" s="13"/>
      <c r="F2319" s="13"/>
      <c r="G2319" s="13"/>
      <c r="H2319" s="13"/>
    </row>
    <row r="2320" customFormat="false" ht="7.5" hidden="false" customHeight="true" outlineLevel="0" collapsed="false"/>
    <row r="2321" customFormat="false" ht="24" hidden="false" customHeight="true" outlineLevel="0" collapsed="false">
      <c r="A2321" s="9" t="s">
        <v>2280</v>
      </c>
      <c r="B2321" s="9"/>
      <c r="C2321" s="9"/>
      <c r="D2321" s="9"/>
      <c r="E2321" s="9"/>
      <c r="F2321" s="9"/>
      <c r="G2321" s="9"/>
      <c r="H2321" s="9"/>
    </row>
    <row r="2322" customFormat="false" ht="42" hidden="false" customHeight="true" outlineLevel="0" collapsed="false">
      <c r="A2322" s="11" t="s">
        <v>2281</v>
      </c>
      <c r="B2322" s="11"/>
      <c r="C2322" s="11"/>
      <c r="D2322" s="11"/>
      <c r="E2322" s="11"/>
      <c r="F2322" s="11"/>
      <c r="G2322" s="11"/>
      <c r="H2322" s="11"/>
    </row>
    <row r="2323" customFormat="false" ht="33.75" hidden="false" customHeight="true" outlineLevel="0" collapsed="false">
      <c r="A2323" s="12" t="s">
        <v>2282</v>
      </c>
      <c r="B2323" s="12"/>
      <c r="C2323" s="12"/>
      <c r="D2323" s="12"/>
      <c r="E2323" s="12" t="s">
        <v>2283</v>
      </c>
      <c r="F2323" s="12"/>
      <c r="G2323" s="12"/>
      <c r="H2323" s="12"/>
    </row>
    <row r="2324" customFormat="false" ht="33.75" hidden="false" customHeight="true" outlineLevel="0" collapsed="false">
      <c r="A2324" s="12" t="s">
        <v>2284</v>
      </c>
      <c r="B2324" s="12"/>
      <c r="C2324" s="12"/>
      <c r="D2324" s="12"/>
      <c r="E2324" s="12" t="s">
        <v>2285</v>
      </c>
      <c r="F2324" s="12"/>
      <c r="G2324" s="12"/>
      <c r="H2324" s="12"/>
    </row>
    <row r="2325" customFormat="false" ht="24" hidden="false" customHeight="true" outlineLevel="0" collapsed="false">
      <c r="A2325" s="13" t="s">
        <v>1515</v>
      </c>
      <c r="B2325" s="13"/>
      <c r="C2325" s="13"/>
      <c r="D2325" s="13"/>
      <c r="E2325" s="13"/>
      <c r="F2325" s="13"/>
      <c r="G2325" s="13"/>
      <c r="H2325" s="13"/>
    </row>
    <row r="2326" customFormat="false" ht="7.5" hidden="false" customHeight="true" outlineLevel="0" collapsed="false"/>
    <row r="2327" customFormat="false" ht="24" hidden="false" customHeight="true" outlineLevel="0" collapsed="false">
      <c r="A2327" s="9" t="s">
        <v>2286</v>
      </c>
      <c r="B2327" s="9"/>
      <c r="C2327" s="9"/>
      <c r="D2327" s="9"/>
      <c r="E2327" s="9"/>
      <c r="F2327" s="9"/>
      <c r="G2327" s="9"/>
      <c r="H2327" s="9"/>
    </row>
    <row r="2328" customFormat="false" ht="42" hidden="false" customHeight="true" outlineLevel="0" collapsed="false">
      <c r="A2328" s="11" t="s">
        <v>2287</v>
      </c>
      <c r="B2328" s="11"/>
      <c r="C2328" s="11"/>
      <c r="D2328" s="11"/>
      <c r="E2328" s="11"/>
      <c r="F2328" s="11"/>
      <c r="G2328" s="11"/>
      <c r="H2328" s="11"/>
    </row>
    <row r="2329" customFormat="false" ht="54.75" hidden="false" customHeight="true" outlineLevel="0" collapsed="false">
      <c r="A2329" s="12" t="s">
        <v>2288</v>
      </c>
      <c r="B2329" s="12"/>
      <c r="C2329" s="12"/>
      <c r="D2329" s="12"/>
      <c r="E2329" s="12" t="s">
        <v>2289</v>
      </c>
      <c r="F2329" s="12"/>
      <c r="G2329" s="12"/>
      <c r="H2329" s="12"/>
    </row>
    <row r="2330" customFormat="false" ht="54.75" hidden="false" customHeight="true" outlineLevel="0" collapsed="false">
      <c r="A2330" s="12" t="s">
        <v>2290</v>
      </c>
      <c r="B2330" s="12"/>
      <c r="C2330" s="12"/>
      <c r="D2330" s="12"/>
      <c r="E2330" s="12" t="s">
        <v>2291</v>
      </c>
      <c r="F2330" s="12"/>
      <c r="G2330" s="12"/>
      <c r="H2330" s="12"/>
    </row>
    <row r="2331" customFormat="false" ht="24" hidden="false" customHeight="true" outlineLevel="0" collapsed="false">
      <c r="A2331" s="13" t="s">
        <v>1589</v>
      </c>
      <c r="B2331" s="13"/>
      <c r="C2331" s="13"/>
      <c r="D2331" s="13"/>
      <c r="E2331" s="13"/>
      <c r="F2331" s="13"/>
      <c r="G2331" s="13"/>
      <c r="H2331" s="13"/>
    </row>
    <row r="2332" customFormat="false" ht="7.5" hidden="false" customHeight="true" outlineLevel="0" collapsed="false"/>
    <row r="2333" customFormat="false" ht="24" hidden="false" customHeight="true" outlineLevel="0" collapsed="false">
      <c r="A2333" s="9" t="s">
        <v>2292</v>
      </c>
      <c r="B2333" s="9"/>
      <c r="C2333" s="9"/>
      <c r="D2333" s="9"/>
      <c r="E2333" s="9"/>
      <c r="F2333" s="9"/>
      <c r="G2333" s="9"/>
      <c r="H2333" s="9"/>
    </row>
    <row r="2334" customFormat="false" ht="42" hidden="false" customHeight="true" outlineLevel="0" collapsed="false">
      <c r="A2334" s="11" t="s">
        <v>2293</v>
      </c>
      <c r="B2334" s="11"/>
      <c r="C2334" s="11"/>
      <c r="D2334" s="11"/>
      <c r="E2334" s="11"/>
      <c r="F2334" s="11"/>
      <c r="G2334" s="11"/>
      <c r="H2334" s="11"/>
    </row>
    <row r="2335" customFormat="false" ht="33.75" hidden="false" customHeight="true" outlineLevel="0" collapsed="false">
      <c r="A2335" s="12" t="s">
        <v>2294</v>
      </c>
      <c r="B2335" s="12"/>
      <c r="C2335" s="12"/>
      <c r="D2335" s="12"/>
      <c r="E2335" s="12" t="s">
        <v>2295</v>
      </c>
      <c r="F2335" s="12"/>
      <c r="G2335" s="12"/>
      <c r="H2335" s="12"/>
    </row>
    <row r="2336" customFormat="false" ht="33.75" hidden="false" customHeight="true" outlineLevel="0" collapsed="false">
      <c r="A2336" s="12" t="s">
        <v>2296</v>
      </c>
      <c r="B2336" s="12"/>
      <c r="C2336" s="12"/>
      <c r="D2336" s="12"/>
      <c r="E2336" s="12" t="s">
        <v>2297</v>
      </c>
      <c r="F2336" s="12"/>
      <c r="G2336" s="12"/>
      <c r="H2336" s="12"/>
    </row>
    <row r="2337" customFormat="false" ht="24" hidden="false" customHeight="true" outlineLevel="0" collapsed="false">
      <c r="A2337" s="13" t="s">
        <v>1304</v>
      </c>
      <c r="B2337" s="13"/>
      <c r="C2337" s="13"/>
      <c r="D2337" s="13"/>
      <c r="E2337" s="13"/>
      <c r="F2337" s="13"/>
      <c r="G2337" s="13"/>
      <c r="H2337" s="13"/>
    </row>
    <row r="2338" customFormat="false" ht="7.5" hidden="false" customHeight="true" outlineLevel="0" collapsed="false"/>
    <row r="2339" customFormat="false" ht="24" hidden="false" customHeight="true" outlineLevel="0" collapsed="false">
      <c r="A2339" s="9" t="s">
        <v>2298</v>
      </c>
      <c r="B2339" s="9"/>
      <c r="C2339" s="9"/>
      <c r="D2339" s="9"/>
      <c r="E2339" s="9"/>
      <c r="F2339" s="9"/>
      <c r="G2339" s="9"/>
      <c r="H2339" s="9"/>
    </row>
    <row r="2340" customFormat="false" ht="45.75" hidden="false" customHeight="true" outlineLevel="0" collapsed="false">
      <c r="A2340" s="11" t="s">
        <v>2299</v>
      </c>
      <c r="B2340" s="11"/>
      <c r="C2340" s="11"/>
      <c r="D2340" s="11"/>
      <c r="E2340" s="11"/>
      <c r="F2340" s="11"/>
      <c r="G2340" s="11"/>
      <c r="H2340" s="11"/>
    </row>
    <row r="2341" customFormat="false" ht="42" hidden="false" customHeight="true" outlineLevel="0" collapsed="false">
      <c r="A2341" s="12" t="s">
        <v>2300</v>
      </c>
      <c r="B2341" s="12"/>
      <c r="C2341" s="12"/>
      <c r="D2341" s="12"/>
      <c r="E2341" s="12" t="s">
        <v>2301</v>
      </c>
      <c r="F2341" s="12"/>
      <c r="G2341" s="12"/>
      <c r="H2341" s="12"/>
    </row>
    <row r="2342" customFormat="false" ht="33.75" hidden="false" customHeight="true" outlineLevel="0" collapsed="false">
      <c r="A2342" s="12" t="s">
        <v>2302</v>
      </c>
      <c r="B2342" s="12"/>
      <c r="C2342" s="12"/>
      <c r="D2342" s="12"/>
      <c r="E2342" s="12" t="s">
        <v>2303</v>
      </c>
      <c r="F2342" s="12"/>
      <c r="G2342" s="12"/>
      <c r="H2342" s="12"/>
    </row>
    <row r="2343" customFormat="false" ht="24" hidden="false" customHeight="true" outlineLevel="0" collapsed="false">
      <c r="A2343" s="13" t="s">
        <v>1502</v>
      </c>
      <c r="B2343" s="13"/>
      <c r="C2343" s="13"/>
      <c r="D2343" s="13"/>
      <c r="E2343" s="13"/>
      <c r="F2343" s="13"/>
      <c r="G2343" s="13"/>
      <c r="H2343" s="13"/>
    </row>
    <row r="2344" customFormat="false" ht="7.5" hidden="false" customHeight="true" outlineLevel="0" collapsed="false"/>
    <row r="2345" customFormat="false" ht="24" hidden="false" customHeight="true" outlineLevel="0" collapsed="false">
      <c r="A2345" s="9" t="s">
        <v>2304</v>
      </c>
      <c r="B2345" s="9"/>
      <c r="C2345" s="9"/>
      <c r="D2345" s="9"/>
      <c r="E2345" s="9"/>
      <c r="F2345" s="9"/>
      <c r="G2345" s="9"/>
      <c r="H2345" s="9"/>
    </row>
    <row r="2346" customFormat="false" ht="45.75" hidden="false" customHeight="true" outlineLevel="0" collapsed="false">
      <c r="A2346" s="11" t="s">
        <v>2305</v>
      </c>
      <c r="B2346" s="11"/>
      <c r="C2346" s="11"/>
      <c r="D2346" s="11"/>
      <c r="E2346" s="11"/>
      <c r="F2346" s="11"/>
      <c r="G2346" s="11"/>
      <c r="H2346" s="11"/>
    </row>
    <row r="2347" customFormat="false" ht="33.75" hidden="false" customHeight="true" outlineLevel="0" collapsed="false">
      <c r="A2347" s="12" t="s">
        <v>2306</v>
      </c>
      <c r="B2347" s="12"/>
      <c r="C2347" s="12"/>
      <c r="D2347" s="12"/>
      <c r="E2347" s="12" t="s">
        <v>2307</v>
      </c>
      <c r="F2347" s="12"/>
      <c r="G2347" s="12"/>
      <c r="H2347" s="12"/>
    </row>
    <row r="2348" customFormat="false" ht="33.75" hidden="false" customHeight="true" outlineLevel="0" collapsed="false">
      <c r="A2348" s="12" t="s">
        <v>2308</v>
      </c>
      <c r="B2348" s="12"/>
      <c r="C2348" s="12"/>
      <c r="D2348" s="12"/>
      <c r="E2348" s="12" t="s">
        <v>2309</v>
      </c>
      <c r="F2348" s="12"/>
      <c r="G2348" s="12"/>
      <c r="H2348" s="12"/>
    </row>
    <row r="2349" customFormat="false" ht="24" hidden="false" customHeight="true" outlineLevel="0" collapsed="false">
      <c r="A2349" s="13" t="s">
        <v>1515</v>
      </c>
      <c r="B2349" s="13"/>
      <c r="C2349" s="13"/>
      <c r="D2349" s="13"/>
      <c r="E2349" s="13"/>
      <c r="F2349" s="13"/>
      <c r="G2349" s="13"/>
      <c r="H2349" s="13"/>
    </row>
    <row r="2350" customFormat="false" ht="7.5" hidden="false" customHeight="true" outlineLevel="0" collapsed="false"/>
    <row r="2351" customFormat="false" ht="24" hidden="false" customHeight="true" outlineLevel="0" collapsed="false">
      <c r="A2351" s="9" t="s">
        <v>2310</v>
      </c>
      <c r="B2351" s="9"/>
      <c r="C2351" s="9"/>
      <c r="D2351" s="9"/>
      <c r="E2351" s="9"/>
      <c r="F2351" s="9"/>
      <c r="G2351" s="9"/>
      <c r="H2351" s="9"/>
    </row>
    <row r="2352" customFormat="false" ht="73.5" hidden="false" customHeight="true" outlineLevel="0" collapsed="false">
      <c r="A2352" s="11" t="s">
        <v>2311</v>
      </c>
      <c r="B2352" s="11"/>
      <c r="C2352" s="11"/>
      <c r="D2352" s="11"/>
      <c r="E2352" s="11"/>
      <c r="F2352" s="11"/>
      <c r="G2352" s="11"/>
      <c r="H2352" s="11"/>
    </row>
    <row r="2353" customFormat="false" ht="42" hidden="false" customHeight="true" outlineLevel="0" collapsed="false">
      <c r="A2353" s="12" t="s">
        <v>2312</v>
      </c>
      <c r="B2353" s="12"/>
      <c r="C2353" s="12"/>
      <c r="D2353" s="12"/>
      <c r="E2353" s="12" t="s">
        <v>2313</v>
      </c>
      <c r="F2353" s="12"/>
      <c r="G2353" s="12"/>
      <c r="H2353" s="12"/>
    </row>
    <row r="2354" customFormat="false" ht="33.75" hidden="false" customHeight="true" outlineLevel="0" collapsed="false">
      <c r="A2354" s="12" t="s">
        <v>2314</v>
      </c>
      <c r="B2354" s="12"/>
      <c r="C2354" s="12"/>
      <c r="D2354" s="12"/>
      <c r="E2354" s="12" t="s">
        <v>2315</v>
      </c>
      <c r="F2354" s="12"/>
      <c r="G2354" s="12"/>
      <c r="H2354" s="12"/>
    </row>
    <row r="2355" customFormat="false" ht="24" hidden="false" customHeight="true" outlineLevel="0" collapsed="false">
      <c r="A2355" s="13" t="s">
        <v>1434</v>
      </c>
      <c r="B2355" s="13"/>
      <c r="C2355" s="13"/>
      <c r="D2355" s="13"/>
      <c r="E2355" s="13"/>
      <c r="F2355" s="13"/>
      <c r="G2355" s="13"/>
      <c r="H2355" s="13"/>
    </row>
    <row r="2356" customFormat="false" ht="7.5" hidden="false" customHeight="true" outlineLevel="0" collapsed="false"/>
    <row r="2357" customFormat="false" ht="24" hidden="false" customHeight="true" outlineLevel="0" collapsed="false">
      <c r="A2357" s="9" t="s">
        <v>2316</v>
      </c>
      <c r="B2357" s="9"/>
      <c r="C2357" s="9"/>
      <c r="D2357" s="9"/>
      <c r="E2357" s="9"/>
      <c r="F2357" s="9"/>
      <c r="G2357" s="9"/>
      <c r="H2357" s="9"/>
    </row>
    <row r="2358" customFormat="false" ht="87.75" hidden="false" customHeight="true" outlineLevel="0" collapsed="false">
      <c r="A2358" s="11" t="s">
        <v>2317</v>
      </c>
      <c r="B2358" s="11"/>
      <c r="C2358" s="11"/>
      <c r="D2358" s="11"/>
      <c r="E2358" s="11"/>
      <c r="F2358" s="11"/>
      <c r="G2358" s="11"/>
      <c r="H2358" s="11"/>
    </row>
    <row r="2359" customFormat="false" ht="33.75" hidden="false" customHeight="true" outlineLevel="0" collapsed="false">
      <c r="A2359" s="12" t="s">
        <v>2318</v>
      </c>
      <c r="B2359" s="12"/>
      <c r="C2359" s="12"/>
      <c r="D2359" s="12"/>
      <c r="E2359" s="12" t="s">
        <v>2319</v>
      </c>
      <c r="F2359" s="12"/>
      <c r="G2359" s="12"/>
      <c r="H2359" s="12"/>
    </row>
    <row r="2360" customFormat="false" ht="33.75" hidden="false" customHeight="true" outlineLevel="0" collapsed="false">
      <c r="A2360" s="12" t="s">
        <v>2320</v>
      </c>
      <c r="B2360" s="12"/>
      <c r="C2360" s="12"/>
      <c r="D2360" s="12"/>
      <c r="E2360" s="12" t="s">
        <v>1473</v>
      </c>
      <c r="F2360" s="12"/>
      <c r="G2360" s="12"/>
      <c r="H2360" s="12"/>
    </row>
    <row r="2361" customFormat="false" ht="24" hidden="false" customHeight="true" outlineLevel="0" collapsed="false">
      <c r="A2361" s="13" t="s">
        <v>1340</v>
      </c>
      <c r="B2361" s="13"/>
      <c r="C2361" s="13"/>
      <c r="D2361" s="13"/>
      <c r="E2361" s="13"/>
      <c r="F2361" s="13"/>
      <c r="G2361" s="13"/>
      <c r="H2361" s="13"/>
    </row>
    <row r="2362" customFormat="false" ht="7.5" hidden="false" customHeight="true" outlineLevel="0" collapsed="false"/>
    <row r="2363" customFormat="false" ht="24" hidden="false" customHeight="true" outlineLevel="0" collapsed="false">
      <c r="A2363" s="9" t="s">
        <v>2321</v>
      </c>
      <c r="B2363" s="9"/>
      <c r="C2363" s="9"/>
      <c r="D2363" s="9"/>
      <c r="E2363" s="9"/>
      <c r="F2363" s="9"/>
      <c r="G2363" s="9"/>
      <c r="H2363" s="9"/>
    </row>
    <row r="2364" customFormat="false" ht="60" hidden="false" customHeight="true" outlineLevel="0" collapsed="false">
      <c r="A2364" s="11" t="s">
        <v>2322</v>
      </c>
      <c r="B2364" s="11"/>
      <c r="C2364" s="11"/>
      <c r="D2364" s="11"/>
      <c r="E2364" s="11"/>
      <c r="F2364" s="11"/>
      <c r="G2364" s="11"/>
      <c r="H2364" s="11"/>
    </row>
    <row r="2365" customFormat="false" ht="42" hidden="false" customHeight="true" outlineLevel="0" collapsed="false">
      <c r="A2365" s="12" t="s">
        <v>2323</v>
      </c>
      <c r="B2365" s="12"/>
      <c r="C2365" s="12"/>
      <c r="D2365" s="12"/>
      <c r="E2365" s="12" t="s">
        <v>2324</v>
      </c>
      <c r="F2365" s="12"/>
      <c r="G2365" s="12"/>
      <c r="H2365" s="12"/>
    </row>
    <row r="2366" customFormat="false" ht="42" hidden="false" customHeight="true" outlineLevel="0" collapsed="false">
      <c r="A2366" s="12" t="s">
        <v>2325</v>
      </c>
      <c r="B2366" s="12"/>
      <c r="C2366" s="12"/>
      <c r="D2366" s="12"/>
      <c r="E2366" s="12" t="s">
        <v>2326</v>
      </c>
      <c r="F2366" s="12"/>
      <c r="G2366" s="12"/>
      <c r="H2366" s="12"/>
    </row>
    <row r="2367" customFormat="false" ht="24" hidden="false" customHeight="true" outlineLevel="0" collapsed="false">
      <c r="A2367" s="13" t="s">
        <v>1340</v>
      </c>
      <c r="B2367" s="13"/>
      <c r="C2367" s="13"/>
      <c r="D2367" s="13"/>
      <c r="E2367" s="13"/>
      <c r="F2367" s="13"/>
      <c r="G2367" s="13"/>
      <c r="H2367" s="13"/>
    </row>
    <row r="2368" customFormat="false" ht="7.5" hidden="false" customHeight="true" outlineLevel="0" collapsed="false"/>
    <row r="2369" customFormat="false" ht="24" hidden="false" customHeight="true" outlineLevel="0" collapsed="false">
      <c r="A2369" s="9" t="s">
        <v>2327</v>
      </c>
      <c r="B2369" s="9"/>
      <c r="C2369" s="9"/>
      <c r="D2369" s="9"/>
      <c r="E2369" s="9"/>
      <c r="F2369" s="9"/>
      <c r="G2369" s="9"/>
      <c r="H2369" s="9"/>
    </row>
    <row r="2370" customFormat="false" ht="45.75" hidden="false" customHeight="true" outlineLevel="0" collapsed="false">
      <c r="A2370" s="11" t="s">
        <v>2328</v>
      </c>
      <c r="B2370" s="11"/>
      <c r="C2370" s="11"/>
      <c r="D2370" s="11"/>
      <c r="E2370" s="11"/>
      <c r="F2370" s="11"/>
      <c r="G2370" s="11"/>
      <c r="H2370" s="11"/>
    </row>
    <row r="2371" customFormat="false" ht="33.75" hidden="false" customHeight="true" outlineLevel="0" collapsed="false">
      <c r="A2371" s="12" t="s">
        <v>2329</v>
      </c>
      <c r="B2371" s="12"/>
      <c r="C2371" s="12"/>
      <c r="D2371" s="12"/>
      <c r="E2371" s="12" t="s">
        <v>2330</v>
      </c>
      <c r="F2371" s="12"/>
      <c r="G2371" s="12"/>
      <c r="H2371" s="12"/>
    </row>
    <row r="2372" customFormat="false" ht="33.75" hidden="false" customHeight="true" outlineLevel="0" collapsed="false">
      <c r="A2372" s="12" t="s">
        <v>2331</v>
      </c>
      <c r="B2372" s="12"/>
      <c r="C2372" s="12"/>
      <c r="D2372" s="12"/>
      <c r="E2372" s="12" t="s">
        <v>2332</v>
      </c>
      <c r="F2372" s="12"/>
      <c r="G2372" s="12"/>
      <c r="H2372" s="12"/>
    </row>
    <row r="2373" customFormat="false" ht="24" hidden="false" customHeight="true" outlineLevel="0" collapsed="false">
      <c r="A2373" s="13" t="s">
        <v>1327</v>
      </c>
      <c r="B2373" s="13"/>
      <c r="C2373" s="13"/>
      <c r="D2373" s="13"/>
      <c r="E2373" s="13"/>
      <c r="F2373" s="13"/>
      <c r="G2373" s="13"/>
      <c r="H2373" s="13"/>
    </row>
    <row r="2374" customFormat="false" ht="7.5" hidden="false" customHeight="true" outlineLevel="0" collapsed="false"/>
    <row r="2375" customFormat="false" ht="24" hidden="false" customHeight="true" outlineLevel="0" collapsed="false">
      <c r="A2375" s="9" t="s">
        <v>2333</v>
      </c>
      <c r="B2375" s="9"/>
      <c r="C2375" s="9"/>
      <c r="D2375" s="9"/>
      <c r="E2375" s="9"/>
      <c r="F2375" s="9"/>
      <c r="G2375" s="9"/>
      <c r="H2375" s="9"/>
    </row>
    <row r="2376" customFormat="false" ht="42" hidden="false" customHeight="true" outlineLevel="0" collapsed="false">
      <c r="A2376" s="11" t="s">
        <v>2334</v>
      </c>
      <c r="B2376" s="11"/>
      <c r="C2376" s="11"/>
      <c r="D2376" s="11"/>
      <c r="E2376" s="11"/>
      <c r="F2376" s="11"/>
      <c r="G2376" s="11"/>
      <c r="H2376" s="11"/>
    </row>
    <row r="2377" customFormat="false" ht="67.5" hidden="false" customHeight="true" outlineLevel="0" collapsed="false">
      <c r="A2377" s="12" t="s">
        <v>2335</v>
      </c>
      <c r="B2377" s="12"/>
      <c r="C2377" s="12"/>
      <c r="D2377" s="12"/>
      <c r="E2377" s="12" t="s">
        <v>2336</v>
      </c>
      <c r="F2377" s="12"/>
      <c r="G2377" s="12"/>
      <c r="H2377" s="12"/>
    </row>
    <row r="2378" customFormat="false" ht="67.5" hidden="false" customHeight="true" outlineLevel="0" collapsed="false">
      <c r="A2378" s="12" t="s">
        <v>2337</v>
      </c>
      <c r="B2378" s="12"/>
      <c r="C2378" s="12"/>
      <c r="D2378" s="12"/>
      <c r="E2378" s="12" t="s">
        <v>2338</v>
      </c>
      <c r="F2378" s="12"/>
      <c r="G2378" s="12"/>
      <c r="H2378" s="12"/>
    </row>
    <row r="2379" customFormat="false" ht="24" hidden="false" customHeight="true" outlineLevel="0" collapsed="false">
      <c r="A2379" s="13" t="s">
        <v>1460</v>
      </c>
      <c r="B2379" s="13"/>
      <c r="C2379" s="13"/>
      <c r="D2379" s="13"/>
      <c r="E2379" s="13"/>
      <c r="F2379" s="13"/>
      <c r="G2379" s="13"/>
      <c r="H2379" s="13"/>
    </row>
    <row r="2380" customFormat="false" ht="7.5" hidden="false" customHeight="true" outlineLevel="0" collapsed="false"/>
    <row r="2381" customFormat="false" ht="24" hidden="false" customHeight="true" outlineLevel="0" collapsed="false">
      <c r="A2381" s="9" t="s">
        <v>2339</v>
      </c>
      <c r="B2381" s="9"/>
      <c r="C2381" s="9"/>
      <c r="D2381" s="9"/>
      <c r="E2381" s="9"/>
      <c r="F2381" s="9"/>
      <c r="G2381" s="9"/>
      <c r="H2381" s="9"/>
    </row>
    <row r="2382" customFormat="false" ht="42" hidden="false" customHeight="true" outlineLevel="0" collapsed="false">
      <c r="A2382" s="11" t="s">
        <v>2340</v>
      </c>
      <c r="B2382" s="11"/>
      <c r="C2382" s="11"/>
      <c r="D2382" s="11"/>
      <c r="E2382" s="11"/>
      <c r="F2382" s="11"/>
      <c r="G2382" s="11"/>
      <c r="H2382" s="11"/>
    </row>
    <row r="2383" customFormat="false" ht="42" hidden="false" customHeight="true" outlineLevel="0" collapsed="false">
      <c r="A2383" s="12" t="s">
        <v>2341</v>
      </c>
      <c r="B2383" s="12"/>
      <c r="C2383" s="12"/>
      <c r="D2383" s="12"/>
      <c r="E2383" s="12" t="s">
        <v>2342</v>
      </c>
      <c r="F2383" s="12"/>
      <c r="G2383" s="12"/>
      <c r="H2383" s="12"/>
    </row>
    <row r="2384" customFormat="false" ht="42" hidden="false" customHeight="true" outlineLevel="0" collapsed="false">
      <c r="A2384" s="12" t="s">
        <v>2343</v>
      </c>
      <c r="B2384" s="12"/>
      <c r="C2384" s="12"/>
      <c r="D2384" s="12"/>
      <c r="E2384" s="12" t="s">
        <v>2344</v>
      </c>
      <c r="F2384" s="12"/>
      <c r="G2384" s="12"/>
      <c r="H2384" s="12"/>
    </row>
    <row r="2385" customFormat="false" ht="24" hidden="false" customHeight="true" outlineLevel="0" collapsed="false">
      <c r="A2385" s="13" t="s">
        <v>1460</v>
      </c>
      <c r="B2385" s="13"/>
      <c r="C2385" s="13"/>
      <c r="D2385" s="13"/>
      <c r="E2385" s="13"/>
      <c r="F2385" s="13"/>
      <c r="G2385" s="13"/>
      <c r="H2385" s="13"/>
    </row>
    <row r="2386" customFormat="false" ht="7.5" hidden="false" customHeight="true" outlineLevel="0" collapsed="false"/>
    <row r="2387" customFormat="false" ht="24" hidden="false" customHeight="true" outlineLevel="0" collapsed="false">
      <c r="A2387" s="9" t="s">
        <v>2345</v>
      </c>
      <c r="B2387" s="9"/>
      <c r="C2387" s="9"/>
      <c r="D2387" s="9"/>
      <c r="E2387" s="9"/>
      <c r="F2387" s="9"/>
      <c r="G2387" s="9"/>
      <c r="H2387" s="9"/>
    </row>
    <row r="2388" customFormat="false" ht="73.5" hidden="false" customHeight="true" outlineLevel="0" collapsed="false">
      <c r="A2388" s="11" t="s">
        <v>2346</v>
      </c>
      <c r="B2388" s="11"/>
      <c r="C2388" s="11"/>
      <c r="D2388" s="11"/>
      <c r="E2388" s="11"/>
      <c r="F2388" s="11"/>
      <c r="G2388" s="11"/>
      <c r="H2388" s="11"/>
    </row>
    <row r="2389" customFormat="false" ht="42" hidden="false" customHeight="true" outlineLevel="0" collapsed="false">
      <c r="A2389" s="12" t="s">
        <v>2347</v>
      </c>
      <c r="B2389" s="12"/>
      <c r="C2389" s="12"/>
      <c r="D2389" s="12"/>
      <c r="E2389" s="12" t="s">
        <v>2348</v>
      </c>
      <c r="F2389" s="12"/>
      <c r="G2389" s="12"/>
      <c r="H2389" s="12"/>
    </row>
    <row r="2390" customFormat="false" ht="42" hidden="false" customHeight="true" outlineLevel="0" collapsed="false">
      <c r="A2390" s="12" t="s">
        <v>2349</v>
      </c>
      <c r="B2390" s="12"/>
      <c r="C2390" s="12"/>
      <c r="D2390" s="12"/>
      <c r="E2390" s="12" t="s">
        <v>2350</v>
      </c>
      <c r="F2390" s="12"/>
      <c r="G2390" s="12"/>
      <c r="H2390" s="12"/>
    </row>
    <row r="2391" customFormat="false" ht="24" hidden="false" customHeight="true" outlineLevel="0" collapsed="false">
      <c r="A2391" s="13" t="s">
        <v>1304</v>
      </c>
      <c r="B2391" s="13"/>
      <c r="C2391" s="13"/>
      <c r="D2391" s="13"/>
      <c r="E2391" s="13"/>
      <c r="F2391" s="13"/>
      <c r="G2391" s="13"/>
      <c r="H2391" s="13"/>
    </row>
    <row r="2392" customFormat="false" ht="7.5" hidden="false" customHeight="true" outlineLevel="0" collapsed="false"/>
    <row r="2393" customFormat="false" ht="24" hidden="false" customHeight="true" outlineLevel="0" collapsed="false">
      <c r="A2393" s="9" t="s">
        <v>2351</v>
      </c>
      <c r="B2393" s="9"/>
      <c r="C2393" s="9"/>
      <c r="D2393" s="9"/>
      <c r="E2393" s="9"/>
      <c r="F2393" s="9"/>
      <c r="G2393" s="9"/>
      <c r="H2393" s="9"/>
    </row>
    <row r="2394" customFormat="false" ht="42" hidden="false" customHeight="true" outlineLevel="0" collapsed="false">
      <c r="A2394" s="11" t="s">
        <v>2352</v>
      </c>
      <c r="B2394" s="11"/>
      <c r="C2394" s="11"/>
      <c r="D2394" s="11"/>
      <c r="E2394" s="11"/>
      <c r="F2394" s="11"/>
      <c r="G2394" s="11"/>
      <c r="H2394" s="11"/>
    </row>
    <row r="2395" customFormat="false" ht="33.75" hidden="false" customHeight="true" outlineLevel="0" collapsed="false">
      <c r="A2395" s="12" t="s">
        <v>2353</v>
      </c>
      <c r="B2395" s="12"/>
      <c r="C2395" s="12"/>
      <c r="D2395" s="12"/>
      <c r="E2395" s="12" t="s">
        <v>2354</v>
      </c>
      <c r="F2395" s="12"/>
      <c r="G2395" s="12"/>
      <c r="H2395" s="12"/>
    </row>
    <row r="2396" customFormat="false" ht="33.75" hidden="false" customHeight="true" outlineLevel="0" collapsed="false">
      <c r="A2396" s="12" t="s">
        <v>2355</v>
      </c>
      <c r="B2396" s="12"/>
      <c r="C2396" s="12"/>
      <c r="D2396" s="12"/>
      <c r="E2396" s="12" t="s">
        <v>2356</v>
      </c>
      <c r="F2396" s="12"/>
      <c r="G2396" s="12"/>
      <c r="H2396" s="12"/>
    </row>
    <row r="2397" customFormat="false" ht="24" hidden="false" customHeight="true" outlineLevel="0" collapsed="false">
      <c r="A2397" s="13" t="s">
        <v>2357</v>
      </c>
      <c r="B2397" s="13"/>
      <c r="C2397" s="13"/>
      <c r="D2397" s="13"/>
      <c r="E2397" s="13"/>
      <c r="F2397" s="13"/>
      <c r="G2397" s="13"/>
      <c r="H2397" s="13"/>
    </row>
    <row r="2398" customFormat="false" ht="7.5" hidden="false" customHeight="true" outlineLevel="0" collapsed="false"/>
    <row r="2399" customFormat="false" ht="24" hidden="false" customHeight="true" outlineLevel="0" collapsed="false">
      <c r="A2399" s="9" t="s">
        <v>2358</v>
      </c>
      <c r="B2399" s="9"/>
      <c r="C2399" s="9"/>
      <c r="D2399" s="9"/>
      <c r="E2399" s="9"/>
      <c r="F2399" s="9"/>
      <c r="G2399" s="9"/>
      <c r="H2399" s="9"/>
    </row>
    <row r="2400" customFormat="false" ht="60" hidden="false" customHeight="true" outlineLevel="0" collapsed="false">
      <c r="A2400" s="11" t="s">
        <v>2359</v>
      </c>
      <c r="B2400" s="11"/>
      <c r="C2400" s="11"/>
      <c r="D2400" s="11"/>
      <c r="E2400" s="11"/>
      <c r="F2400" s="11"/>
      <c r="G2400" s="11"/>
      <c r="H2400" s="11"/>
    </row>
    <row r="2401" customFormat="false" ht="67.5" hidden="false" customHeight="true" outlineLevel="0" collapsed="false">
      <c r="A2401" s="12" t="s">
        <v>2360</v>
      </c>
      <c r="B2401" s="12"/>
      <c r="C2401" s="12"/>
      <c r="D2401" s="12"/>
      <c r="E2401" s="12" t="s">
        <v>2361</v>
      </c>
      <c r="F2401" s="12"/>
      <c r="G2401" s="12"/>
      <c r="H2401" s="12"/>
    </row>
    <row r="2402" customFormat="false" ht="81" hidden="false" customHeight="true" outlineLevel="0" collapsed="false">
      <c r="A2402" s="12" t="s">
        <v>2362</v>
      </c>
      <c r="B2402" s="12"/>
      <c r="C2402" s="12"/>
      <c r="D2402" s="12"/>
      <c r="E2402" s="12" t="s">
        <v>2363</v>
      </c>
      <c r="F2402" s="12"/>
      <c r="G2402" s="12"/>
      <c r="H2402" s="12"/>
    </row>
    <row r="2403" customFormat="false" ht="24" hidden="false" customHeight="true" outlineLevel="0" collapsed="false">
      <c r="A2403" s="13" t="s">
        <v>1441</v>
      </c>
      <c r="B2403" s="13"/>
      <c r="C2403" s="13"/>
      <c r="D2403" s="13"/>
      <c r="E2403" s="13"/>
      <c r="F2403" s="13"/>
      <c r="G2403" s="13"/>
      <c r="H2403" s="13"/>
    </row>
    <row r="2404" customFormat="false" ht="7.5" hidden="false" customHeight="true" outlineLevel="0" collapsed="false"/>
    <row r="2405" customFormat="false" ht="24" hidden="false" customHeight="true" outlineLevel="0" collapsed="false">
      <c r="A2405" s="9" t="s">
        <v>2364</v>
      </c>
      <c r="B2405" s="9"/>
      <c r="C2405" s="9"/>
      <c r="D2405" s="9"/>
      <c r="E2405" s="9"/>
      <c r="F2405" s="9"/>
      <c r="G2405" s="9"/>
      <c r="H2405" s="9"/>
    </row>
    <row r="2406" customFormat="false" ht="45.75" hidden="false" customHeight="true" outlineLevel="0" collapsed="false">
      <c r="A2406" s="11" t="s">
        <v>2365</v>
      </c>
      <c r="B2406" s="11"/>
      <c r="C2406" s="11"/>
      <c r="D2406" s="11"/>
      <c r="E2406" s="11"/>
      <c r="F2406" s="11"/>
      <c r="G2406" s="11"/>
      <c r="H2406" s="11"/>
    </row>
    <row r="2407" customFormat="false" ht="67.5" hidden="false" customHeight="true" outlineLevel="0" collapsed="false">
      <c r="A2407" s="12" t="s">
        <v>2366</v>
      </c>
      <c r="B2407" s="12"/>
      <c r="C2407" s="12"/>
      <c r="D2407" s="12"/>
      <c r="E2407" s="12" t="s">
        <v>2367</v>
      </c>
      <c r="F2407" s="12"/>
      <c r="G2407" s="12"/>
      <c r="H2407" s="12"/>
    </row>
    <row r="2408" customFormat="false" ht="54.75" hidden="false" customHeight="true" outlineLevel="0" collapsed="false">
      <c r="A2408" s="12" t="s">
        <v>2368</v>
      </c>
      <c r="B2408" s="12"/>
      <c r="C2408" s="12"/>
      <c r="D2408" s="12"/>
      <c r="E2408" s="12" t="s">
        <v>2369</v>
      </c>
      <c r="F2408" s="12"/>
      <c r="G2408" s="12"/>
      <c r="H2408" s="12"/>
    </row>
    <row r="2409" customFormat="false" ht="24" hidden="false" customHeight="true" outlineLevel="0" collapsed="false">
      <c r="A2409" s="13" t="s">
        <v>2370</v>
      </c>
      <c r="B2409" s="13"/>
      <c r="C2409" s="13"/>
      <c r="D2409" s="13"/>
      <c r="E2409" s="13"/>
      <c r="F2409" s="13"/>
      <c r="G2409" s="13"/>
      <c r="H2409" s="13"/>
    </row>
    <row r="2410" customFormat="false" ht="7.5" hidden="false" customHeight="true" outlineLevel="0" collapsed="false"/>
    <row r="2411" customFormat="false" ht="24" hidden="false" customHeight="true" outlineLevel="0" collapsed="false">
      <c r="A2411" s="9" t="s">
        <v>2371</v>
      </c>
      <c r="B2411" s="9"/>
      <c r="C2411" s="9"/>
      <c r="D2411" s="9"/>
      <c r="E2411" s="9"/>
      <c r="F2411" s="9"/>
      <c r="G2411" s="9"/>
      <c r="H2411" s="9"/>
    </row>
    <row r="2412" customFormat="false" ht="45.75" hidden="false" customHeight="true" outlineLevel="0" collapsed="false">
      <c r="A2412" s="11" t="s">
        <v>2372</v>
      </c>
      <c r="B2412" s="11"/>
      <c r="C2412" s="11"/>
      <c r="D2412" s="11"/>
      <c r="E2412" s="11"/>
      <c r="F2412" s="11"/>
      <c r="G2412" s="11"/>
      <c r="H2412" s="11"/>
    </row>
    <row r="2413" customFormat="false" ht="33.75" hidden="false" customHeight="true" outlineLevel="0" collapsed="false">
      <c r="A2413" s="12" t="s">
        <v>2373</v>
      </c>
      <c r="B2413" s="12"/>
      <c r="C2413" s="12"/>
      <c r="D2413" s="12"/>
      <c r="E2413" s="12" t="s">
        <v>2374</v>
      </c>
      <c r="F2413" s="12"/>
      <c r="G2413" s="12"/>
      <c r="H2413" s="12"/>
    </row>
    <row r="2414" customFormat="false" ht="33.75" hidden="false" customHeight="true" outlineLevel="0" collapsed="false">
      <c r="A2414" s="12" t="s">
        <v>2375</v>
      </c>
      <c r="B2414" s="12"/>
      <c r="C2414" s="12"/>
      <c r="D2414" s="12"/>
      <c r="E2414" s="12" t="s">
        <v>2376</v>
      </c>
      <c r="F2414" s="12"/>
      <c r="G2414" s="12"/>
      <c r="H2414" s="12"/>
    </row>
    <row r="2415" customFormat="false" ht="24" hidden="false" customHeight="true" outlineLevel="0" collapsed="false">
      <c r="A2415" s="13" t="s">
        <v>1515</v>
      </c>
      <c r="B2415" s="13"/>
      <c r="C2415" s="13"/>
      <c r="D2415" s="13"/>
      <c r="E2415" s="13"/>
      <c r="F2415" s="13"/>
      <c r="G2415" s="13"/>
      <c r="H2415" s="13"/>
    </row>
    <row r="2416" customFormat="false" ht="7.5" hidden="false" customHeight="true" outlineLevel="0" collapsed="false"/>
    <row r="2417" customFormat="false" ht="24" hidden="false" customHeight="true" outlineLevel="0" collapsed="false">
      <c r="A2417" s="9" t="s">
        <v>2377</v>
      </c>
      <c r="B2417" s="9"/>
      <c r="C2417" s="9"/>
      <c r="D2417" s="9"/>
      <c r="E2417" s="9"/>
      <c r="F2417" s="9"/>
      <c r="G2417" s="9"/>
      <c r="H2417" s="9"/>
    </row>
    <row r="2418" customFormat="false" ht="42" hidden="false" customHeight="true" outlineLevel="0" collapsed="false">
      <c r="A2418" s="11" t="s">
        <v>2378</v>
      </c>
      <c r="B2418" s="11"/>
      <c r="C2418" s="11"/>
      <c r="D2418" s="11"/>
      <c r="E2418" s="11"/>
      <c r="F2418" s="11"/>
      <c r="G2418" s="11"/>
      <c r="H2418" s="11"/>
    </row>
    <row r="2419" customFormat="false" ht="67.5" hidden="false" customHeight="true" outlineLevel="0" collapsed="false">
      <c r="A2419" s="12" t="s">
        <v>2379</v>
      </c>
      <c r="B2419" s="12"/>
      <c r="C2419" s="12"/>
      <c r="D2419" s="12"/>
      <c r="E2419" s="12" t="s">
        <v>2380</v>
      </c>
      <c r="F2419" s="12"/>
      <c r="G2419" s="12"/>
      <c r="H2419" s="12"/>
    </row>
    <row r="2420" customFormat="false" ht="67.5" hidden="false" customHeight="true" outlineLevel="0" collapsed="false">
      <c r="A2420" s="12" t="s">
        <v>2381</v>
      </c>
      <c r="B2420" s="12"/>
      <c r="C2420" s="12"/>
      <c r="D2420" s="12"/>
      <c r="E2420" s="12" t="s">
        <v>2382</v>
      </c>
      <c r="F2420" s="12"/>
      <c r="G2420" s="12"/>
      <c r="H2420" s="12"/>
    </row>
    <row r="2421" customFormat="false" ht="24" hidden="false" customHeight="true" outlineLevel="0" collapsed="false">
      <c r="A2421" s="13" t="s">
        <v>1596</v>
      </c>
      <c r="B2421" s="13"/>
      <c r="C2421" s="13"/>
      <c r="D2421" s="13"/>
      <c r="E2421" s="13"/>
      <c r="F2421" s="13"/>
      <c r="G2421" s="13"/>
      <c r="H2421" s="13"/>
    </row>
    <row r="2422" customFormat="false" ht="7.5" hidden="false" customHeight="true" outlineLevel="0" collapsed="false"/>
    <row r="2423" customFormat="false" ht="24" hidden="false" customHeight="true" outlineLevel="0" collapsed="false">
      <c r="A2423" s="9" t="s">
        <v>2383</v>
      </c>
      <c r="B2423" s="9"/>
      <c r="C2423" s="9"/>
      <c r="D2423" s="9"/>
      <c r="E2423" s="9"/>
      <c r="F2423" s="9"/>
      <c r="G2423" s="9"/>
      <c r="H2423" s="9"/>
    </row>
    <row r="2424" customFormat="false" ht="42" hidden="false" customHeight="true" outlineLevel="0" collapsed="false">
      <c r="A2424" s="11" t="s">
        <v>2384</v>
      </c>
      <c r="B2424" s="11"/>
      <c r="C2424" s="11"/>
      <c r="D2424" s="11"/>
      <c r="E2424" s="11"/>
      <c r="F2424" s="11"/>
      <c r="G2424" s="11"/>
      <c r="H2424" s="11"/>
    </row>
    <row r="2425" customFormat="false" ht="33.75" hidden="false" customHeight="true" outlineLevel="0" collapsed="false">
      <c r="A2425" s="12" t="s">
        <v>2385</v>
      </c>
      <c r="B2425" s="12"/>
      <c r="C2425" s="12"/>
      <c r="D2425" s="12"/>
      <c r="E2425" s="12" t="s">
        <v>2386</v>
      </c>
      <c r="F2425" s="12"/>
      <c r="G2425" s="12"/>
      <c r="H2425" s="12"/>
    </row>
    <row r="2426" customFormat="false" ht="33.75" hidden="false" customHeight="true" outlineLevel="0" collapsed="false">
      <c r="A2426" s="12" t="s">
        <v>2387</v>
      </c>
      <c r="B2426" s="12"/>
      <c r="C2426" s="12"/>
      <c r="D2426" s="12"/>
      <c r="E2426" s="12" t="s">
        <v>2388</v>
      </c>
      <c r="F2426" s="12"/>
      <c r="G2426" s="12"/>
      <c r="H2426" s="12"/>
    </row>
    <row r="2427" customFormat="false" ht="24" hidden="false" customHeight="true" outlineLevel="0" collapsed="false">
      <c r="A2427" s="13" t="s">
        <v>1495</v>
      </c>
      <c r="B2427" s="13"/>
      <c r="C2427" s="13"/>
      <c r="D2427" s="13"/>
      <c r="E2427" s="13"/>
      <c r="F2427" s="13"/>
      <c r="G2427" s="13"/>
      <c r="H2427" s="13"/>
    </row>
    <row r="2428" customFormat="false" ht="7.5" hidden="false" customHeight="true" outlineLevel="0" collapsed="false"/>
    <row r="2429" customFormat="false" ht="24" hidden="false" customHeight="true" outlineLevel="0" collapsed="false">
      <c r="A2429" s="9" t="s">
        <v>2389</v>
      </c>
      <c r="B2429" s="9"/>
      <c r="C2429" s="9"/>
      <c r="D2429" s="9"/>
      <c r="E2429" s="9"/>
      <c r="F2429" s="9"/>
      <c r="G2429" s="9"/>
      <c r="H2429" s="9"/>
    </row>
    <row r="2430" customFormat="false" ht="42" hidden="false" customHeight="true" outlineLevel="0" collapsed="false">
      <c r="A2430" s="11" t="s">
        <v>2390</v>
      </c>
      <c r="B2430" s="11"/>
      <c r="C2430" s="11"/>
      <c r="D2430" s="11"/>
      <c r="E2430" s="11"/>
      <c r="F2430" s="11"/>
      <c r="G2430" s="11"/>
      <c r="H2430" s="11"/>
    </row>
    <row r="2431" customFormat="false" ht="54.75" hidden="false" customHeight="true" outlineLevel="0" collapsed="false">
      <c r="A2431" s="12" t="s">
        <v>2391</v>
      </c>
      <c r="B2431" s="12"/>
      <c r="C2431" s="12"/>
      <c r="D2431" s="12"/>
      <c r="E2431" s="12" t="s">
        <v>2392</v>
      </c>
      <c r="F2431" s="12"/>
      <c r="G2431" s="12"/>
      <c r="H2431" s="12"/>
    </row>
    <row r="2432" customFormat="false" ht="54.75" hidden="false" customHeight="true" outlineLevel="0" collapsed="false">
      <c r="A2432" s="12" t="s">
        <v>2393</v>
      </c>
      <c r="B2432" s="12"/>
      <c r="C2432" s="12"/>
      <c r="D2432" s="12"/>
      <c r="E2432" s="12" t="s">
        <v>2394</v>
      </c>
      <c r="F2432" s="12"/>
      <c r="G2432" s="12"/>
      <c r="H2432" s="12"/>
    </row>
    <row r="2433" customFormat="false" ht="24" hidden="false" customHeight="true" outlineLevel="0" collapsed="false">
      <c r="A2433" s="13" t="s">
        <v>1569</v>
      </c>
      <c r="B2433" s="13"/>
      <c r="C2433" s="13"/>
      <c r="D2433" s="13"/>
      <c r="E2433" s="13"/>
      <c r="F2433" s="13"/>
      <c r="G2433" s="13"/>
      <c r="H2433" s="13"/>
    </row>
    <row r="2434" customFormat="false" ht="7.5" hidden="false" customHeight="true" outlineLevel="0" collapsed="false"/>
    <row r="2435" customFormat="false" ht="24" hidden="false" customHeight="true" outlineLevel="0" collapsed="false">
      <c r="A2435" s="9" t="s">
        <v>2395</v>
      </c>
      <c r="B2435" s="9"/>
      <c r="C2435" s="9"/>
      <c r="D2435" s="9"/>
      <c r="E2435" s="9"/>
      <c r="F2435" s="9"/>
      <c r="G2435" s="9"/>
      <c r="H2435" s="9"/>
    </row>
    <row r="2436" customFormat="false" ht="42" hidden="false" customHeight="true" outlineLevel="0" collapsed="false">
      <c r="A2436" s="11" t="s">
        <v>2396</v>
      </c>
      <c r="B2436" s="11"/>
      <c r="C2436" s="11"/>
      <c r="D2436" s="11"/>
      <c r="E2436" s="11"/>
      <c r="F2436" s="11"/>
      <c r="G2436" s="11"/>
      <c r="H2436" s="11"/>
    </row>
    <row r="2437" customFormat="false" ht="33.75" hidden="false" customHeight="true" outlineLevel="0" collapsed="false">
      <c r="A2437" s="12" t="s">
        <v>2397</v>
      </c>
      <c r="B2437" s="12"/>
      <c r="C2437" s="12"/>
      <c r="D2437" s="12"/>
      <c r="E2437" s="12" t="s">
        <v>2398</v>
      </c>
      <c r="F2437" s="12"/>
      <c r="G2437" s="12"/>
      <c r="H2437" s="12"/>
    </row>
    <row r="2438" customFormat="false" ht="33.75" hidden="false" customHeight="true" outlineLevel="0" collapsed="false">
      <c r="A2438" s="12" t="s">
        <v>2399</v>
      </c>
      <c r="B2438" s="12"/>
      <c r="C2438" s="12"/>
      <c r="D2438" s="12"/>
      <c r="E2438" s="12" t="s">
        <v>2400</v>
      </c>
      <c r="F2438" s="12"/>
      <c r="G2438" s="12"/>
      <c r="H2438" s="12"/>
    </row>
    <row r="2439" customFormat="false" ht="24" hidden="false" customHeight="true" outlineLevel="0" collapsed="false">
      <c r="A2439" s="13" t="s">
        <v>1311</v>
      </c>
      <c r="B2439" s="13"/>
      <c r="C2439" s="13"/>
      <c r="D2439" s="13"/>
      <c r="E2439" s="13"/>
      <c r="F2439" s="13"/>
      <c r="G2439" s="13"/>
      <c r="H2439" s="13"/>
    </row>
    <row r="2440" customFormat="false" ht="7.5" hidden="false" customHeight="true" outlineLevel="0" collapsed="false"/>
    <row r="2441" customFormat="false" ht="24" hidden="false" customHeight="true" outlineLevel="0" collapsed="false">
      <c r="A2441" s="9" t="s">
        <v>2401</v>
      </c>
      <c r="B2441" s="9"/>
      <c r="C2441" s="9"/>
      <c r="D2441" s="9"/>
      <c r="E2441" s="9"/>
      <c r="F2441" s="9"/>
      <c r="G2441" s="9"/>
      <c r="H2441" s="9"/>
    </row>
    <row r="2442" customFormat="false" ht="45.75" hidden="false" customHeight="true" outlineLevel="0" collapsed="false">
      <c r="A2442" s="11" t="s">
        <v>2402</v>
      </c>
      <c r="B2442" s="11"/>
      <c r="C2442" s="11"/>
      <c r="D2442" s="11"/>
      <c r="E2442" s="11"/>
      <c r="F2442" s="11"/>
      <c r="G2442" s="11"/>
      <c r="H2442" s="11"/>
    </row>
    <row r="2443" customFormat="false" ht="33.75" hidden="false" customHeight="true" outlineLevel="0" collapsed="false">
      <c r="A2443" s="12" t="s">
        <v>2403</v>
      </c>
      <c r="B2443" s="12"/>
      <c r="C2443" s="12"/>
      <c r="D2443" s="12"/>
      <c r="E2443" s="12" t="s">
        <v>2404</v>
      </c>
      <c r="F2443" s="12"/>
      <c r="G2443" s="12"/>
      <c r="H2443" s="12"/>
    </row>
    <row r="2444" customFormat="false" ht="33.75" hidden="false" customHeight="true" outlineLevel="0" collapsed="false">
      <c r="A2444" s="12" t="s">
        <v>2405</v>
      </c>
      <c r="B2444" s="12"/>
      <c r="C2444" s="12"/>
      <c r="D2444" s="12"/>
      <c r="E2444" s="12" t="s">
        <v>2406</v>
      </c>
      <c r="F2444" s="12"/>
      <c r="G2444" s="12"/>
      <c r="H2444" s="12"/>
    </row>
    <row r="2445" customFormat="false" ht="24" hidden="false" customHeight="true" outlineLevel="0" collapsed="false">
      <c r="A2445" s="13" t="s">
        <v>1515</v>
      </c>
      <c r="B2445" s="13"/>
      <c r="C2445" s="13"/>
      <c r="D2445" s="13"/>
      <c r="E2445" s="13"/>
      <c r="F2445" s="13"/>
      <c r="G2445" s="13"/>
      <c r="H2445" s="13"/>
    </row>
    <row r="2446" customFormat="false" ht="7.5" hidden="false" customHeight="true" outlineLevel="0" collapsed="false"/>
    <row r="2447" customFormat="false" ht="24" hidden="false" customHeight="true" outlineLevel="0" collapsed="false">
      <c r="A2447" s="9" t="s">
        <v>2407</v>
      </c>
      <c r="B2447" s="9"/>
      <c r="C2447" s="9"/>
      <c r="D2447" s="9"/>
      <c r="E2447" s="9"/>
      <c r="F2447" s="9"/>
      <c r="G2447" s="9"/>
      <c r="H2447" s="9"/>
    </row>
    <row r="2448" customFormat="false" ht="42" hidden="false" customHeight="true" outlineLevel="0" collapsed="false">
      <c r="A2448" s="11" t="s">
        <v>2408</v>
      </c>
      <c r="B2448" s="11"/>
      <c r="C2448" s="11"/>
      <c r="D2448" s="11"/>
      <c r="E2448" s="11"/>
      <c r="F2448" s="11"/>
      <c r="G2448" s="11"/>
      <c r="H2448" s="11"/>
    </row>
    <row r="2449" customFormat="false" ht="67.5" hidden="false" customHeight="true" outlineLevel="0" collapsed="false">
      <c r="A2449" s="12" t="s">
        <v>2409</v>
      </c>
      <c r="B2449" s="12"/>
      <c r="C2449" s="12"/>
      <c r="D2449" s="12"/>
      <c r="E2449" s="12" t="s">
        <v>2410</v>
      </c>
      <c r="F2449" s="12"/>
      <c r="G2449" s="12"/>
      <c r="H2449" s="12"/>
    </row>
    <row r="2450" customFormat="false" ht="54.75" hidden="false" customHeight="true" outlineLevel="0" collapsed="false">
      <c r="A2450" s="12" t="s">
        <v>2411</v>
      </c>
      <c r="B2450" s="12"/>
      <c r="C2450" s="12"/>
      <c r="D2450" s="12"/>
      <c r="E2450" s="12" t="s">
        <v>2412</v>
      </c>
      <c r="F2450" s="12"/>
      <c r="G2450" s="12"/>
      <c r="H2450" s="12"/>
    </row>
    <row r="2451" customFormat="false" ht="24" hidden="false" customHeight="true" outlineLevel="0" collapsed="false">
      <c r="A2451" s="13" t="s">
        <v>1402</v>
      </c>
      <c r="B2451" s="13"/>
      <c r="C2451" s="13"/>
      <c r="D2451" s="13"/>
      <c r="E2451" s="13"/>
      <c r="F2451" s="13"/>
      <c r="G2451" s="13"/>
      <c r="H2451" s="13"/>
    </row>
    <row r="2452" customFormat="false" ht="7.5" hidden="false" customHeight="true" outlineLevel="0" collapsed="false"/>
    <row r="2453" customFormat="false" ht="24" hidden="false" customHeight="true" outlineLevel="0" collapsed="false">
      <c r="A2453" s="9" t="s">
        <v>2413</v>
      </c>
      <c r="B2453" s="9"/>
      <c r="C2453" s="9"/>
      <c r="D2453" s="9"/>
      <c r="E2453" s="9"/>
      <c r="F2453" s="9"/>
      <c r="G2453" s="9"/>
      <c r="H2453" s="9"/>
    </row>
    <row r="2454" customFormat="false" ht="45.75" hidden="false" customHeight="true" outlineLevel="0" collapsed="false">
      <c r="A2454" s="11" t="s">
        <v>2414</v>
      </c>
      <c r="B2454" s="11"/>
      <c r="C2454" s="11"/>
      <c r="D2454" s="11"/>
      <c r="E2454" s="11"/>
      <c r="F2454" s="11"/>
      <c r="G2454" s="11"/>
      <c r="H2454" s="11"/>
    </row>
    <row r="2455" customFormat="false" ht="33.75" hidden="false" customHeight="true" outlineLevel="0" collapsed="false">
      <c r="A2455" s="12" t="s">
        <v>2415</v>
      </c>
      <c r="B2455" s="12"/>
      <c r="C2455" s="12"/>
      <c r="D2455" s="12"/>
      <c r="E2455" s="12" t="s">
        <v>2416</v>
      </c>
      <c r="F2455" s="12"/>
      <c r="G2455" s="12"/>
      <c r="H2455" s="12"/>
    </row>
    <row r="2456" customFormat="false" ht="42" hidden="false" customHeight="true" outlineLevel="0" collapsed="false">
      <c r="A2456" s="12" t="s">
        <v>2417</v>
      </c>
      <c r="B2456" s="12"/>
      <c r="C2456" s="12"/>
      <c r="D2456" s="12"/>
      <c r="E2456" s="12" t="s">
        <v>2418</v>
      </c>
      <c r="F2456" s="12"/>
      <c r="G2456" s="12"/>
      <c r="H2456" s="12"/>
    </row>
    <row r="2457" customFormat="false" ht="24" hidden="false" customHeight="true" outlineLevel="0" collapsed="false">
      <c r="A2457" s="13" t="s">
        <v>1283</v>
      </c>
      <c r="B2457" s="13"/>
      <c r="C2457" s="13"/>
      <c r="D2457" s="13"/>
      <c r="E2457" s="13"/>
      <c r="F2457" s="13"/>
      <c r="G2457" s="13"/>
      <c r="H2457" s="13"/>
    </row>
    <row r="2458" customFormat="false" ht="7.5" hidden="false" customHeight="true" outlineLevel="0" collapsed="false"/>
    <row r="2459" customFormat="false" ht="24" hidden="false" customHeight="true" outlineLevel="0" collapsed="false">
      <c r="A2459" s="9" t="s">
        <v>2419</v>
      </c>
      <c r="B2459" s="9"/>
      <c r="C2459" s="9"/>
      <c r="D2459" s="9"/>
      <c r="E2459" s="9"/>
      <c r="F2459" s="9"/>
      <c r="G2459" s="9"/>
      <c r="H2459" s="9"/>
    </row>
    <row r="2460" customFormat="false" ht="42" hidden="false" customHeight="true" outlineLevel="0" collapsed="false">
      <c r="A2460" s="11" t="s">
        <v>2420</v>
      </c>
      <c r="B2460" s="11"/>
      <c r="C2460" s="11"/>
      <c r="D2460" s="11"/>
      <c r="E2460" s="11"/>
      <c r="F2460" s="11"/>
      <c r="G2460" s="11"/>
      <c r="H2460" s="11"/>
    </row>
    <row r="2461" customFormat="false" ht="42" hidden="false" customHeight="true" outlineLevel="0" collapsed="false">
      <c r="A2461" s="12" t="s">
        <v>2421</v>
      </c>
      <c r="B2461" s="12"/>
      <c r="C2461" s="12"/>
      <c r="D2461" s="12"/>
      <c r="E2461" s="12" t="s">
        <v>2422</v>
      </c>
      <c r="F2461" s="12"/>
      <c r="G2461" s="12"/>
      <c r="H2461" s="12"/>
    </row>
    <row r="2462" customFormat="false" ht="42" hidden="false" customHeight="true" outlineLevel="0" collapsed="false">
      <c r="A2462" s="12" t="s">
        <v>2423</v>
      </c>
      <c r="B2462" s="12"/>
      <c r="C2462" s="12"/>
      <c r="D2462" s="12"/>
      <c r="E2462" s="12" t="s">
        <v>1473</v>
      </c>
      <c r="F2462" s="12"/>
      <c r="G2462" s="12"/>
      <c r="H2462" s="12"/>
    </row>
    <row r="2463" customFormat="false" ht="24" hidden="false" customHeight="true" outlineLevel="0" collapsed="false">
      <c r="A2463" s="13" t="s">
        <v>1441</v>
      </c>
      <c r="B2463" s="13"/>
      <c r="C2463" s="13"/>
      <c r="D2463" s="13"/>
      <c r="E2463" s="13"/>
      <c r="F2463" s="13"/>
      <c r="G2463" s="13"/>
      <c r="H2463" s="13"/>
    </row>
    <row r="2464" customFormat="false" ht="7.5" hidden="false" customHeight="true" outlineLevel="0" collapsed="false"/>
    <row r="2465" customFormat="false" ht="24" hidden="false" customHeight="true" outlineLevel="0" collapsed="false">
      <c r="A2465" s="9" t="s">
        <v>2424</v>
      </c>
      <c r="B2465" s="9"/>
      <c r="C2465" s="9"/>
      <c r="D2465" s="9"/>
      <c r="E2465" s="9"/>
      <c r="F2465" s="9"/>
      <c r="G2465" s="9"/>
      <c r="H2465" s="9"/>
    </row>
    <row r="2466" customFormat="false" ht="42" hidden="false" customHeight="true" outlineLevel="0" collapsed="false">
      <c r="A2466" s="11" t="s">
        <v>2425</v>
      </c>
      <c r="B2466" s="11"/>
      <c r="C2466" s="11"/>
      <c r="D2466" s="11"/>
      <c r="E2466" s="11"/>
      <c r="F2466" s="11"/>
      <c r="G2466" s="11"/>
      <c r="H2466" s="11"/>
    </row>
    <row r="2467" customFormat="false" ht="42" hidden="false" customHeight="true" outlineLevel="0" collapsed="false">
      <c r="A2467" s="12" t="s">
        <v>2426</v>
      </c>
      <c r="B2467" s="12"/>
      <c r="C2467" s="12"/>
      <c r="D2467" s="12"/>
      <c r="E2467" s="12" t="s">
        <v>2427</v>
      </c>
      <c r="F2467" s="12"/>
      <c r="G2467" s="12"/>
      <c r="H2467" s="12"/>
    </row>
    <row r="2468" customFormat="false" ht="42" hidden="false" customHeight="true" outlineLevel="0" collapsed="false">
      <c r="A2468" s="12" t="s">
        <v>2428</v>
      </c>
      <c r="B2468" s="12"/>
      <c r="C2468" s="12"/>
      <c r="D2468" s="12"/>
      <c r="E2468" s="12" t="s">
        <v>2429</v>
      </c>
      <c r="F2468" s="12"/>
      <c r="G2468" s="12"/>
      <c r="H2468" s="12"/>
    </row>
    <row r="2469" customFormat="false" ht="24" hidden="false" customHeight="true" outlineLevel="0" collapsed="false">
      <c r="A2469" s="13" t="s">
        <v>1460</v>
      </c>
      <c r="B2469" s="13"/>
      <c r="C2469" s="13"/>
      <c r="D2469" s="13"/>
      <c r="E2469" s="13"/>
      <c r="F2469" s="13"/>
      <c r="G2469" s="13"/>
      <c r="H2469" s="13"/>
    </row>
    <row r="2470" customFormat="false" ht="7.5" hidden="false" customHeight="true" outlineLevel="0" collapsed="false"/>
    <row r="2471" customFormat="false" ht="24" hidden="false" customHeight="true" outlineLevel="0" collapsed="false">
      <c r="A2471" s="9" t="s">
        <v>2430</v>
      </c>
      <c r="B2471" s="9"/>
      <c r="C2471" s="9"/>
      <c r="D2471" s="9"/>
      <c r="E2471" s="9"/>
      <c r="F2471" s="9"/>
      <c r="G2471" s="9"/>
      <c r="H2471" s="9"/>
    </row>
    <row r="2472" customFormat="false" ht="42" hidden="false" customHeight="true" outlineLevel="0" collapsed="false">
      <c r="A2472" s="11" t="s">
        <v>2431</v>
      </c>
      <c r="B2472" s="11"/>
      <c r="C2472" s="11"/>
      <c r="D2472" s="11"/>
      <c r="E2472" s="11"/>
      <c r="F2472" s="11"/>
      <c r="G2472" s="11"/>
      <c r="H2472" s="11"/>
    </row>
    <row r="2473" customFormat="false" ht="33.75" hidden="false" customHeight="true" outlineLevel="0" collapsed="false">
      <c r="A2473" s="12" t="s">
        <v>2432</v>
      </c>
      <c r="B2473" s="12"/>
      <c r="C2473" s="12"/>
      <c r="D2473" s="12"/>
      <c r="E2473" s="12" t="s">
        <v>2433</v>
      </c>
      <c r="F2473" s="12"/>
      <c r="G2473" s="12"/>
      <c r="H2473" s="12"/>
    </row>
    <row r="2474" customFormat="false" ht="67.5" hidden="false" customHeight="true" outlineLevel="0" collapsed="false">
      <c r="A2474" s="12" t="s">
        <v>2434</v>
      </c>
      <c r="B2474" s="12"/>
      <c r="C2474" s="12"/>
      <c r="D2474" s="12"/>
      <c r="E2474" s="12" t="s">
        <v>2435</v>
      </c>
      <c r="F2474" s="12"/>
      <c r="G2474" s="12"/>
      <c r="H2474" s="12"/>
    </row>
    <row r="2475" customFormat="false" ht="24" hidden="false" customHeight="true" outlineLevel="0" collapsed="false">
      <c r="A2475" s="13" t="s">
        <v>1596</v>
      </c>
      <c r="B2475" s="13"/>
      <c r="C2475" s="13"/>
      <c r="D2475" s="13"/>
      <c r="E2475" s="13"/>
      <c r="F2475" s="13"/>
      <c r="G2475" s="13"/>
      <c r="H2475" s="13"/>
    </row>
    <row r="2476" customFormat="false" ht="7.5" hidden="false" customHeight="true" outlineLevel="0" collapsed="false"/>
    <row r="2477" customFormat="false" ht="24" hidden="false" customHeight="true" outlineLevel="0" collapsed="false">
      <c r="A2477" s="9" t="s">
        <v>2436</v>
      </c>
      <c r="B2477" s="9"/>
      <c r="C2477" s="9"/>
      <c r="D2477" s="9"/>
      <c r="E2477" s="9"/>
      <c r="F2477" s="9"/>
      <c r="G2477" s="9"/>
      <c r="H2477" s="9"/>
    </row>
    <row r="2478" customFormat="false" ht="45.75" hidden="false" customHeight="true" outlineLevel="0" collapsed="false">
      <c r="A2478" s="11" t="s">
        <v>2437</v>
      </c>
      <c r="B2478" s="11"/>
      <c r="C2478" s="11"/>
      <c r="D2478" s="11"/>
      <c r="E2478" s="11"/>
      <c r="F2478" s="11"/>
      <c r="G2478" s="11"/>
      <c r="H2478" s="11"/>
    </row>
    <row r="2479" customFormat="false" ht="33.75" hidden="false" customHeight="true" outlineLevel="0" collapsed="false">
      <c r="A2479" s="12" t="s">
        <v>2438</v>
      </c>
      <c r="B2479" s="12"/>
      <c r="C2479" s="12"/>
      <c r="D2479" s="12"/>
      <c r="E2479" s="12" t="s">
        <v>2439</v>
      </c>
      <c r="F2479" s="12"/>
      <c r="G2479" s="12"/>
      <c r="H2479" s="12"/>
    </row>
    <row r="2480" customFormat="false" ht="33.75" hidden="false" customHeight="true" outlineLevel="0" collapsed="false">
      <c r="A2480" s="12" t="s">
        <v>2440</v>
      </c>
      <c r="B2480" s="12"/>
      <c r="C2480" s="12"/>
      <c r="D2480" s="12"/>
      <c r="E2480" s="12" t="s">
        <v>2441</v>
      </c>
      <c r="F2480" s="12"/>
      <c r="G2480" s="12"/>
      <c r="H2480" s="12"/>
    </row>
    <row r="2481" customFormat="false" ht="24" hidden="false" customHeight="true" outlineLevel="0" collapsed="false">
      <c r="A2481" s="13" t="s">
        <v>1311</v>
      </c>
      <c r="B2481" s="13"/>
      <c r="C2481" s="13"/>
      <c r="D2481" s="13"/>
      <c r="E2481" s="13"/>
      <c r="F2481" s="13"/>
      <c r="G2481" s="13"/>
      <c r="H2481" s="13"/>
    </row>
    <row r="2482" customFormat="false" ht="7.5" hidden="false" customHeight="true" outlineLevel="0" collapsed="false"/>
    <row r="2483" customFormat="false" ht="24" hidden="false" customHeight="true" outlineLevel="0" collapsed="false">
      <c r="A2483" s="9" t="s">
        <v>2442</v>
      </c>
      <c r="B2483" s="9"/>
      <c r="C2483" s="9"/>
      <c r="D2483" s="9"/>
      <c r="E2483" s="9"/>
      <c r="F2483" s="9"/>
      <c r="G2483" s="9"/>
      <c r="H2483" s="9"/>
    </row>
    <row r="2484" customFormat="false" ht="45.75" hidden="false" customHeight="true" outlineLevel="0" collapsed="false">
      <c r="A2484" s="11" t="s">
        <v>2443</v>
      </c>
      <c r="B2484" s="11"/>
      <c r="C2484" s="11"/>
      <c r="D2484" s="11"/>
      <c r="E2484" s="11"/>
      <c r="F2484" s="11"/>
      <c r="G2484" s="11"/>
      <c r="H2484" s="11"/>
    </row>
    <row r="2485" customFormat="false" ht="33.75" hidden="false" customHeight="true" outlineLevel="0" collapsed="false">
      <c r="A2485" s="12" t="s">
        <v>2444</v>
      </c>
      <c r="B2485" s="12"/>
      <c r="C2485" s="12"/>
      <c r="D2485" s="12"/>
      <c r="E2485" s="12" t="s">
        <v>2445</v>
      </c>
      <c r="F2485" s="12"/>
      <c r="G2485" s="12"/>
      <c r="H2485" s="12"/>
    </row>
    <row r="2486" customFormat="false" ht="33.75" hidden="false" customHeight="true" outlineLevel="0" collapsed="false">
      <c r="A2486" s="12" t="s">
        <v>2446</v>
      </c>
      <c r="B2486" s="12"/>
      <c r="C2486" s="12"/>
      <c r="D2486" s="12"/>
      <c r="E2486" s="12" t="s">
        <v>2447</v>
      </c>
      <c r="F2486" s="12"/>
      <c r="G2486" s="12"/>
      <c r="H2486" s="12"/>
    </row>
    <row r="2487" customFormat="false" ht="24" hidden="false" customHeight="true" outlineLevel="0" collapsed="false">
      <c r="A2487" s="13" t="s">
        <v>1546</v>
      </c>
      <c r="B2487" s="13"/>
      <c r="C2487" s="13"/>
      <c r="D2487" s="13"/>
      <c r="E2487" s="13"/>
      <c r="F2487" s="13"/>
      <c r="G2487" s="13"/>
      <c r="H2487" s="13"/>
    </row>
    <row r="2488" customFormat="false" ht="7.5" hidden="false" customHeight="true" outlineLevel="0" collapsed="false"/>
    <row r="2489" customFormat="false" ht="24" hidden="false" customHeight="true" outlineLevel="0" collapsed="false">
      <c r="A2489" s="9" t="s">
        <v>2448</v>
      </c>
      <c r="B2489" s="9"/>
      <c r="C2489" s="9"/>
      <c r="D2489" s="9"/>
      <c r="E2489" s="9"/>
      <c r="F2489" s="9"/>
      <c r="G2489" s="9"/>
      <c r="H2489" s="9"/>
    </row>
    <row r="2490" customFormat="false" ht="45.75" hidden="false" customHeight="true" outlineLevel="0" collapsed="false">
      <c r="A2490" s="11" t="s">
        <v>2449</v>
      </c>
      <c r="B2490" s="11"/>
      <c r="C2490" s="11"/>
      <c r="D2490" s="11"/>
      <c r="E2490" s="11"/>
      <c r="F2490" s="11"/>
      <c r="G2490" s="11"/>
      <c r="H2490" s="11"/>
    </row>
    <row r="2491" customFormat="false" ht="33.75" hidden="false" customHeight="true" outlineLevel="0" collapsed="false">
      <c r="A2491" s="12" t="s">
        <v>2450</v>
      </c>
      <c r="B2491" s="12"/>
      <c r="C2491" s="12"/>
      <c r="D2491" s="12"/>
      <c r="E2491" s="12" t="s">
        <v>2451</v>
      </c>
      <c r="F2491" s="12"/>
      <c r="G2491" s="12"/>
      <c r="H2491" s="12"/>
    </row>
    <row r="2492" customFormat="false" ht="33.75" hidden="false" customHeight="true" outlineLevel="0" collapsed="false">
      <c r="A2492" s="12" t="s">
        <v>2452</v>
      </c>
      <c r="B2492" s="12"/>
      <c r="C2492" s="12"/>
      <c r="D2492" s="12"/>
      <c r="E2492" s="12" t="s">
        <v>2453</v>
      </c>
      <c r="F2492" s="12"/>
      <c r="G2492" s="12"/>
      <c r="H2492" s="12"/>
    </row>
    <row r="2493" customFormat="false" ht="24" hidden="false" customHeight="true" outlineLevel="0" collapsed="false">
      <c r="A2493" s="13" t="s">
        <v>1546</v>
      </c>
      <c r="B2493" s="13"/>
      <c r="C2493" s="13"/>
      <c r="D2493" s="13"/>
      <c r="E2493" s="13"/>
      <c r="F2493" s="13"/>
      <c r="G2493" s="13"/>
      <c r="H2493" s="13"/>
    </row>
    <row r="2494" customFormat="false" ht="7.5" hidden="false" customHeight="true" outlineLevel="0" collapsed="false"/>
    <row r="2495" customFormat="false" ht="24" hidden="false" customHeight="true" outlineLevel="0" collapsed="false">
      <c r="A2495" s="9" t="s">
        <v>2454</v>
      </c>
      <c r="B2495" s="9"/>
      <c r="C2495" s="9"/>
      <c r="D2495" s="9"/>
      <c r="E2495" s="9"/>
      <c r="F2495" s="9"/>
      <c r="G2495" s="9"/>
      <c r="H2495" s="9"/>
    </row>
    <row r="2496" customFormat="false" ht="60" hidden="false" customHeight="true" outlineLevel="0" collapsed="false">
      <c r="A2496" s="11" t="s">
        <v>2455</v>
      </c>
      <c r="B2496" s="11"/>
      <c r="C2496" s="11"/>
      <c r="D2496" s="11"/>
      <c r="E2496" s="11"/>
      <c r="F2496" s="11"/>
      <c r="G2496" s="11"/>
      <c r="H2496" s="11"/>
    </row>
    <row r="2497" customFormat="false" ht="33.75" hidden="false" customHeight="true" outlineLevel="0" collapsed="false">
      <c r="A2497" s="12" t="s">
        <v>2456</v>
      </c>
      <c r="B2497" s="12"/>
      <c r="C2497" s="12"/>
      <c r="D2497" s="12"/>
      <c r="E2497" s="12" t="s">
        <v>2457</v>
      </c>
      <c r="F2497" s="12"/>
      <c r="G2497" s="12"/>
      <c r="H2497" s="12"/>
    </row>
    <row r="2498" customFormat="false" ht="33.75" hidden="false" customHeight="true" outlineLevel="0" collapsed="false">
      <c r="A2498" s="12" t="s">
        <v>2458</v>
      </c>
      <c r="B2498" s="12"/>
      <c r="C2498" s="12"/>
      <c r="D2498" s="12"/>
      <c r="E2498" s="12" t="s">
        <v>2459</v>
      </c>
      <c r="F2498" s="12"/>
      <c r="G2498" s="12"/>
      <c r="H2498" s="12"/>
    </row>
    <row r="2499" customFormat="false" ht="24" hidden="false" customHeight="true" outlineLevel="0" collapsed="false">
      <c r="A2499" s="13" t="s">
        <v>1502</v>
      </c>
      <c r="B2499" s="13"/>
      <c r="C2499" s="13"/>
      <c r="D2499" s="13"/>
      <c r="E2499" s="13"/>
      <c r="F2499" s="13"/>
      <c r="G2499" s="13"/>
      <c r="H2499" s="13"/>
    </row>
    <row r="2500" customFormat="false" ht="7.5" hidden="false" customHeight="true" outlineLevel="0" collapsed="false"/>
    <row r="2501" customFormat="false" ht="24" hidden="false" customHeight="true" outlineLevel="0" collapsed="false">
      <c r="A2501" s="9" t="s">
        <v>2460</v>
      </c>
      <c r="B2501" s="9"/>
      <c r="C2501" s="9"/>
      <c r="D2501" s="9"/>
      <c r="E2501" s="9"/>
      <c r="F2501" s="9"/>
      <c r="G2501" s="9"/>
      <c r="H2501" s="9"/>
    </row>
    <row r="2502" customFormat="false" ht="45.75" hidden="false" customHeight="true" outlineLevel="0" collapsed="false">
      <c r="A2502" s="11" t="s">
        <v>2461</v>
      </c>
      <c r="B2502" s="11"/>
      <c r="C2502" s="11"/>
      <c r="D2502" s="11"/>
      <c r="E2502" s="11"/>
      <c r="F2502" s="11"/>
      <c r="G2502" s="11"/>
      <c r="H2502" s="11"/>
    </row>
    <row r="2503" customFormat="false" ht="33.75" hidden="false" customHeight="true" outlineLevel="0" collapsed="false">
      <c r="A2503" s="12" t="s">
        <v>2462</v>
      </c>
      <c r="B2503" s="12"/>
      <c r="C2503" s="12"/>
      <c r="D2503" s="12"/>
      <c r="E2503" s="12" t="s">
        <v>2463</v>
      </c>
      <c r="F2503" s="12"/>
      <c r="G2503" s="12"/>
      <c r="H2503" s="12"/>
    </row>
    <row r="2504" customFormat="false" ht="33.75" hidden="false" customHeight="true" outlineLevel="0" collapsed="false">
      <c r="A2504" s="12" t="s">
        <v>2464</v>
      </c>
      <c r="B2504" s="12"/>
      <c r="C2504" s="12"/>
      <c r="D2504" s="12"/>
      <c r="E2504" s="12" t="s">
        <v>2465</v>
      </c>
      <c r="F2504" s="12"/>
      <c r="G2504" s="12"/>
      <c r="H2504" s="12"/>
    </row>
    <row r="2505" customFormat="false" ht="24" hidden="false" customHeight="true" outlineLevel="0" collapsed="false">
      <c r="A2505" s="13" t="s">
        <v>1297</v>
      </c>
      <c r="B2505" s="13"/>
      <c r="C2505" s="13"/>
      <c r="D2505" s="13"/>
      <c r="E2505" s="13"/>
      <c r="F2505" s="13"/>
      <c r="G2505" s="13"/>
      <c r="H2505" s="13"/>
    </row>
    <row r="2506" customFormat="false" ht="7.5" hidden="false" customHeight="true" outlineLevel="0" collapsed="false"/>
    <row r="2507" customFormat="false" ht="24" hidden="false" customHeight="true" outlineLevel="0" collapsed="false">
      <c r="A2507" s="9" t="s">
        <v>2466</v>
      </c>
      <c r="B2507" s="9"/>
      <c r="C2507" s="9"/>
      <c r="D2507" s="9"/>
      <c r="E2507" s="9"/>
      <c r="F2507" s="9"/>
      <c r="G2507" s="9"/>
      <c r="H2507" s="9"/>
    </row>
    <row r="2508" customFormat="false" ht="45.75" hidden="false" customHeight="true" outlineLevel="0" collapsed="false">
      <c r="A2508" s="11" t="s">
        <v>2467</v>
      </c>
      <c r="B2508" s="11"/>
      <c r="C2508" s="11"/>
      <c r="D2508" s="11"/>
      <c r="E2508" s="11"/>
      <c r="F2508" s="11"/>
      <c r="G2508" s="11"/>
      <c r="H2508" s="11"/>
    </row>
    <row r="2509" customFormat="false" ht="67.5" hidden="false" customHeight="true" outlineLevel="0" collapsed="false">
      <c r="A2509" s="12" t="s">
        <v>2468</v>
      </c>
      <c r="B2509" s="12"/>
      <c r="C2509" s="12"/>
      <c r="D2509" s="12"/>
      <c r="E2509" s="12" t="s">
        <v>2469</v>
      </c>
      <c r="F2509" s="12"/>
      <c r="G2509" s="12"/>
      <c r="H2509" s="12"/>
    </row>
    <row r="2510" customFormat="false" ht="42" hidden="false" customHeight="true" outlineLevel="0" collapsed="false">
      <c r="A2510" s="12" t="s">
        <v>2470</v>
      </c>
      <c r="B2510" s="12"/>
      <c r="C2510" s="12"/>
      <c r="D2510" s="12"/>
      <c r="E2510" s="12" t="s">
        <v>2471</v>
      </c>
      <c r="F2510" s="12"/>
      <c r="G2510" s="12"/>
      <c r="H2510" s="12"/>
    </row>
    <row r="2511" customFormat="false" ht="24" hidden="false" customHeight="true" outlineLevel="0" collapsed="false">
      <c r="A2511" s="13" t="s">
        <v>1290</v>
      </c>
      <c r="B2511" s="13"/>
      <c r="C2511" s="13"/>
      <c r="D2511" s="13"/>
      <c r="E2511" s="13"/>
      <c r="F2511" s="13"/>
      <c r="G2511" s="13"/>
      <c r="H2511" s="13"/>
    </row>
    <row r="2512" customFormat="false" ht="7.5" hidden="false" customHeight="true" outlineLevel="0" collapsed="false"/>
    <row r="2513" customFormat="false" ht="24" hidden="false" customHeight="true" outlineLevel="0" collapsed="false">
      <c r="A2513" s="9" t="s">
        <v>2472</v>
      </c>
      <c r="B2513" s="9"/>
      <c r="C2513" s="9"/>
      <c r="D2513" s="9"/>
      <c r="E2513" s="9"/>
      <c r="F2513" s="9"/>
      <c r="G2513" s="9"/>
      <c r="H2513" s="9"/>
    </row>
    <row r="2514" customFormat="false" ht="45.75" hidden="false" customHeight="true" outlineLevel="0" collapsed="false">
      <c r="A2514" s="11" t="s">
        <v>2473</v>
      </c>
      <c r="B2514" s="11"/>
      <c r="C2514" s="11"/>
      <c r="D2514" s="11"/>
      <c r="E2514" s="11"/>
      <c r="F2514" s="11"/>
      <c r="G2514" s="11"/>
      <c r="H2514" s="11"/>
    </row>
    <row r="2515" customFormat="false" ht="54.75" hidden="false" customHeight="true" outlineLevel="0" collapsed="false">
      <c r="A2515" s="12" t="s">
        <v>2474</v>
      </c>
      <c r="B2515" s="12"/>
      <c r="C2515" s="12"/>
      <c r="D2515" s="12"/>
      <c r="E2515" s="12" t="s">
        <v>2475</v>
      </c>
      <c r="F2515" s="12"/>
      <c r="G2515" s="12"/>
      <c r="H2515" s="12"/>
    </row>
    <row r="2516" customFormat="false" ht="54.75" hidden="false" customHeight="true" outlineLevel="0" collapsed="false">
      <c r="A2516" s="12" t="s">
        <v>2476</v>
      </c>
      <c r="B2516" s="12"/>
      <c r="C2516" s="12"/>
      <c r="D2516" s="12"/>
      <c r="E2516" s="12" t="s">
        <v>2477</v>
      </c>
      <c r="F2516" s="12"/>
      <c r="G2516" s="12"/>
      <c r="H2516" s="12"/>
    </row>
    <row r="2517" customFormat="false" ht="24" hidden="false" customHeight="true" outlineLevel="0" collapsed="false">
      <c r="A2517" s="13" t="s">
        <v>1880</v>
      </c>
      <c r="B2517" s="13"/>
      <c r="C2517" s="13"/>
      <c r="D2517" s="13"/>
      <c r="E2517" s="13"/>
      <c r="F2517" s="13"/>
      <c r="G2517" s="13"/>
      <c r="H2517" s="13"/>
    </row>
    <row r="2518" customFormat="false" ht="7.5" hidden="false" customHeight="true" outlineLevel="0" collapsed="false"/>
    <row r="2519" customFormat="false" ht="24" hidden="false" customHeight="true" outlineLevel="0" collapsed="false">
      <c r="A2519" s="9" t="s">
        <v>2478</v>
      </c>
      <c r="B2519" s="9"/>
      <c r="C2519" s="9"/>
      <c r="D2519" s="9"/>
      <c r="E2519" s="9"/>
      <c r="F2519" s="9"/>
      <c r="G2519" s="9"/>
      <c r="H2519" s="9"/>
    </row>
    <row r="2520" customFormat="false" ht="99.75" hidden="false" customHeight="true" outlineLevel="0" collapsed="false">
      <c r="A2520" s="10" t="s">
        <v>1313</v>
      </c>
      <c r="B2520" s="10"/>
      <c r="C2520" s="10"/>
      <c r="D2520" s="10"/>
      <c r="E2520" s="10"/>
      <c r="F2520" s="10"/>
      <c r="G2520" s="10"/>
      <c r="H2520" s="10"/>
    </row>
    <row r="2521" customFormat="false" ht="48" hidden="false" customHeight="true" outlineLevel="0" collapsed="false">
      <c r="A2521" s="10" t="s">
        <v>1314</v>
      </c>
      <c r="B2521" s="10"/>
      <c r="C2521" s="10"/>
      <c r="D2521" s="10"/>
      <c r="E2521" s="10"/>
      <c r="F2521" s="10"/>
      <c r="G2521" s="10"/>
      <c r="H2521" s="10"/>
    </row>
    <row r="2522" customFormat="false" ht="87.75" hidden="false" customHeight="true" outlineLevel="0" collapsed="false">
      <c r="A2522" s="11" t="s">
        <v>2479</v>
      </c>
      <c r="B2522" s="11"/>
      <c r="C2522" s="11"/>
      <c r="D2522" s="11"/>
      <c r="E2522" s="11"/>
      <c r="F2522" s="11"/>
      <c r="G2522" s="11"/>
      <c r="H2522" s="11"/>
    </row>
    <row r="2523" customFormat="false" ht="54.75" hidden="false" customHeight="true" outlineLevel="0" collapsed="false">
      <c r="A2523" s="12" t="s">
        <v>2480</v>
      </c>
      <c r="B2523" s="12"/>
      <c r="C2523" s="12"/>
      <c r="D2523" s="12"/>
      <c r="E2523" s="12" t="s">
        <v>2481</v>
      </c>
      <c r="F2523" s="12"/>
      <c r="G2523" s="12"/>
      <c r="H2523" s="12"/>
    </row>
    <row r="2524" customFormat="false" ht="54.75" hidden="false" customHeight="true" outlineLevel="0" collapsed="false">
      <c r="A2524" s="12" t="s">
        <v>2482</v>
      </c>
      <c r="B2524" s="12"/>
      <c r="C2524" s="12"/>
      <c r="D2524" s="12"/>
      <c r="E2524" s="12" t="s">
        <v>2483</v>
      </c>
      <c r="F2524" s="12"/>
      <c r="G2524" s="12"/>
      <c r="H2524" s="12"/>
    </row>
    <row r="2525" customFormat="false" ht="24" hidden="false" customHeight="true" outlineLevel="0" collapsed="false">
      <c r="A2525" s="13" t="s">
        <v>1320</v>
      </c>
      <c r="B2525" s="13"/>
      <c r="C2525" s="13"/>
      <c r="D2525" s="13"/>
      <c r="E2525" s="13"/>
      <c r="F2525" s="13"/>
      <c r="G2525" s="13"/>
      <c r="H2525" s="13"/>
    </row>
    <row r="2526" customFormat="false" ht="7.5" hidden="false" customHeight="true" outlineLevel="0" collapsed="false"/>
    <row r="2527" customFormat="false" ht="24" hidden="false" customHeight="true" outlineLevel="0" collapsed="false">
      <c r="A2527" s="9" t="s">
        <v>2484</v>
      </c>
      <c r="B2527" s="9"/>
      <c r="C2527" s="9"/>
      <c r="D2527" s="9"/>
      <c r="E2527" s="9"/>
      <c r="F2527" s="9"/>
      <c r="G2527" s="9"/>
      <c r="H2527" s="9"/>
    </row>
    <row r="2528" customFormat="false" ht="45.75" hidden="false" customHeight="true" outlineLevel="0" collapsed="false">
      <c r="A2528" s="11" t="s">
        <v>2485</v>
      </c>
      <c r="B2528" s="11"/>
      <c r="C2528" s="11"/>
      <c r="D2528" s="11"/>
      <c r="E2528" s="11"/>
      <c r="F2528" s="11"/>
      <c r="G2528" s="11"/>
      <c r="H2528" s="11"/>
    </row>
    <row r="2529" customFormat="false" ht="42" hidden="false" customHeight="true" outlineLevel="0" collapsed="false">
      <c r="A2529" s="12" t="s">
        <v>2486</v>
      </c>
      <c r="B2529" s="12"/>
      <c r="C2529" s="12"/>
      <c r="D2529" s="12"/>
      <c r="E2529" s="12" t="s">
        <v>2487</v>
      </c>
      <c r="F2529" s="12"/>
      <c r="G2529" s="12"/>
      <c r="H2529" s="12"/>
    </row>
    <row r="2530" customFormat="false" ht="42" hidden="false" customHeight="true" outlineLevel="0" collapsed="false">
      <c r="A2530" s="12" t="s">
        <v>2488</v>
      </c>
      <c r="B2530" s="12"/>
      <c r="C2530" s="12"/>
      <c r="D2530" s="12"/>
      <c r="E2530" s="12" t="s">
        <v>2489</v>
      </c>
      <c r="F2530" s="12"/>
      <c r="G2530" s="12"/>
      <c r="H2530" s="12"/>
    </row>
    <row r="2531" customFormat="false" ht="24" hidden="false" customHeight="true" outlineLevel="0" collapsed="false">
      <c r="A2531" s="13" t="s">
        <v>1569</v>
      </c>
      <c r="B2531" s="13"/>
      <c r="C2531" s="13"/>
      <c r="D2531" s="13"/>
      <c r="E2531" s="13"/>
      <c r="F2531" s="13"/>
      <c r="G2531" s="13"/>
      <c r="H2531" s="13"/>
    </row>
    <row r="2532" customFormat="false" ht="7.5" hidden="false" customHeight="true" outlineLevel="0" collapsed="false"/>
    <row r="2533" customFormat="false" ht="24" hidden="false" customHeight="true" outlineLevel="0" collapsed="false">
      <c r="A2533" s="9" t="s">
        <v>2490</v>
      </c>
      <c r="B2533" s="9"/>
      <c r="C2533" s="9"/>
      <c r="D2533" s="9"/>
      <c r="E2533" s="9"/>
      <c r="F2533" s="9"/>
      <c r="G2533" s="9"/>
      <c r="H2533" s="9"/>
    </row>
    <row r="2534" customFormat="false" ht="45.75" hidden="false" customHeight="true" outlineLevel="0" collapsed="false">
      <c r="A2534" s="11" t="s">
        <v>2491</v>
      </c>
      <c r="B2534" s="11"/>
      <c r="C2534" s="11"/>
      <c r="D2534" s="11"/>
      <c r="E2534" s="11"/>
      <c r="F2534" s="11"/>
      <c r="G2534" s="11"/>
      <c r="H2534" s="11"/>
    </row>
    <row r="2535" customFormat="false" ht="54.75" hidden="false" customHeight="true" outlineLevel="0" collapsed="false">
      <c r="A2535" s="12" t="s">
        <v>2492</v>
      </c>
      <c r="B2535" s="12"/>
      <c r="C2535" s="12"/>
      <c r="D2535" s="12"/>
      <c r="E2535" s="12" t="s">
        <v>2493</v>
      </c>
      <c r="F2535" s="12"/>
      <c r="G2535" s="12"/>
      <c r="H2535" s="12"/>
    </row>
    <row r="2536" customFormat="false" ht="42" hidden="false" customHeight="true" outlineLevel="0" collapsed="false">
      <c r="A2536" s="12" t="s">
        <v>2494</v>
      </c>
      <c r="B2536" s="12"/>
      <c r="C2536" s="12"/>
      <c r="D2536" s="12"/>
      <c r="E2536" s="12" t="s">
        <v>2495</v>
      </c>
      <c r="F2536" s="12"/>
      <c r="G2536" s="12"/>
      <c r="H2536" s="12"/>
    </row>
    <row r="2537" customFormat="false" ht="24" hidden="false" customHeight="true" outlineLevel="0" collapsed="false">
      <c r="A2537" s="13" t="s">
        <v>1290</v>
      </c>
      <c r="B2537" s="13"/>
      <c r="C2537" s="13"/>
      <c r="D2537" s="13"/>
      <c r="E2537" s="13"/>
      <c r="F2537" s="13"/>
      <c r="G2537" s="13"/>
      <c r="H2537" s="13"/>
    </row>
    <row r="2538" customFormat="false" ht="7.5" hidden="false" customHeight="true" outlineLevel="0" collapsed="false"/>
    <row r="2539" customFormat="false" ht="24" hidden="false" customHeight="true" outlineLevel="0" collapsed="false">
      <c r="A2539" s="9" t="s">
        <v>2496</v>
      </c>
      <c r="B2539" s="9"/>
      <c r="C2539" s="9"/>
      <c r="D2539" s="9"/>
      <c r="E2539" s="9"/>
      <c r="F2539" s="9"/>
      <c r="G2539" s="9"/>
      <c r="H2539" s="9"/>
    </row>
    <row r="2540" customFormat="false" ht="45.75" hidden="false" customHeight="true" outlineLevel="0" collapsed="false">
      <c r="A2540" s="11" t="s">
        <v>2497</v>
      </c>
      <c r="B2540" s="11"/>
      <c r="C2540" s="11"/>
      <c r="D2540" s="11"/>
      <c r="E2540" s="11"/>
      <c r="F2540" s="11"/>
      <c r="G2540" s="11"/>
      <c r="H2540" s="11"/>
    </row>
    <row r="2541" customFormat="false" ht="81" hidden="false" customHeight="true" outlineLevel="0" collapsed="false">
      <c r="A2541" s="12" t="s">
        <v>2498</v>
      </c>
      <c r="B2541" s="12"/>
      <c r="C2541" s="12"/>
      <c r="D2541" s="12"/>
      <c r="E2541" s="12" t="s">
        <v>2499</v>
      </c>
      <c r="F2541" s="12"/>
      <c r="G2541" s="12"/>
      <c r="H2541" s="12"/>
    </row>
    <row r="2542" customFormat="false" ht="54.75" hidden="false" customHeight="true" outlineLevel="0" collapsed="false">
      <c r="A2542" s="12" t="s">
        <v>2500</v>
      </c>
      <c r="B2542" s="12"/>
      <c r="C2542" s="12"/>
      <c r="D2542" s="12"/>
      <c r="E2542" s="12" t="s">
        <v>2501</v>
      </c>
      <c r="F2542" s="12"/>
      <c r="G2542" s="12"/>
      <c r="H2542" s="12"/>
    </row>
    <row r="2543" customFormat="false" ht="24" hidden="false" customHeight="true" outlineLevel="0" collapsed="false">
      <c r="A2543" s="13" t="s">
        <v>1924</v>
      </c>
      <c r="B2543" s="13"/>
      <c r="C2543" s="13"/>
      <c r="D2543" s="13"/>
      <c r="E2543" s="13"/>
      <c r="F2543" s="13"/>
      <c r="G2543" s="13"/>
      <c r="H2543" s="13"/>
    </row>
    <row r="2544" customFormat="false" ht="7.5" hidden="false" customHeight="true" outlineLevel="0" collapsed="false"/>
    <row r="2545" customFormat="false" ht="24" hidden="false" customHeight="true" outlineLevel="0" collapsed="false">
      <c r="A2545" s="9" t="s">
        <v>2502</v>
      </c>
      <c r="B2545" s="9"/>
      <c r="C2545" s="9"/>
      <c r="D2545" s="9"/>
      <c r="E2545" s="9"/>
      <c r="F2545" s="9"/>
      <c r="G2545" s="9"/>
      <c r="H2545" s="9"/>
    </row>
    <row r="2546" customFormat="false" ht="45.75" hidden="false" customHeight="true" outlineLevel="0" collapsed="false">
      <c r="A2546" s="11" t="s">
        <v>2503</v>
      </c>
      <c r="B2546" s="11"/>
      <c r="C2546" s="11"/>
      <c r="D2546" s="11"/>
      <c r="E2546" s="11"/>
      <c r="F2546" s="11"/>
      <c r="G2546" s="11"/>
      <c r="H2546" s="11"/>
    </row>
    <row r="2547" customFormat="false" ht="42" hidden="false" customHeight="true" outlineLevel="0" collapsed="false">
      <c r="A2547" s="12" t="s">
        <v>2504</v>
      </c>
      <c r="B2547" s="12"/>
      <c r="C2547" s="12"/>
      <c r="D2547" s="12"/>
      <c r="E2547" s="12" t="s">
        <v>2505</v>
      </c>
      <c r="F2547" s="12"/>
      <c r="G2547" s="12"/>
      <c r="H2547" s="12"/>
    </row>
    <row r="2548" customFormat="false" ht="42" hidden="false" customHeight="true" outlineLevel="0" collapsed="false">
      <c r="A2548" s="12" t="s">
        <v>2506</v>
      </c>
      <c r="B2548" s="12"/>
      <c r="C2548" s="12"/>
      <c r="D2548" s="12"/>
      <c r="E2548" s="12" t="s">
        <v>2507</v>
      </c>
      <c r="F2548" s="12"/>
      <c r="G2548" s="12"/>
      <c r="H2548" s="12"/>
    </row>
    <row r="2549" customFormat="false" ht="24" hidden="false" customHeight="true" outlineLevel="0" collapsed="false">
      <c r="A2549" s="13" t="s">
        <v>1546</v>
      </c>
      <c r="B2549" s="13"/>
      <c r="C2549" s="13"/>
      <c r="D2549" s="13"/>
      <c r="E2549" s="13"/>
      <c r="F2549" s="13"/>
      <c r="G2549" s="13"/>
      <c r="H2549" s="13"/>
    </row>
    <row r="2550" customFormat="false" ht="7.5" hidden="false" customHeight="true" outlineLevel="0" collapsed="false"/>
    <row r="2551" customFormat="false" ht="24" hidden="false" customHeight="true" outlineLevel="0" collapsed="false">
      <c r="A2551" s="9" t="s">
        <v>2508</v>
      </c>
      <c r="B2551" s="9"/>
      <c r="C2551" s="9"/>
      <c r="D2551" s="9"/>
      <c r="E2551" s="9"/>
      <c r="F2551" s="9"/>
      <c r="G2551" s="9"/>
      <c r="H2551" s="9"/>
    </row>
    <row r="2552" customFormat="false" ht="42" hidden="false" customHeight="true" outlineLevel="0" collapsed="false">
      <c r="A2552" s="11" t="s">
        <v>2509</v>
      </c>
      <c r="B2552" s="11"/>
      <c r="C2552" s="11"/>
      <c r="D2552" s="11"/>
      <c r="E2552" s="11"/>
      <c r="F2552" s="11"/>
      <c r="G2552" s="11"/>
      <c r="H2552" s="11"/>
    </row>
    <row r="2553" customFormat="false" ht="54.75" hidden="false" customHeight="true" outlineLevel="0" collapsed="false">
      <c r="A2553" s="12" t="s">
        <v>2510</v>
      </c>
      <c r="B2553" s="12"/>
      <c r="C2553" s="12"/>
      <c r="D2553" s="12"/>
      <c r="E2553" s="12" t="s">
        <v>2511</v>
      </c>
      <c r="F2553" s="12"/>
      <c r="G2553" s="12"/>
      <c r="H2553" s="12"/>
    </row>
    <row r="2554" customFormat="false" ht="42" hidden="false" customHeight="true" outlineLevel="0" collapsed="false">
      <c r="A2554" s="12" t="s">
        <v>2512</v>
      </c>
      <c r="B2554" s="12"/>
      <c r="C2554" s="12"/>
      <c r="D2554" s="12"/>
      <c r="E2554" s="12" t="s">
        <v>2513</v>
      </c>
      <c r="F2554" s="12"/>
      <c r="G2554" s="12"/>
      <c r="H2554" s="12"/>
    </row>
    <row r="2555" customFormat="false" ht="24" hidden="false" customHeight="true" outlineLevel="0" collapsed="false">
      <c r="A2555" s="13" t="s">
        <v>1589</v>
      </c>
      <c r="B2555" s="13"/>
      <c r="C2555" s="13"/>
      <c r="D2555" s="13"/>
      <c r="E2555" s="13"/>
      <c r="F2555" s="13"/>
      <c r="G2555" s="13"/>
      <c r="H2555" s="13"/>
    </row>
    <row r="2556" customFormat="false" ht="7.5" hidden="false" customHeight="true" outlineLevel="0" collapsed="false"/>
    <row r="2557" customFormat="false" ht="24" hidden="false" customHeight="true" outlineLevel="0" collapsed="false">
      <c r="A2557" s="9" t="s">
        <v>2514</v>
      </c>
      <c r="B2557" s="9"/>
      <c r="C2557" s="9"/>
      <c r="D2557" s="9"/>
      <c r="E2557" s="9"/>
      <c r="F2557" s="9"/>
      <c r="G2557" s="9"/>
      <c r="H2557" s="9"/>
    </row>
    <row r="2558" customFormat="false" ht="60" hidden="false" customHeight="true" outlineLevel="0" collapsed="false">
      <c r="A2558" s="11" t="s">
        <v>2515</v>
      </c>
      <c r="B2558" s="11"/>
      <c r="C2558" s="11"/>
      <c r="D2558" s="11"/>
      <c r="E2558" s="11"/>
      <c r="F2558" s="11"/>
      <c r="G2558" s="11"/>
      <c r="H2558" s="11"/>
    </row>
    <row r="2559" customFormat="false" ht="42" hidden="false" customHeight="true" outlineLevel="0" collapsed="false">
      <c r="A2559" s="12" t="s">
        <v>2516</v>
      </c>
      <c r="B2559" s="12"/>
      <c r="C2559" s="12"/>
      <c r="D2559" s="12"/>
      <c r="E2559" s="12" t="s">
        <v>2517</v>
      </c>
      <c r="F2559" s="12"/>
      <c r="G2559" s="12"/>
      <c r="H2559" s="12"/>
    </row>
    <row r="2560" customFormat="false" ht="42" hidden="false" customHeight="true" outlineLevel="0" collapsed="false">
      <c r="A2560" s="12" t="s">
        <v>2518</v>
      </c>
      <c r="B2560" s="12"/>
      <c r="C2560" s="12"/>
      <c r="D2560" s="12"/>
      <c r="E2560" s="12" t="s">
        <v>2519</v>
      </c>
      <c r="F2560" s="12"/>
      <c r="G2560" s="12"/>
      <c r="H2560" s="12"/>
    </row>
    <row r="2561" customFormat="false" ht="24" hidden="false" customHeight="true" outlineLevel="0" collapsed="false">
      <c r="A2561" s="13" t="s">
        <v>1421</v>
      </c>
      <c r="B2561" s="13"/>
      <c r="C2561" s="13"/>
      <c r="D2561" s="13"/>
      <c r="E2561" s="13"/>
      <c r="F2561" s="13"/>
      <c r="G2561" s="13"/>
      <c r="H2561" s="13"/>
    </row>
    <row r="2562" customFormat="false" ht="7.5" hidden="false" customHeight="true" outlineLevel="0" collapsed="false"/>
    <row r="2563" customFormat="false" ht="24" hidden="false" customHeight="true" outlineLevel="0" collapsed="false">
      <c r="A2563" s="9" t="s">
        <v>2520</v>
      </c>
      <c r="B2563" s="9"/>
      <c r="C2563" s="9"/>
      <c r="D2563" s="9"/>
      <c r="E2563" s="9"/>
      <c r="F2563" s="9"/>
      <c r="G2563" s="9"/>
      <c r="H2563" s="9"/>
    </row>
    <row r="2564" customFormat="false" ht="60" hidden="false" customHeight="true" outlineLevel="0" collapsed="false">
      <c r="A2564" s="11" t="s">
        <v>2521</v>
      </c>
      <c r="B2564" s="11"/>
      <c r="C2564" s="11"/>
      <c r="D2564" s="11"/>
      <c r="E2564" s="11"/>
      <c r="F2564" s="11"/>
      <c r="G2564" s="11"/>
      <c r="H2564" s="11"/>
    </row>
    <row r="2565" customFormat="false" ht="54.75" hidden="false" customHeight="true" outlineLevel="0" collapsed="false">
      <c r="A2565" s="12" t="s">
        <v>2522</v>
      </c>
      <c r="B2565" s="12"/>
      <c r="C2565" s="12"/>
      <c r="D2565" s="12"/>
      <c r="E2565" s="12" t="s">
        <v>2523</v>
      </c>
      <c r="F2565" s="12"/>
      <c r="G2565" s="12"/>
      <c r="H2565" s="12"/>
    </row>
    <row r="2566" customFormat="false" ht="42" hidden="false" customHeight="true" outlineLevel="0" collapsed="false">
      <c r="A2566" s="12" t="s">
        <v>2524</v>
      </c>
      <c r="B2566" s="12"/>
      <c r="C2566" s="12"/>
      <c r="D2566" s="12"/>
      <c r="E2566" s="12" t="s">
        <v>2525</v>
      </c>
      <c r="F2566" s="12"/>
      <c r="G2566" s="12"/>
      <c r="H2566" s="12"/>
    </row>
    <row r="2567" customFormat="false" ht="24" hidden="false" customHeight="true" outlineLevel="0" collapsed="false">
      <c r="A2567" s="13" t="s">
        <v>1502</v>
      </c>
      <c r="B2567" s="13"/>
      <c r="C2567" s="13"/>
      <c r="D2567" s="13"/>
      <c r="E2567" s="13"/>
      <c r="F2567" s="13"/>
      <c r="G2567" s="13"/>
      <c r="H2567" s="13"/>
    </row>
    <row r="2568" customFormat="false" ht="7.5" hidden="false" customHeight="true" outlineLevel="0" collapsed="false"/>
    <row r="2569" customFormat="false" ht="24" hidden="false" customHeight="true" outlineLevel="0" collapsed="false">
      <c r="A2569" s="9" t="s">
        <v>2526</v>
      </c>
      <c r="B2569" s="9"/>
      <c r="C2569" s="9"/>
      <c r="D2569" s="9"/>
      <c r="E2569" s="9"/>
      <c r="F2569" s="9"/>
      <c r="G2569" s="9"/>
      <c r="H2569" s="9"/>
    </row>
    <row r="2570" customFormat="false" ht="60" hidden="false" customHeight="true" outlineLevel="0" collapsed="false">
      <c r="A2570" s="11" t="s">
        <v>2527</v>
      </c>
      <c r="B2570" s="11"/>
      <c r="C2570" s="11"/>
      <c r="D2570" s="11"/>
      <c r="E2570" s="11"/>
      <c r="F2570" s="11"/>
      <c r="G2570" s="11"/>
      <c r="H2570" s="11"/>
    </row>
    <row r="2571" customFormat="false" ht="33.75" hidden="false" customHeight="true" outlineLevel="0" collapsed="false">
      <c r="A2571" s="12" t="s">
        <v>2528</v>
      </c>
      <c r="B2571" s="12"/>
      <c r="C2571" s="12"/>
      <c r="D2571" s="12"/>
      <c r="E2571" s="12" t="s">
        <v>2122</v>
      </c>
      <c r="F2571" s="12"/>
      <c r="G2571" s="12"/>
      <c r="H2571" s="12"/>
    </row>
    <row r="2572" customFormat="false" ht="33.75" hidden="false" customHeight="true" outlineLevel="0" collapsed="false">
      <c r="A2572" s="12" t="s">
        <v>2123</v>
      </c>
      <c r="B2572" s="12"/>
      <c r="C2572" s="12"/>
      <c r="D2572" s="12"/>
      <c r="E2572" s="12" t="s">
        <v>2124</v>
      </c>
      <c r="F2572" s="12"/>
      <c r="G2572" s="12"/>
      <c r="H2572" s="12"/>
    </row>
    <row r="2573" customFormat="false" ht="24" hidden="false" customHeight="true" outlineLevel="0" collapsed="false">
      <c r="A2573" s="13" t="s">
        <v>1460</v>
      </c>
      <c r="B2573" s="13"/>
      <c r="C2573" s="13"/>
      <c r="D2573" s="13"/>
      <c r="E2573" s="13"/>
      <c r="F2573" s="13"/>
      <c r="G2573" s="13"/>
      <c r="H2573" s="13"/>
    </row>
    <row r="2574" customFormat="false" ht="7.5" hidden="false" customHeight="true" outlineLevel="0" collapsed="false"/>
    <row r="2575" customFormat="false" ht="24" hidden="false" customHeight="true" outlineLevel="0" collapsed="false">
      <c r="A2575" s="9" t="s">
        <v>2529</v>
      </c>
      <c r="B2575" s="9"/>
      <c r="C2575" s="9"/>
      <c r="D2575" s="9"/>
      <c r="E2575" s="9"/>
      <c r="F2575" s="9"/>
      <c r="G2575" s="9"/>
      <c r="H2575" s="9"/>
    </row>
    <row r="2576" customFormat="false" ht="42" hidden="false" customHeight="true" outlineLevel="0" collapsed="false">
      <c r="A2576" s="11" t="s">
        <v>2530</v>
      </c>
      <c r="B2576" s="11"/>
      <c r="C2576" s="11"/>
      <c r="D2576" s="11"/>
      <c r="E2576" s="11"/>
      <c r="F2576" s="11"/>
      <c r="G2576" s="11"/>
      <c r="H2576" s="11"/>
    </row>
    <row r="2577" customFormat="false" ht="33.75" hidden="false" customHeight="true" outlineLevel="0" collapsed="false">
      <c r="A2577" s="12" t="s">
        <v>2531</v>
      </c>
      <c r="B2577" s="12"/>
      <c r="C2577" s="12"/>
      <c r="D2577" s="12"/>
      <c r="E2577" s="12" t="s">
        <v>2532</v>
      </c>
      <c r="F2577" s="12"/>
      <c r="G2577" s="12"/>
      <c r="H2577" s="12"/>
    </row>
    <row r="2578" customFormat="false" ht="42" hidden="false" customHeight="true" outlineLevel="0" collapsed="false">
      <c r="A2578" s="12" t="s">
        <v>2533</v>
      </c>
      <c r="B2578" s="12"/>
      <c r="C2578" s="12"/>
      <c r="D2578" s="12"/>
      <c r="E2578" s="12" t="s">
        <v>2534</v>
      </c>
      <c r="F2578" s="12"/>
      <c r="G2578" s="12"/>
      <c r="H2578" s="12"/>
    </row>
    <row r="2579" customFormat="false" ht="24" hidden="false" customHeight="true" outlineLevel="0" collapsed="false">
      <c r="A2579" s="13" t="s">
        <v>1905</v>
      </c>
      <c r="B2579" s="13"/>
      <c r="C2579" s="13"/>
      <c r="D2579" s="13"/>
      <c r="E2579" s="13"/>
      <c r="F2579" s="13"/>
      <c r="G2579" s="13"/>
      <c r="H2579" s="13"/>
    </row>
    <row r="2580" customFormat="false" ht="7.5" hidden="false" customHeight="true" outlineLevel="0" collapsed="false"/>
    <row r="2581" customFormat="false" ht="24" hidden="false" customHeight="true" outlineLevel="0" collapsed="false">
      <c r="A2581" s="9" t="s">
        <v>2535</v>
      </c>
      <c r="B2581" s="9"/>
      <c r="C2581" s="9"/>
      <c r="D2581" s="9"/>
      <c r="E2581" s="9"/>
      <c r="F2581" s="9"/>
      <c r="G2581" s="9"/>
      <c r="H2581" s="9"/>
    </row>
    <row r="2582" customFormat="false" ht="45.75" hidden="false" customHeight="true" outlineLevel="0" collapsed="false">
      <c r="A2582" s="11" t="s">
        <v>2536</v>
      </c>
      <c r="B2582" s="11"/>
      <c r="C2582" s="11"/>
      <c r="D2582" s="11"/>
      <c r="E2582" s="11"/>
      <c r="F2582" s="11"/>
      <c r="G2582" s="11"/>
      <c r="H2582" s="11"/>
    </row>
    <row r="2583" customFormat="false" ht="33.75" hidden="false" customHeight="true" outlineLevel="0" collapsed="false">
      <c r="A2583" s="12" t="s">
        <v>2537</v>
      </c>
      <c r="B2583" s="12"/>
      <c r="C2583" s="12"/>
      <c r="D2583" s="12"/>
      <c r="E2583" s="12" t="s">
        <v>2538</v>
      </c>
      <c r="F2583" s="12"/>
      <c r="G2583" s="12"/>
      <c r="H2583" s="12"/>
    </row>
    <row r="2584" customFormat="false" ht="33.75" hidden="false" customHeight="true" outlineLevel="0" collapsed="false">
      <c r="A2584" s="12" t="s">
        <v>2539</v>
      </c>
      <c r="B2584" s="12"/>
      <c r="C2584" s="12"/>
      <c r="D2584" s="12"/>
      <c r="E2584" s="12" t="s">
        <v>2540</v>
      </c>
      <c r="F2584" s="12"/>
      <c r="G2584" s="12"/>
      <c r="H2584" s="12"/>
    </row>
    <row r="2585" customFormat="false" ht="24" hidden="false" customHeight="true" outlineLevel="0" collapsed="false">
      <c r="A2585" s="13" t="s">
        <v>1340</v>
      </c>
      <c r="B2585" s="13"/>
      <c r="C2585" s="13"/>
      <c r="D2585" s="13"/>
      <c r="E2585" s="13"/>
      <c r="F2585" s="13"/>
      <c r="G2585" s="13"/>
      <c r="H2585" s="13"/>
    </row>
    <row r="2586" customFormat="false" ht="7.5" hidden="false" customHeight="true" outlineLevel="0" collapsed="false"/>
    <row r="2587" customFormat="false" ht="24" hidden="false" customHeight="true" outlineLevel="0" collapsed="false">
      <c r="A2587" s="9" t="s">
        <v>2541</v>
      </c>
      <c r="B2587" s="9"/>
      <c r="C2587" s="9"/>
      <c r="D2587" s="9"/>
      <c r="E2587" s="9"/>
      <c r="F2587" s="9"/>
      <c r="G2587" s="9"/>
      <c r="H2587" s="9"/>
    </row>
    <row r="2588" customFormat="false" ht="45.75" hidden="false" customHeight="true" outlineLevel="0" collapsed="false">
      <c r="A2588" s="11" t="s">
        <v>2542</v>
      </c>
      <c r="B2588" s="11"/>
      <c r="C2588" s="11"/>
      <c r="D2588" s="11"/>
      <c r="E2588" s="11"/>
      <c r="F2588" s="11"/>
      <c r="G2588" s="11"/>
      <c r="H2588" s="11"/>
    </row>
    <row r="2589" customFormat="false" ht="42" hidden="false" customHeight="true" outlineLevel="0" collapsed="false">
      <c r="A2589" s="12" t="s">
        <v>2543</v>
      </c>
      <c r="B2589" s="12"/>
      <c r="C2589" s="12"/>
      <c r="D2589" s="12"/>
      <c r="E2589" s="12" t="s">
        <v>2544</v>
      </c>
      <c r="F2589" s="12"/>
      <c r="G2589" s="12"/>
      <c r="H2589" s="12"/>
    </row>
    <row r="2590" customFormat="false" ht="33.75" hidden="false" customHeight="true" outlineLevel="0" collapsed="false">
      <c r="A2590" s="12" t="s">
        <v>2545</v>
      </c>
      <c r="B2590" s="12"/>
      <c r="C2590" s="12"/>
      <c r="D2590" s="12"/>
      <c r="E2590" s="12" t="s">
        <v>2546</v>
      </c>
      <c r="F2590" s="12"/>
      <c r="G2590" s="12"/>
      <c r="H2590" s="12"/>
    </row>
    <row r="2591" customFormat="false" ht="24" hidden="false" customHeight="true" outlineLevel="0" collapsed="false">
      <c r="A2591" s="13" t="s">
        <v>1369</v>
      </c>
      <c r="B2591" s="13"/>
      <c r="C2591" s="13"/>
      <c r="D2591" s="13"/>
      <c r="E2591" s="13"/>
      <c r="F2591" s="13"/>
      <c r="G2591" s="13"/>
      <c r="H2591" s="13"/>
    </row>
    <row r="2592" customFormat="false" ht="7.5" hidden="false" customHeight="true" outlineLevel="0" collapsed="false"/>
    <row r="2593" customFormat="false" ht="24" hidden="false" customHeight="true" outlineLevel="0" collapsed="false">
      <c r="A2593" s="9" t="s">
        <v>2547</v>
      </c>
      <c r="B2593" s="9"/>
      <c r="C2593" s="9"/>
      <c r="D2593" s="9"/>
      <c r="E2593" s="9"/>
      <c r="F2593" s="9"/>
      <c r="G2593" s="9"/>
      <c r="H2593" s="9"/>
    </row>
    <row r="2594" customFormat="false" ht="45.75" hidden="false" customHeight="true" outlineLevel="0" collapsed="false">
      <c r="A2594" s="11" t="s">
        <v>2548</v>
      </c>
      <c r="B2594" s="11"/>
      <c r="C2594" s="11"/>
      <c r="D2594" s="11"/>
      <c r="E2594" s="11"/>
      <c r="F2594" s="11"/>
      <c r="G2594" s="11"/>
      <c r="H2594" s="11"/>
    </row>
    <row r="2595" customFormat="false" ht="42" hidden="false" customHeight="true" outlineLevel="0" collapsed="false">
      <c r="A2595" s="12" t="s">
        <v>2549</v>
      </c>
      <c r="B2595" s="12"/>
      <c r="C2595" s="12"/>
      <c r="D2595" s="12"/>
      <c r="E2595" s="12" t="s">
        <v>2550</v>
      </c>
      <c r="F2595" s="12"/>
      <c r="G2595" s="12"/>
      <c r="H2595" s="12"/>
    </row>
    <row r="2596" customFormat="false" ht="54.75" hidden="false" customHeight="true" outlineLevel="0" collapsed="false">
      <c r="A2596" s="12" t="s">
        <v>2551</v>
      </c>
      <c r="B2596" s="12"/>
      <c r="C2596" s="12"/>
      <c r="D2596" s="12"/>
      <c r="E2596" s="12" t="s">
        <v>2552</v>
      </c>
      <c r="F2596" s="12"/>
      <c r="G2596" s="12"/>
      <c r="H2596" s="12"/>
    </row>
    <row r="2597" customFormat="false" ht="24" hidden="false" customHeight="true" outlineLevel="0" collapsed="false">
      <c r="A2597" s="13" t="s">
        <v>1327</v>
      </c>
      <c r="B2597" s="13"/>
      <c r="C2597" s="13"/>
      <c r="D2597" s="13"/>
      <c r="E2597" s="13"/>
      <c r="F2597" s="13"/>
      <c r="G2597" s="13"/>
      <c r="H2597" s="13"/>
    </row>
    <row r="2598" customFormat="false" ht="7.5" hidden="false" customHeight="true" outlineLevel="0" collapsed="false"/>
    <row r="2599" customFormat="false" ht="24" hidden="false" customHeight="true" outlineLevel="0" collapsed="false">
      <c r="A2599" s="9" t="s">
        <v>2553</v>
      </c>
      <c r="B2599" s="9"/>
      <c r="C2599" s="9"/>
      <c r="D2599" s="9"/>
      <c r="E2599" s="9"/>
      <c r="F2599" s="9"/>
      <c r="G2599" s="9"/>
      <c r="H2599" s="9"/>
    </row>
    <row r="2600" customFormat="false" ht="45.75" hidden="false" customHeight="true" outlineLevel="0" collapsed="false">
      <c r="A2600" s="11" t="s">
        <v>2554</v>
      </c>
      <c r="B2600" s="11"/>
      <c r="C2600" s="11"/>
      <c r="D2600" s="11"/>
      <c r="E2600" s="11"/>
      <c r="F2600" s="11"/>
      <c r="G2600" s="11"/>
      <c r="H2600" s="11"/>
    </row>
    <row r="2601" customFormat="false" ht="33.75" hidden="false" customHeight="true" outlineLevel="0" collapsed="false">
      <c r="A2601" s="12" t="s">
        <v>2555</v>
      </c>
      <c r="B2601" s="12"/>
      <c r="C2601" s="12"/>
      <c r="D2601" s="12"/>
      <c r="E2601" s="12" t="s">
        <v>2556</v>
      </c>
      <c r="F2601" s="12"/>
      <c r="G2601" s="12"/>
      <c r="H2601" s="12"/>
    </row>
    <row r="2602" customFormat="false" ht="42" hidden="false" customHeight="true" outlineLevel="0" collapsed="false">
      <c r="A2602" s="12" t="s">
        <v>2557</v>
      </c>
      <c r="B2602" s="12"/>
      <c r="C2602" s="12"/>
      <c r="D2602" s="12"/>
      <c r="E2602" s="12" t="s">
        <v>2558</v>
      </c>
      <c r="F2602" s="12"/>
      <c r="G2602" s="12"/>
      <c r="H2602" s="12"/>
    </row>
    <row r="2603" customFormat="false" ht="24" hidden="false" customHeight="true" outlineLevel="0" collapsed="false">
      <c r="A2603" s="13" t="s">
        <v>2559</v>
      </c>
      <c r="B2603" s="13"/>
      <c r="C2603" s="13"/>
      <c r="D2603" s="13"/>
      <c r="E2603" s="13"/>
      <c r="F2603" s="13"/>
      <c r="G2603" s="13"/>
      <c r="H2603" s="13"/>
    </row>
    <row r="2604" customFormat="false" ht="7.5" hidden="false" customHeight="true" outlineLevel="0" collapsed="false"/>
    <row r="2605" customFormat="false" ht="24" hidden="false" customHeight="true" outlineLevel="0" collapsed="false">
      <c r="A2605" s="9" t="s">
        <v>2560</v>
      </c>
      <c r="B2605" s="9"/>
      <c r="C2605" s="9"/>
      <c r="D2605" s="9"/>
      <c r="E2605" s="9"/>
      <c r="F2605" s="9"/>
      <c r="G2605" s="9"/>
      <c r="H2605" s="9"/>
    </row>
    <row r="2606" customFormat="false" ht="45.75" hidden="false" customHeight="true" outlineLevel="0" collapsed="false">
      <c r="A2606" s="11" t="s">
        <v>2561</v>
      </c>
      <c r="B2606" s="11"/>
      <c r="C2606" s="11"/>
      <c r="D2606" s="11"/>
      <c r="E2606" s="11"/>
      <c r="F2606" s="11"/>
      <c r="G2606" s="11"/>
      <c r="H2606" s="11"/>
    </row>
    <row r="2607" customFormat="false" ht="33.75" hidden="false" customHeight="true" outlineLevel="0" collapsed="false">
      <c r="A2607" s="12" t="s">
        <v>2562</v>
      </c>
      <c r="B2607" s="12"/>
      <c r="C2607" s="12"/>
      <c r="D2607" s="12"/>
      <c r="E2607" s="12" t="s">
        <v>2563</v>
      </c>
      <c r="F2607" s="12"/>
      <c r="G2607" s="12"/>
      <c r="H2607" s="12"/>
    </row>
    <row r="2608" customFormat="false" ht="33.75" hidden="false" customHeight="true" outlineLevel="0" collapsed="false">
      <c r="A2608" s="12" t="s">
        <v>2564</v>
      </c>
      <c r="B2608" s="12"/>
      <c r="C2608" s="12"/>
      <c r="D2608" s="12"/>
      <c r="E2608" s="12" t="s">
        <v>2565</v>
      </c>
      <c r="F2608" s="12"/>
      <c r="G2608" s="12"/>
      <c r="H2608" s="12"/>
    </row>
    <row r="2609" customFormat="false" ht="24" hidden="false" customHeight="true" outlineLevel="0" collapsed="false">
      <c r="A2609" s="13" t="s">
        <v>1502</v>
      </c>
      <c r="B2609" s="13"/>
      <c r="C2609" s="13"/>
      <c r="D2609" s="13"/>
      <c r="E2609" s="13"/>
      <c r="F2609" s="13"/>
      <c r="G2609" s="13"/>
      <c r="H2609" s="13"/>
    </row>
    <row r="2610" customFormat="false" ht="7.5" hidden="false" customHeight="true" outlineLevel="0" collapsed="false"/>
    <row r="2611" customFormat="false" ht="24" hidden="false" customHeight="true" outlineLevel="0" collapsed="false">
      <c r="A2611" s="9" t="s">
        <v>2566</v>
      </c>
      <c r="B2611" s="9"/>
      <c r="C2611" s="9"/>
      <c r="D2611" s="9"/>
      <c r="E2611" s="9"/>
      <c r="F2611" s="9"/>
      <c r="G2611" s="9"/>
      <c r="H2611" s="9"/>
    </row>
    <row r="2612" customFormat="false" ht="73.5" hidden="false" customHeight="true" outlineLevel="0" collapsed="false">
      <c r="A2612" s="11" t="s">
        <v>2567</v>
      </c>
      <c r="B2612" s="11"/>
      <c r="C2612" s="11"/>
      <c r="D2612" s="11"/>
      <c r="E2612" s="11"/>
      <c r="F2612" s="11"/>
      <c r="G2612" s="11"/>
      <c r="H2612" s="11"/>
    </row>
    <row r="2613" customFormat="false" ht="33.75" hidden="false" customHeight="true" outlineLevel="0" collapsed="false">
      <c r="A2613" s="12" t="s">
        <v>2568</v>
      </c>
      <c r="B2613" s="12"/>
      <c r="C2613" s="12"/>
      <c r="D2613" s="12"/>
      <c r="E2613" s="12" t="s">
        <v>2569</v>
      </c>
      <c r="F2613" s="12"/>
      <c r="G2613" s="12"/>
      <c r="H2613" s="12"/>
    </row>
    <row r="2614" customFormat="false" ht="33.75" hidden="false" customHeight="true" outlineLevel="0" collapsed="false">
      <c r="A2614" s="12" t="s">
        <v>2570</v>
      </c>
      <c r="B2614" s="12"/>
      <c r="C2614" s="12"/>
      <c r="D2614" s="12"/>
      <c r="E2614" s="12" t="s">
        <v>1473</v>
      </c>
      <c r="F2614" s="12"/>
      <c r="G2614" s="12"/>
      <c r="H2614" s="12"/>
    </row>
    <row r="2615" customFormat="false" ht="24" hidden="false" customHeight="true" outlineLevel="0" collapsed="false">
      <c r="A2615" s="13" t="s">
        <v>1396</v>
      </c>
      <c r="B2615" s="13"/>
      <c r="C2615" s="13"/>
      <c r="D2615" s="13"/>
      <c r="E2615" s="13"/>
      <c r="F2615" s="13"/>
      <c r="G2615" s="13"/>
      <c r="H2615" s="13"/>
    </row>
    <row r="2616" customFormat="false" ht="7.5" hidden="false" customHeight="true" outlineLevel="0" collapsed="false"/>
    <row r="2617" customFormat="false" ht="24" hidden="false" customHeight="true" outlineLevel="0" collapsed="false">
      <c r="A2617" s="9" t="s">
        <v>2571</v>
      </c>
      <c r="B2617" s="9"/>
      <c r="C2617" s="9"/>
      <c r="D2617" s="9"/>
      <c r="E2617" s="9"/>
      <c r="F2617" s="9"/>
      <c r="G2617" s="9"/>
      <c r="H2617" s="9"/>
    </row>
    <row r="2618" customFormat="false" ht="42" hidden="false" customHeight="true" outlineLevel="0" collapsed="false">
      <c r="A2618" s="11" t="s">
        <v>2572</v>
      </c>
      <c r="B2618" s="11"/>
      <c r="C2618" s="11"/>
      <c r="D2618" s="11"/>
      <c r="E2618" s="11"/>
      <c r="F2618" s="11"/>
      <c r="G2618" s="11"/>
      <c r="H2618" s="11"/>
    </row>
    <row r="2619" customFormat="false" ht="33.75" hidden="false" customHeight="true" outlineLevel="0" collapsed="false">
      <c r="A2619" s="12" t="s">
        <v>2573</v>
      </c>
      <c r="B2619" s="12"/>
      <c r="C2619" s="12"/>
      <c r="D2619" s="12"/>
      <c r="E2619" s="12" t="s">
        <v>2574</v>
      </c>
      <c r="F2619" s="12"/>
      <c r="G2619" s="12"/>
      <c r="H2619" s="12"/>
    </row>
    <row r="2620" customFormat="false" ht="33.75" hidden="false" customHeight="true" outlineLevel="0" collapsed="false">
      <c r="A2620" s="12" t="s">
        <v>2575</v>
      </c>
      <c r="B2620" s="12"/>
      <c r="C2620" s="12"/>
      <c r="D2620" s="12"/>
      <c r="E2620" s="12" t="s">
        <v>2576</v>
      </c>
      <c r="F2620" s="12"/>
      <c r="G2620" s="12"/>
      <c r="H2620" s="12"/>
    </row>
    <row r="2621" customFormat="false" ht="24" hidden="false" customHeight="true" outlineLevel="0" collapsed="false">
      <c r="A2621" s="13" t="s">
        <v>1569</v>
      </c>
      <c r="B2621" s="13"/>
      <c r="C2621" s="13"/>
      <c r="D2621" s="13"/>
      <c r="E2621" s="13"/>
      <c r="F2621" s="13"/>
      <c r="G2621" s="13"/>
      <c r="H2621" s="13"/>
    </row>
    <row r="2622" customFormat="false" ht="7.5" hidden="false" customHeight="true" outlineLevel="0" collapsed="false"/>
    <row r="2623" customFormat="false" ht="24" hidden="false" customHeight="true" outlineLevel="0" collapsed="false">
      <c r="A2623" s="9" t="s">
        <v>2577</v>
      </c>
      <c r="B2623" s="9"/>
      <c r="C2623" s="9"/>
      <c r="D2623" s="9"/>
      <c r="E2623" s="9"/>
      <c r="F2623" s="9"/>
      <c r="G2623" s="9"/>
      <c r="H2623" s="9"/>
    </row>
    <row r="2624" customFormat="false" ht="60" hidden="false" customHeight="true" outlineLevel="0" collapsed="false">
      <c r="A2624" s="11" t="s">
        <v>2578</v>
      </c>
      <c r="B2624" s="11"/>
      <c r="C2624" s="11"/>
      <c r="D2624" s="11"/>
      <c r="E2624" s="11"/>
      <c r="F2624" s="11"/>
      <c r="G2624" s="11"/>
      <c r="H2624" s="11"/>
    </row>
    <row r="2625" customFormat="false" ht="33.75" hidden="false" customHeight="true" outlineLevel="0" collapsed="false">
      <c r="A2625" s="12" t="s">
        <v>2579</v>
      </c>
      <c r="B2625" s="12"/>
      <c r="C2625" s="12"/>
      <c r="D2625" s="12"/>
      <c r="E2625" s="12" t="s">
        <v>2580</v>
      </c>
      <c r="F2625" s="12"/>
      <c r="G2625" s="12"/>
      <c r="H2625" s="12"/>
    </row>
    <row r="2626" customFormat="false" ht="33.75" hidden="false" customHeight="true" outlineLevel="0" collapsed="false">
      <c r="A2626" s="12" t="s">
        <v>2581</v>
      </c>
      <c r="B2626" s="12"/>
      <c r="C2626" s="12"/>
      <c r="D2626" s="12"/>
      <c r="E2626" s="12" t="s">
        <v>2582</v>
      </c>
      <c r="F2626" s="12"/>
      <c r="G2626" s="12"/>
      <c r="H2626" s="12"/>
    </row>
    <row r="2627" customFormat="false" ht="24" hidden="false" customHeight="true" outlineLevel="0" collapsed="false">
      <c r="A2627" s="13" t="s">
        <v>1421</v>
      </c>
      <c r="B2627" s="13"/>
      <c r="C2627" s="13"/>
      <c r="D2627" s="13"/>
      <c r="E2627" s="13"/>
      <c r="F2627" s="13"/>
      <c r="G2627" s="13"/>
      <c r="H2627" s="13"/>
    </row>
    <row r="2628" customFormat="false" ht="7.5" hidden="false" customHeight="true" outlineLevel="0" collapsed="false"/>
    <row r="2629" customFormat="false" ht="24" hidden="false" customHeight="true" outlineLevel="0" collapsed="false">
      <c r="A2629" s="9" t="s">
        <v>2583</v>
      </c>
      <c r="B2629" s="9"/>
      <c r="C2629" s="9"/>
      <c r="D2629" s="9"/>
      <c r="E2629" s="9"/>
      <c r="F2629" s="9"/>
      <c r="G2629" s="9"/>
      <c r="H2629" s="9"/>
    </row>
    <row r="2630" customFormat="false" ht="45.75" hidden="false" customHeight="true" outlineLevel="0" collapsed="false">
      <c r="A2630" s="11" t="s">
        <v>2584</v>
      </c>
      <c r="B2630" s="11"/>
      <c r="C2630" s="11"/>
      <c r="D2630" s="11"/>
      <c r="E2630" s="11"/>
      <c r="F2630" s="11"/>
      <c r="G2630" s="11"/>
      <c r="H2630" s="11"/>
    </row>
    <row r="2631" customFormat="false" ht="42" hidden="false" customHeight="true" outlineLevel="0" collapsed="false">
      <c r="A2631" s="12" t="s">
        <v>2585</v>
      </c>
      <c r="B2631" s="12"/>
      <c r="C2631" s="12"/>
      <c r="D2631" s="12"/>
      <c r="E2631" s="12" t="s">
        <v>2586</v>
      </c>
      <c r="F2631" s="12"/>
      <c r="G2631" s="12"/>
      <c r="H2631" s="12"/>
    </row>
    <row r="2632" customFormat="false" ht="54.75" hidden="false" customHeight="true" outlineLevel="0" collapsed="false">
      <c r="A2632" s="12" t="s">
        <v>2587</v>
      </c>
      <c r="B2632" s="12"/>
      <c r="C2632" s="12"/>
      <c r="D2632" s="12"/>
      <c r="E2632" s="12" t="s">
        <v>2588</v>
      </c>
      <c r="F2632" s="12"/>
      <c r="G2632" s="12"/>
      <c r="H2632" s="12"/>
    </row>
    <row r="2633" customFormat="false" ht="24" hidden="false" customHeight="true" outlineLevel="0" collapsed="false">
      <c r="A2633" s="13" t="s">
        <v>1402</v>
      </c>
      <c r="B2633" s="13"/>
      <c r="C2633" s="13"/>
      <c r="D2633" s="13"/>
      <c r="E2633" s="13"/>
      <c r="F2633" s="13"/>
      <c r="G2633" s="13"/>
      <c r="H2633" s="13"/>
    </row>
    <row r="2634" customFormat="false" ht="7.5" hidden="false" customHeight="true" outlineLevel="0" collapsed="false"/>
    <row r="2635" customFormat="false" ht="24" hidden="false" customHeight="true" outlineLevel="0" collapsed="false">
      <c r="A2635" s="9" t="s">
        <v>2589</v>
      </c>
      <c r="B2635" s="9"/>
      <c r="C2635" s="9"/>
      <c r="D2635" s="9"/>
      <c r="E2635" s="9"/>
      <c r="F2635" s="9"/>
      <c r="G2635" s="9"/>
      <c r="H2635" s="9"/>
    </row>
    <row r="2636" customFormat="false" ht="45.75" hidden="false" customHeight="true" outlineLevel="0" collapsed="false">
      <c r="A2636" s="11" t="s">
        <v>2590</v>
      </c>
      <c r="B2636" s="11"/>
      <c r="C2636" s="11"/>
      <c r="D2636" s="11"/>
      <c r="E2636" s="11"/>
      <c r="F2636" s="11"/>
      <c r="G2636" s="11"/>
      <c r="H2636" s="11"/>
    </row>
    <row r="2637" customFormat="false" ht="33.75" hidden="false" customHeight="true" outlineLevel="0" collapsed="false">
      <c r="A2637" s="12" t="s">
        <v>2591</v>
      </c>
      <c r="B2637" s="12"/>
      <c r="C2637" s="12"/>
      <c r="D2637" s="12"/>
      <c r="E2637" s="12" t="s">
        <v>2592</v>
      </c>
      <c r="F2637" s="12"/>
      <c r="G2637" s="12"/>
      <c r="H2637" s="12"/>
    </row>
    <row r="2638" customFormat="false" ht="33.75" hidden="false" customHeight="true" outlineLevel="0" collapsed="false">
      <c r="A2638" s="12" t="s">
        <v>2593</v>
      </c>
      <c r="B2638" s="12"/>
      <c r="C2638" s="12"/>
      <c r="D2638" s="12"/>
      <c r="E2638" s="12" t="s">
        <v>2594</v>
      </c>
      <c r="F2638" s="12"/>
      <c r="G2638" s="12"/>
      <c r="H2638" s="12"/>
    </row>
    <row r="2639" customFormat="false" ht="24" hidden="false" customHeight="true" outlineLevel="0" collapsed="false">
      <c r="A2639" s="13" t="s">
        <v>1546</v>
      </c>
      <c r="B2639" s="13"/>
      <c r="C2639" s="13"/>
      <c r="D2639" s="13"/>
      <c r="E2639" s="13"/>
      <c r="F2639" s="13"/>
      <c r="G2639" s="13"/>
      <c r="H2639" s="13"/>
    </row>
    <row r="2640" customFormat="false" ht="7.5" hidden="false" customHeight="true" outlineLevel="0" collapsed="false"/>
    <row r="2641" customFormat="false" ht="24" hidden="false" customHeight="true" outlineLevel="0" collapsed="false">
      <c r="A2641" s="9" t="s">
        <v>2595</v>
      </c>
      <c r="B2641" s="9"/>
      <c r="C2641" s="9"/>
      <c r="D2641" s="9"/>
      <c r="E2641" s="9"/>
      <c r="F2641" s="9"/>
      <c r="G2641" s="9"/>
      <c r="H2641" s="9"/>
    </row>
    <row r="2642" customFormat="false" ht="42" hidden="false" customHeight="true" outlineLevel="0" collapsed="false">
      <c r="A2642" s="11" t="s">
        <v>2596</v>
      </c>
      <c r="B2642" s="11"/>
      <c r="C2642" s="11"/>
      <c r="D2642" s="11"/>
      <c r="E2642" s="11"/>
      <c r="F2642" s="11"/>
      <c r="G2642" s="11"/>
      <c r="H2642" s="11"/>
    </row>
    <row r="2643" customFormat="false" ht="54.75" hidden="false" customHeight="true" outlineLevel="0" collapsed="false">
      <c r="A2643" s="12" t="s">
        <v>2597</v>
      </c>
      <c r="B2643" s="12"/>
      <c r="C2643" s="12"/>
      <c r="D2643" s="12"/>
      <c r="E2643" s="12" t="s">
        <v>2598</v>
      </c>
      <c r="F2643" s="12"/>
      <c r="G2643" s="12"/>
      <c r="H2643" s="12"/>
    </row>
    <row r="2644" customFormat="false" ht="33.75" hidden="false" customHeight="true" outlineLevel="0" collapsed="false">
      <c r="A2644" s="12" t="s">
        <v>2599</v>
      </c>
      <c r="B2644" s="12"/>
      <c r="C2644" s="12"/>
      <c r="D2644" s="12"/>
      <c r="E2644" s="12" t="s">
        <v>1473</v>
      </c>
      <c r="F2644" s="12"/>
      <c r="G2644" s="12"/>
      <c r="H2644" s="12"/>
    </row>
    <row r="2645" customFormat="false" ht="24" hidden="false" customHeight="true" outlineLevel="0" collapsed="false">
      <c r="A2645" s="13" t="s">
        <v>1340</v>
      </c>
      <c r="B2645" s="13"/>
      <c r="C2645" s="13"/>
      <c r="D2645" s="13"/>
      <c r="E2645" s="13"/>
      <c r="F2645" s="13"/>
      <c r="G2645" s="13"/>
      <c r="H2645" s="13"/>
    </row>
    <row r="2646" customFormat="false" ht="7.5" hidden="false" customHeight="true" outlineLevel="0" collapsed="false"/>
    <row r="2647" customFormat="false" ht="24" hidden="false" customHeight="true" outlineLevel="0" collapsed="false">
      <c r="A2647" s="9" t="s">
        <v>2600</v>
      </c>
      <c r="B2647" s="9"/>
      <c r="C2647" s="9"/>
      <c r="D2647" s="9"/>
      <c r="E2647" s="9"/>
      <c r="F2647" s="9"/>
      <c r="G2647" s="9"/>
      <c r="H2647" s="9"/>
    </row>
    <row r="2648" customFormat="false" ht="42" hidden="false" customHeight="true" outlineLevel="0" collapsed="false">
      <c r="A2648" s="11" t="s">
        <v>2601</v>
      </c>
      <c r="B2648" s="11"/>
      <c r="C2648" s="11"/>
      <c r="D2648" s="11"/>
      <c r="E2648" s="11"/>
      <c r="F2648" s="11"/>
      <c r="G2648" s="11"/>
      <c r="H2648" s="11"/>
    </row>
    <row r="2649" customFormat="false" ht="33.75" hidden="false" customHeight="true" outlineLevel="0" collapsed="false">
      <c r="A2649" s="12" t="s">
        <v>185</v>
      </c>
      <c r="B2649" s="12"/>
      <c r="C2649" s="12"/>
      <c r="D2649" s="12"/>
      <c r="E2649" s="12" t="s">
        <v>2602</v>
      </c>
      <c r="F2649" s="12"/>
      <c r="G2649" s="12"/>
      <c r="H2649" s="12"/>
    </row>
    <row r="2650" customFormat="false" ht="33.75" hidden="false" customHeight="true" outlineLevel="0" collapsed="false">
      <c r="A2650" s="12" t="s">
        <v>2603</v>
      </c>
      <c r="B2650" s="12"/>
      <c r="C2650" s="12"/>
      <c r="D2650" s="12"/>
      <c r="E2650" s="12" t="s">
        <v>2604</v>
      </c>
      <c r="F2650" s="12"/>
      <c r="G2650" s="12"/>
      <c r="H2650" s="12"/>
    </row>
    <row r="2651" customFormat="false" ht="24" hidden="false" customHeight="true" outlineLevel="0" collapsed="false">
      <c r="A2651" s="13" t="s">
        <v>1880</v>
      </c>
      <c r="B2651" s="13"/>
      <c r="C2651" s="13"/>
      <c r="D2651" s="13"/>
      <c r="E2651" s="13"/>
      <c r="F2651" s="13"/>
      <c r="G2651" s="13"/>
      <c r="H2651" s="13"/>
    </row>
    <row r="2652" customFormat="false" ht="7.5" hidden="false" customHeight="true" outlineLevel="0" collapsed="false"/>
    <row r="2653" customFormat="false" ht="24" hidden="false" customHeight="true" outlineLevel="0" collapsed="false">
      <c r="A2653" s="9" t="s">
        <v>2605</v>
      </c>
      <c r="B2653" s="9"/>
      <c r="C2653" s="9"/>
      <c r="D2653" s="9"/>
      <c r="E2653" s="9"/>
      <c r="F2653" s="9"/>
      <c r="G2653" s="9"/>
      <c r="H2653" s="9"/>
    </row>
    <row r="2654" customFormat="false" ht="45.75" hidden="false" customHeight="true" outlineLevel="0" collapsed="false">
      <c r="A2654" s="11" t="s">
        <v>2606</v>
      </c>
      <c r="B2654" s="11"/>
      <c r="C2654" s="11"/>
      <c r="D2654" s="11"/>
      <c r="E2654" s="11"/>
      <c r="F2654" s="11"/>
      <c r="G2654" s="11"/>
      <c r="H2654" s="11"/>
    </row>
    <row r="2655" customFormat="false" ht="33.75" hidden="false" customHeight="true" outlineLevel="0" collapsed="false">
      <c r="A2655" s="12" t="s">
        <v>2607</v>
      </c>
      <c r="B2655" s="12"/>
      <c r="C2655" s="12"/>
      <c r="D2655" s="12"/>
      <c r="E2655" s="12" t="s">
        <v>2608</v>
      </c>
      <c r="F2655" s="12"/>
      <c r="G2655" s="12"/>
      <c r="H2655" s="12"/>
    </row>
    <row r="2656" customFormat="false" ht="33.75" hidden="false" customHeight="true" outlineLevel="0" collapsed="false">
      <c r="A2656" s="12" t="s">
        <v>2609</v>
      </c>
      <c r="B2656" s="12"/>
      <c r="C2656" s="12"/>
      <c r="D2656" s="12"/>
      <c r="E2656" s="12" t="s">
        <v>2610</v>
      </c>
      <c r="F2656" s="12"/>
      <c r="G2656" s="12"/>
      <c r="H2656" s="12"/>
    </row>
    <row r="2657" customFormat="false" ht="24" hidden="false" customHeight="true" outlineLevel="0" collapsed="false">
      <c r="A2657" s="13" t="s">
        <v>2611</v>
      </c>
      <c r="B2657" s="13"/>
      <c r="C2657" s="13"/>
      <c r="D2657" s="13"/>
      <c r="E2657" s="13"/>
      <c r="F2657" s="13"/>
      <c r="G2657" s="13"/>
      <c r="H2657" s="13"/>
    </row>
    <row r="2658" customFormat="false" ht="7.5" hidden="false" customHeight="true" outlineLevel="0" collapsed="false"/>
    <row r="2659" customFormat="false" ht="24" hidden="false" customHeight="true" outlineLevel="0" collapsed="false">
      <c r="A2659" s="9" t="s">
        <v>2612</v>
      </c>
      <c r="B2659" s="9"/>
      <c r="C2659" s="9"/>
      <c r="D2659" s="9"/>
      <c r="E2659" s="9"/>
      <c r="F2659" s="9"/>
      <c r="G2659" s="9"/>
      <c r="H2659" s="9"/>
    </row>
    <row r="2660" customFormat="false" ht="42" hidden="false" customHeight="true" outlineLevel="0" collapsed="false">
      <c r="A2660" s="11" t="s">
        <v>2613</v>
      </c>
      <c r="B2660" s="11"/>
      <c r="C2660" s="11"/>
      <c r="D2660" s="11"/>
      <c r="E2660" s="11"/>
      <c r="F2660" s="11"/>
      <c r="G2660" s="11"/>
      <c r="H2660" s="11"/>
    </row>
    <row r="2661" customFormat="false" ht="42" hidden="false" customHeight="true" outlineLevel="0" collapsed="false">
      <c r="A2661" s="12" t="s">
        <v>2614</v>
      </c>
      <c r="B2661" s="12"/>
      <c r="C2661" s="12"/>
      <c r="D2661" s="12"/>
      <c r="E2661" s="12" t="s">
        <v>2615</v>
      </c>
      <c r="F2661" s="12"/>
      <c r="G2661" s="12"/>
      <c r="H2661" s="12"/>
    </row>
    <row r="2662" customFormat="false" ht="33.75" hidden="false" customHeight="true" outlineLevel="0" collapsed="false">
      <c r="A2662" s="12" t="s">
        <v>2616</v>
      </c>
      <c r="B2662" s="12"/>
      <c r="C2662" s="12"/>
      <c r="D2662" s="12"/>
      <c r="E2662" s="12" t="s">
        <v>1473</v>
      </c>
      <c r="F2662" s="12"/>
      <c r="G2662" s="12"/>
      <c r="H2662" s="12"/>
    </row>
    <row r="2663" customFormat="false" ht="24" hidden="false" customHeight="true" outlineLevel="0" collapsed="false">
      <c r="A2663" s="13" t="s">
        <v>1290</v>
      </c>
      <c r="B2663" s="13"/>
      <c r="C2663" s="13"/>
      <c r="D2663" s="13"/>
      <c r="E2663" s="13"/>
      <c r="F2663" s="13"/>
      <c r="G2663" s="13"/>
      <c r="H2663" s="13"/>
    </row>
    <row r="2664" customFormat="false" ht="7.5" hidden="false" customHeight="true" outlineLevel="0" collapsed="false"/>
    <row r="2665" customFormat="false" ht="24" hidden="false" customHeight="true" outlineLevel="0" collapsed="false">
      <c r="A2665" s="9" t="s">
        <v>2617</v>
      </c>
      <c r="B2665" s="9"/>
      <c r="C2665" s="9"/>
      <c r="D2665" s="9"/>
      <c r="E2665" s="9"/>
      <c r="F2665" s="9"/>
      <c r="G2665" s="9"/>
      <c r="H2665" s="9"/>
    </row>
    <row r="2666" customFormat="false" ht="42" hidden="false" customHeight="true" outlineLevel="0" collapsed="false">
      <c r="A2666" s="11" t="s">
        <v>2618</v>
      </c>
      <c r="B2666" s="11"/>
      <c r="C2666" s="11"/>
      <c r="D2666" s="11"/>
      <c r="E2666" s="11"/>
      <c r="F2666" s="11"/>
      <c r="G2666" s="11"/>
      <c r="H2666" s="11"/>
    </row>
    <row r="2667" customFormat="false" ht="33.75" hidden="false" customHeight="true" outlineLevel="0" collapsed="false">
      <c r="A2667" s="12" t="s">
        <v>2619</v>
      </c>
      <c r="B2667" s="12"/>
      <c r="C2667" s="12"/>
      <c r="D2667" s="12"/>
      <c r="E2667" s="12" t="s">
        <v>2620</v>
      </c>
      <c r="F2667" s="12"/>
      <c r="G2667" s="12"/>
      <c r="H2667" s="12"/>
    </row>
    <row r="2668" customFormat="false" ht="33.75" hidden="false" customHeight="true" outlineLevel="0" collapsed="false">
      <c r="A2668" s="12" t="s">
        <v>2621</v>
      </c>
      <c r="B2668" s="12"/>
      <c r="C2668" s="12"/>
      <c r="D2668" s="12"/>
      <c r="E2668" s="12" t="s">
        <v>2622</v>
      </c>
      <c r="F2668" s="12"/>
      <c r="G2668" s="12"/>
      <c r="H2668" s="12"/>
    </row>
    <row r="2669" customFormat="false" ht="24" hidden="false" customHeight="true" outlineLevel="0" collapsed="false">
      <c r="A2669" s="13" t="s">
        <v>1311</v>
      </c>
      <c r="B2669" s="13"/>
      <c r="C2669" s="13"/>
      <c r="D2669" s="13"/>
      <c r="E2669" s="13"/>
      <c r="F2669" s="13"/>
      <c r="G2669" s="13"/>
      <c r="H2669" s="13"/>
    </row>
    <row r="2670" customFormat="false" ht="7.5" hidden="false" customHeight="true" outlineLevel="0" collapsed="false"/>
    <row r="2671" customFormat="false" ht="24" hidden="false" customHeight="true" outlineLevel="0" collapsed="false">
      <c r="A2671" s="9" t="s">
        <v>2623</v>
      </c>
      <c r="B2671" s="9"/>
      <c r="C2671" s="9"/>
      <c r="D2671" s="9"/>
      <c r="E2671" s="9"/>
      <c r="F2671" s="9"/>
      <c r="G2671" s="9"/>
      <c r="H2671" s="9"/>
    </row>
    <row r="2672" customFormat="false" ht="45.75" hidden="false" customHeight="true" outlineLevel="0" collapsed="false">
      <c r="A2672" s="11" t="s">
        <v>2624</v>
      </c>
      <c r="B2672" s="11"/>
      <c r="C2672" s="11"/>
      <c r="D2672" s="11"/>
      <c r="E2672" s="11"/>
      <c r="F2672" s="11"/>
      <c r="G2672" s="11"/>
      <c r="H2672" s="11"/>
    </row>
    <row r="2673" customFormat="false" ht="42" hidden="false" customHeight="true" outlineLevel="0" collapsed="false">
      <c r="A2673" s="12" t="s">
        <v>2625</v>
      </c>
      <c r="B2673" s="12"/>
      <c r="C2673" s="12"/>
      <c r="D2673" s="12"/>
      <c r="E2673" s="12" t="s">
        <v>2626</v>
      </c>
      <c r="F2673" s="12"/>
      <c r="G2673" s="12"/>
      <c r="H2673" s="12"/>
    </row>
    <row r="2674" customFormat="false" ht="54.75" hidden="false" customHeight="true" outlineLevel="0" collapsed="false">
      <c r="A2674" s="12" t="s">
        <v>2627</v>
      </c>
      <c r="B2674" s="12"/>
      <c r="C2674" s="12"/>
      <c r="D2674" s="12"/>
      <c r="E2674" s="12" t="s">
        <v>2628</v>
      </c>
      <c r="F2674" s="12"/>
      <c r="G2674" s="12"/>
      <c r="H2674" s="12"/>
    </row>
    <row r="2675" customFormat="false" ht="24" hidden="false" customHeight="true" outlineLevel="0" collapsed="false">
      <c r="A2675" s="13" t="s">
        <v>1396</v>
      </c>
      <c r="B2675" s="13"/>
      <c r="C2675" s="13"/>
      <c r="D2675" s="13"/>
      <c r="E2675" s="13"/>
      <c r="F2675" s="13"/>
      <c r="G2675" s="13"/>
      <c r="H2675" s="13"/>
    </row>
    <row r="2676" customFormat="false" ht="7.5" hidden="false" customHeight="true" outlineLevel="0" collapsed="false"/>
    <row r="2677" customFormat="false" ht="24" hidden="false" customHeight="true" outlineLevel="0" collapsed="false">
      <c r="A2677" s="9" t="s">
        <v>2629</v>
      </c>
      <c r="B2677" s="9"/>
      <c r="C2677" s="9"/>
      <c r="D2677" s="9"/>
      <c r="E2677" s="9"/>
      <c r="F2677" s="9"/>
      <c r="G2677" s="9"/>
      <c r="H2677" s="9"/>
    </row>
    <row r="2678" customFormat="false" ht="45.75" hidden="false" customHeight="true" outlineLevel="0" collapsed="false">
      <c r="A2678" s="11" t="s">
        <v>2630</v>
      </c>
      <c r="B2678" s="11"/>
      <c r="C2678" s="11"/>
      <c r="D2678" s="11"/>
      <c r="E2678" s="11"/>
      <c r="F2678" s="11"/>
      <c r="G2678" s="11"/>
      <c r="H2678" s="11"/>
    </row>
    <row r="2679" customFormat="false" ht="42" hidden="false" customHeight="true" outlineLevel="0" collapsed="false">
      <c r="A2679" s="12" t="s">
        <v>2631</v>
      </c>
      <c r="B2679" s="12"/>
      <c r="C2679" s="12"/>
      <c r="D2679" s="12"/>
      <c r="E2679" s="12" t="s">
        <v>2632</v>
      </c>
      <c r="F2679" s="12"/>
      <c r="G2679" s="12"/>
      <c r="H2679" s="12"/>
    </row>
    <row r="2680" customFormat="false" ht="54.75" hidden="false" customHeight="true" outlineLevel="0" collapsed="false">
      <c r="A2680" s="12" t="s">
        <v>2633</v>
      </c>
      <c r="B2680" s="12"/>
      <c r="C2680" s="12"/>
      <c r="D2680" s="12"/>
      <c r="E2680" s="12" t="s">
        <v>2634</v>
      </c>
      <c r="F2680" s="12"/>
      <c r="G2680" s="12"/>
      <c r="H2680" s="12"/>
    </row>
    <row r="2681" customFormat="false" ht="24" hidden="false" customHeight="true" outlineLevel="0" collapsed="false">
      <c r="A2681" s="13" t="s">
        <v>1304</v>
      </c>
      <c r="B2681" s="13"/>
      <c r="C2681" s="13"/>
      <c r="D2681" s="13"/>
      <c r="E2681" s="13"/>
      <c r="F2681" s="13"/>
      <c r="G2681" s="13"/>
      <c r="H2681" s="13"/>
    </row>
    <row r="2682" customFormat="false" ht="7.5" hidden="false" customHeight="true" outlineLevel="0" collapsed="false"/>
    <row r="2683" customFormat="false" ht="24" hidden="false" customHeight="true" outlineLevel="0" collapsed="false">
      <c r="A2683" s="9" t="s">
        <v>2635</v>
      </c>
      <c r="B2683" s="9"/>
      <c r="C2683" s="9"/>
      <c r="D2683" s="9"/>
      <c r="E2683" s="9"/>
      <c r="F2683" s="9"/>
      <c r="G2683" s="9"/>
      <c r="H2683" s="9"/>
    </row>
    <row r="2684" customFormat="false" ht="42" hidden="false" customHeight="true" outlineLevel="0" collapsed="false">
      <c r="A2684" s="11" t="s">
        <v>2636</v>
      </c>
      <c r="B2684" s="11"/>
      <c r="C2684" s="11"/>
      <c r="D2684" s="11"/>
      <c r="E2684" s="11"/>
      <c r="F2684" s="11"/>
      <c r="G2684" s="11"/>
      <c r="H2684" s="11"/>
    </row>
    <row r="2685" customFormat="false" ht="54.75" hidden="false" customHeight="true" outlineLevel="0" collapsed="false">
      <c r="A2685" s="12" t="s">
        <v>2637</v>
      </c>
      <c r="B2685" s="12"/>
      <c r="C2685" s="12"/>
      <c r="D2685" s="12"/>
      <c r="E2685" s="12" t="s">
        <v>2638</v>
      </c>
      <c r="F2685" s="12"/>
      <c r="G2685" s="12"/>
      <c r="H2685" s="12"/>
    </row>
    <row r="2686" customFormat="false" ht="42" hidden="false" customHeight="true" outlineLevel="0" collapsed="false">
      <c r="A2686" s="12" t="s">
        <v>2639</v>
      </c>
      <c r="B2686" s="12"/>
      <c r="C2686" s="12"/>
      <c r="D2686" s="12"/>
      <c r="E2686" s="12" t="s">
        <v>1473</v>
      </c>
      <c r="F2686" s="12"/>
      <c r="G2686" s="12"/>
      <c r="H2686" s="12"/>
    </row>
    <row r="2687" customFormat="false" ht="24" hidden="false" customHeight="true" outlineLevel="0" collapsed="false">
      <c r="A2687" s="13" t="s">
        <v>1376</v>
      </c>
      <c r="B2687" s="13"/>
      <c r="C2687" s="13"/>
      <c r="D2687" s="13"/>
      <c r="E2687" s="13"/>
      <c r="F2687" s="13"/>
      <c r="G2687" s="13"/>
      <c r="H2687" s="13"/>
    </row>
    <row r="2688" customFormat="false" ht="7.5" hidden="false" customHeight="true" outlineLevel="0" collapsed="false"/>
    <row r="2689" customFormat="false" ht="24" hidden="false" customHeight="true" outlineLevel="0" collapsed="false">
      <c r="A2689" s="9" t="s">
        <v>2640</v>
      </c>
      <c r="B2689" s="9"/>
      <c r="C2689" s="9"/>
      <c r="D2689" s="9"/>
      <c r="E2689" s="9"/>
      <c r="F2689" s="9"/>
      <c r="G2689" s="9"/>
      <c r="H2689" s="9"/>
    </row>
    <row r="2690" customFormat="false" ht="73.5" hidden="false" customHeight="true" outlineLevel="0" collapsed="false">
      <c r="A2690" s="11" t="s">
        <v>2641</v>
      </c>
      <c r="B2690" s="11"/>
      <c r="C2690" s="11"/>
      <c r="D2690" s="11"/>
      <c r="E2690" s="11"/>
      <c r="F2690" s="11"/>
      <c r="G2690" s="11"/>
      <c r="H2690" s="11"/>
    </row>
    <row r="2691" customFormat="false" ht="106.5" hidden="false" customHeight="true" outlineLevel="0" collapsed="false">
      <c r="A2691" s="12" t="s">
        <v>2642</v>
      </c>
      <c r="B2691" s="12"/>
      <c r="C2691" s="12"/>
      <c r="D2691" s="12"/>
      <c r="E2691" s="12" t="s">
        <v>2643</v>
      </c>
      <c r="F2691" s="12"/>
      <c r="G2691" s="12"/>
      <c r="H2691" s="12"/>
    </row>
    <row r="2692" customFormat="false" ht="106.5" hidden="false" customHeight="true" outlineLevel="0" collapsed="false">
      <c r="A2692" s="12" t="s">
        <v>2644</v>
      </c>
      <c r="B2692" s="12"/>
      <c r="C2692" s="12"/>
      <c r="D2692" s="12"/>
      <c r="E2692" s="12" t="s">
        <v>2645</v>
      </c>
      <c r="F2692" s="12"/>
      <c r="G2692" s="12"/>
      <c r="H2692" s="12"/>
    </row>
    <row r="2693" customFormat="false" ht="24" hidden="false" customHeight="true" outlineLevel="0" collapsed="false">
      <c r="A2693" s="13" t="s">
        <v>1283</v>
      </c>
      <c r="B2693" s="13"/>
      <c r="C2693" s="13"/>
      <c r="D2693" s="13"/>
      <c r="E2693" s="13"/>
      <c r="F2693" s="13"/>
      <c r="G2693" s="13"/>
      <c r="H2693" s="13"/>
    </row>
    <row r="2694" customFormat="false" ht="7.5" hidden="false" customHeight="true" outlineLevel="0" collapsed="false"/>
    <row r="2695" customFormat="false" ht="24" hidden="false" customHeight="true" outlineLevel="0" collapsed="false">
      <c r="A2695" s="9" t="s">
        <v>2646</v>
      </c>
      <c r="B2695" s="9"/>
      <c r="C2695" s="9"/>
      <c r="D2695" s="9"/>
      <c r="E2695" s="9"/>
      <c r="F2695" s="9"/>
      <c r="G2695" s="9"/>
      <c r="H2695" s="9"/>
    </row>
    <row r="2696" customFormat="false" ht="42" hidden="false" customHeight="true" outlineLevel="0" collapsed="false">
      <c r="A2696" s="11" t="s">
        <v>2647</v>
      </c>
      <c r="B2696" s="11"/>
      <c r="C2696" s="11"/>
      <c r="D2696" s="11"/>
      <c r="E2696" s="11"/>
      <c r="F2696" s="11"/>
      <c r="G2696" s="11"/>
      <c r="H2696" s="11"/>
    </row>
    <row r="2697" customFormat="false" ht="33.75" hidden="false" customHeight="true" outlineLevel="0" collapsed="false">
      <c r="A2697" s="12" t="s">
        <v>2648</v>
      </c>
      <c r="B2697" s="12"/>
      <c r="C2697" s="12"/>
      <c r="D2697" s="12"/>
      <c r="E2697" s="12" t="s">
        <v>2649</v>
      </c>
      <c r="F2697" s="12"/>
      <c r="G2697" s="12"/>
      <c r="H2697" s="12"/>
    </row>
    <row r="2698" customFormat="false" ht="33.75" hidden="false" customHeight="true" outlineLevel="0" collapsed="false">
      <c r="A2698" s="12" t="s">
        <v>2650</v>
      </c>
      <c r="B2698" s="12"/>
      <c r="C2698" s="12"/>
      <c r="D2698" s="12"/>
      <c r="E2698" s="12" t="s">
        <v>2651</v>
      </c>
      <c r="F2698" s="12"/>
      <c r="G2698" s="12"/>
      <c r="H2698" s="12"/>
    </row>
    <row r="2699" customFormat="false" ht="24" hidden="false" customHeight="true" outlineLevel="0" collapsed="false">
      <c r="A2699" s="13" t="s">
        <v>1854</v>
      </c>
      <c r="B2699" s="13"/>
      <c r="C2699" s="13"/>
      <c r="D2699" s="13"/>
      <c r="E2699" s="13"/>
      <c r="F2699" s="13"/>
      <c r="G2699" s="13"/>
      <c r="H2699" s="13"/>
    </row>
    <row r="2700" customFormat="false" ht="7.5" hidden="false" customHeight="true" outlineLevel="0" collapsed="false"/>
    <row r="2701" customFormat="false" ht="24" hidden="false" customHeight="true" outlineLevel="0" collapsed="false">
      <c r="A2701" s="9" t="s">
        <v>2652</v>
      </c>
      <c r="B2701" s="9"/>
      <c r="C2701" s="9"/>
      <c r="D2701" s="9"/>
      <c r="E2701" s="9"/>
      <c r="F2701" s="9"/>
      <c r="G2701" s="9"/>
      <c r="H2701" s="9"/>
    </row>
    <row r="2702" customFormat="false" ht="45.75" hidden="false" customHeight="true" outlineLevel="0" collapsed="false">
      <c r="A2702" s="11" t="s">
        <v>2653</v>
      </c>
      <c r="B2702" s="11"/>
      <c r="C2702" s="11"/>
      <c r="D2702" s="11"/>
      <c r="E2702" s="11"/>
      <c r="F2702" s="11"/>
      <c r="G2702" s="11"/>
      <c r="H2702" s="11"/>
    </row>
    <row r="2703" customFormat="false" ht="54.75" hidden="false" customHeight="true" outlineLevel="0" collapsed="false">
      <c r="A2703" s="12" t="s">
        <v>2654</v>
      </c>
      <c r="B2703" s="12"/>
      <c r="C2703" s="12"/>
      <c r="D2703" s="12"/>
      <c r="E2703" s="12" t="s">
        <v>2655</v>
      </c>
      <c r="F2703" s="12"/>
      <c r="G2703" s="12"/>
      <c r="H2703" s="12"/>
    </row>
    <row r="2704" customFormat="false" ht="54.75" hidden="false" customHeight="true" outlineLevel="0" collapsed="false">
      <c r="A2704" s="12" t="s">
        <v>2656</v>
      </c>
      <c r="B2704" s="12"/>
      <c r="C2704" s="12"/>
      <c r="D2704" s="12"/>
      <c r="E2704" s="12" t="s">
        <v>1473</v>
      </c>
      <c r="F2704" s="12"/>
      <c r="G2704" s="12"/>
      <c r="H2704" s="12"/>
    </row>
    <row r="2705" customFormat="false" ht="24" hidden="false" customHeight="true" outlineLevel="0" collapsed="false">
      <c r="A2705" s="13" t="s">
        <v>1340</v>
      </c>
      <c r="B2705" s="13"/>
      <c r="C2705" s="13"/>
      <c r="D2705" s="13"/>
      <c r="E2705" s="13"/>
      <c r="F2705" s="13"/>
      <c r="G2705" s="13"/>
      <c r="H2705" s="13"/>
    </row>
    <row r="2706" customFormat="false" ht="7.5" hidden="false" customHeight="true" outlineLevel="0" collapsed="false"/>
    <row r="2707" customFormat="false" ht="24" hidden="false" customHeight="true" outlineLevel="0" collapsed="false">
      <c r="A2707" s="9" t="s">
        <v>2657</v>
      </c>
      <c r="B2707" s="9"/>
      <c r="C2707" s="9"/>
      <c r="D2707" s="9"/>
      <c r="E2707" s="9"/>
      <c r="F2707" s="9"/>
      <c r="G2707" s="9"/>
      <c r="H2707" s="9"/>
    </row>
    <row r="2708" customFormat="false" ht="45.75" hidden="false" customHeight="true" outlineLevel="0" collapsed="false">
      <c r="A2708" s="11" t="s">
        <v>2658</v>
      </c>
      <c r="B2708" s="11"/>
      <c r="C2708" s="11"/>
      <c r="D2708" s="11"/>
      <c r="E2708" s="11"/>
      <c r="F2708" s="11"/>
      <c r="G2708" s="11"/>
      <c r="H2708" s="11"/>
    </row>
    <row r="2709" customFormat="false" ht="54.75" hidden="false" customHeight="true" outlineLevel="0" collapsed="false">
      <c r="A2709" s="12" t="s">
        <v>2659</v>
      </c>
      <c r="B2709" s="12"/>
      <c r="C2709" s="12"/>
      <c r="D2709" s="12"/>
      <c r="E2709" s="12" t="s">
        <v>2660</v>
      </c>
      <c r="F2709" s="12"/>
      <c r="G2709" s="12"/>
      <c r="H2709" s="12"/>
    </row>
    <row r="2710" customFormat="false" ht="54.75" hidden="false" customHeight="true" outlineLevel="0" collapsed="false">
      <c r="A2710" s="12" t="s">
        <v>2661</v>
      </c>
      <c r="B2710" s="12"/>
      <c r="C2710" s="12"/>
      <c r="D2710" s="12"/>
      <c r="E2710" s="12" t="s">
        <v>2662</v>
      </c>
      <c r="F2710" s="12"/>
      <c r="G2710" s="12"/>
      <c r="H2710" s="12"/>
    </row>
    <row r="2711" customFormat="false" ht="24" hidden="false" customHeight="true" outlineLevel="0" collapsed="false">
      <c r="A2711" s="13" t="s">
        <v>1546</v>
      </c>
      <c r="B2711" s="13"/>
      <c r="C2711" s="13"/>
      <c r="D2711" s="13"/>
      <c r="E2711" s="13"/>
      <c r="F2711" s="13"/>
      <c r="G2711" s="13"/>
      <c r="H2711" s="13"/>
    </row>
    <row r="2712" customFormat="false" ht="7.5" hidden="false" customHeight="true" outlineLevel="0" collapsed="false"/>
    <row r="2713" customFormat="false" ht="24" hidden="false" customHeight="true" outlineLevel="0" collapsed="false">
      <c r="A2713" s="9" t="s">
        <v>2663</v>
      </c>
      <c r="B2713" s="9"/>
      <c r="C2713" s="9"/>
      <c r="D2713" s="9"/>
      <c r="E2713" s="9"/>
      <c r="F2713" s="9"/>
      <c r="G2713" s="9"/>
      <c r="H2713" s="9"/>
    </row>
    <row r="2714" customFormat="false" ht="45.75" hidden="false" customHeight="true" outlineLevel="0" collapsed="false">
      <c r="A2714" s="11" t="s">
        <v>2664</v>
      </c>
      <c r="B2714" s="11"/>
      <c r="C2714" s="11"/>
      <c r="D2714" s="11"/>
      <c r="E2714" s="11"/>
      <c r="F2714" s="11"/>
      <c r="G2714" s="11"/>
      <c r="H2714" s="11"/>
    </row>
    <row r="2715" customFormat="false" ht="33.75" hidden="false" customHeight="true" outlineLevel="0" collapsed="false">
      <c r="A2715" s="12" t="s">
        <v>2665</v>
      </c>
      <c r="B2715" s="12"/>
      <c r="C2715" s="12"/>
      <c r="D2715" s="12"/>
      <c r="E2715" s="12" t="s">
        <v>2666</v>
      </c>
      <c r="F2715" s="12"/>
      <c r="G2715" s="12"/>
      <c r="H2715" s="12"/>
    </row>
    <row r="2716" customFormat="false" ht="33.75" hidden="false" customHeight="true" outlineLevel="0" collapsed="false">
      <c r="A2716" s="12" t="s">
        <v>2667</v>
      </c>
      <c r="B2716" s="12"/>
      <c r="C2716" s="12"/>
      <c r="D2716" s="12"/>
      <c r="E2716" s="12" t="s">
        <v>2668</v>
      </c>
      <c r="F2716" s="12"/>
      <c r="G2716" s="12"/>
      <c r="H2716" s="12"/>
    </row>
    <row r="2717" customFormat="false" ht="24" hidden="false" customHeight="true" outlineLevel="0" collapsed="false">
      <c r="A2717" s="13" t="s">
        <v>1861</v>
      </c>
      <c r="B2717" s="13"/>
      <c r="C2717" s="13"/>
      <c r="D2717" s="13"/>
      <c r="E2717" s="13"/>
      <c r="F2717" s="13"/>
      <c r="G2717" s="13"/>
      <c r="H2717" s="13"/>
    </row>
    <row r="2718" customFormat="false" ht="7.5" hidden="false" customHeight="true" outlineLevel="0" collapsed="false"/>
    <row r="2719" customFormat="false" ht="24" hidden="false" customHeight="true" outlineLevel="0" collapsed="false">
      <c r="A2719" s="9" t="s">
        <v>2669</v>
      </c>
      <c r="B2719" s="9"/>
      <c r="C2719" s="9"/>
      <c r="D2719" s="9"/>
      <c r="E2719" s="9"/>
      <c r="F2719" s="9"/>
      <c r="G2719" s="9"/>
      <c r="H2719" s="9"/>
    </row>
    <row r="2720" customFormat="false" ht="42" hidden="false" customHeight="true" outlineLevel="0" collapsed="false">
      <c r="A2720" s="11" t="s">
        <v>2670</v>
      </c>
      <c r="B2720" s="11"/>
      <c r="C2720" s="11"/>
      <c r="D2720" s="11"/>
      <c r="E2720" s="11"/>
      <c r="F2720" s="11"/>
      <c r="G2720" s="11"/>
      <c r="H2720" s="11"/>
    </row>
    <row r="2721" customFormat="false" ht="42" hidden="false" customHeight="true" outlineLevel="0" collapsed="false">
      <c r="A2721" s="12" t="s">
        <v>2671</v>
      </c>
      <c r="B2721" s="12"/>
      <c r="C2721" s="12"/>
      <c r="D2721" s="12"/>
      <c r="E2721" s="12" t="s">
        <v>2672</v>
      </c>
      <c r="F2721" s="12"/>
      <c r="G2721" s="12"/>
      <c r="H2721" s="12"/>
    </row>
    <row r="2722" customFormat="false" ht="42" hidden="false" customHeight="true" outlineLevel="0" collapsed="false">
      <c r="A2722" s="12" t="s">
        <v>2673</v>
      </c>
      <c r="B2722" s="12"/>
      <c r="C2722" s="12"/>
      <c r="D2722" s="12"/>
      <c r="E2722" s="12" t="s">
        <v>2674</v>
      </c>
      <c r="F2722" s="12"/>
      <c r="G2722" s="12"/>
      <c r="H2722" s="12"/>
    </row>
    <row r="2723" customFormat="false" ht="24" hidden="false" customHeight="true" outlineLevel="0" collapsed="false">
      <c r="A2723" s="13" t="s">
        <v>1546</v>
      </c>
      <c r="B2723" s="13"/>
      <c r="C2723" s="13"/>
      <c r="D2723" s="13"/>
      <c r="E2723" s="13"/>
      <c r="F2723" s="13"/>
      <c r="G2723" s="13"/>
      <c r="H2723" s="13"/>
    </row>
    <row r="2724" customFormat="false" ht="7.5" hidden="false" customHeight="true" outlineLevel="0" collapsed="false"/>
    <row r="2725" customFormat="false" ht="24" hidden="false" customHeight="true" outlineLevel="0" collapsed="false">
      <c r="A2725" s="9" t="s">
        <v>2675</v>
      </c>
      <c r="B2725" s="9"/>
      <c r="C2725" s="9"/>
      <c r="D2725" s="9"/>
      <c r="E2725" s="9"/>
      <c r="F2725" s="9"/>
      <c r="G2725" s="9"/>
      <c r="H2725" s="9"/>
    </row>
    <row r="2726" customFormat="false" ht="42" hidden="false" customHeight="true" outlineLevel="0" collapsed="false">
      <c r="A2726" s="11" t="s">
        <v>2676</v>
      </c>
      <c r="B2726" s="11"/>
      <c r="C2726" s="11"/>
      <c r="D2726" s="11"/>
      <c r="E2726" s="11"/>
      <c r="F2726" s="11"/>
      <c r="G2726" s="11"/>
      <c r="H2726" s="11"/>
    </row>
    <row r="2727" customFormat="false" ht="33.75" hidden="false" customHeight="true" outlineLevel="0" collapsed="false">
      <c r="A2727" s="12" t="s">
        <v>2677</v>
      </c>
      <c r="B2727" s="12"/>
      <c r="C2727" s="12"/>
      <c r="D2727" s="12"/>
      <c r="E2727" s="12" t="s">
        <v>2678</v>
      </c>
      <c r="F2727" s="12"/>
      <c r="G2727" s="12"/>
      <c r="H2727" s="12"/>
    </row>
    <row r="2728" customFormat="false" ht="33.75" hidden="false" customHeight="true" outlineLevel="0" collapsed="false">
      <c r="A2728" s="12" t="s">
        <v>2679</v>
      </c>
      <c r="B2728" s="12"/>
      <c r="C2728" s="12"/>
      <c r="D2728" s="12"/>
      <c r="E2728" s="12" t="s">
        <v>2680</v>
      </c>
      <c r="F2728" s="12"/>
      <c r="G2728" s="12"/>
      <c r="H2728" s="12"/>
    </row>
    <row r="2729" customFormat="false" ht="24" hidden="false" customHeight="true" outlineLevel="0" collapsed="false">
      <c r="A2729" s="13" t="s">
        <v>1434</v>
      </c>
      <c r="B2729" s="13"/>
      <c r="C2729" s="13"/>
      <c r="D2729" s="13"/>
      <c r="E2729" s="13"/>
      <c r="F2729" s="13"/>
      <c r="G2729" s="13"/>
      <c r="H2729" s="13"/>
    </row>
    <row r="2730" customFormat="false" ht="7.5" hidden="false" customHeight="true" outlineLevel="0" collapsed="false"/>
    <row r="2731" customFormat="false" ht="24" hidden="false" customHeight="true" outlineLevel="0" collapsed="false">
      <c r="A2731" s="9" t="s">
        <v>2681</v>
      </c>
      <c r="B2731" s="9"/>
      <c r="C2731" s="9"/>
      <c r="D2731" s="9"/>
      <c r="E2731" s="9"/>
      <c r="F2731" s="9"/>
      <c r="G2731" s="9"/>
      <c r="H2731" s="9"/>
    </row>
    <row r="2732" customFormat="false" ht="45.75" hidden="false" customHeight="true" outlineLevel="0" collapsed="false">
      <c r="A2732" s="11" t="s">
        <v>2682</v>
      </c>
      <c r="B2732" s="11"/>
      <c r="C2732" s="11"/>
      <c r="D2732" s="11"/>
      <c r="E2732" s="11"/>
      <c r="F2732" s="11"/>
      <c r="G2732" s="11"/>
      <c r="H2732" s="11"/>
    </row>
    <row r="2733" customFormat="false" ht="42" hidden="false" customHeight="true" outlineLevel="0" collapsed="false">
      <c r="A2733" s="12" t="s">
        <v>2683</v>
      </c>
      <c r="B2733" s="12"/>
      <c r="C2733" s="12"/>
      <c r="D2733" s="12"/>
      <c r="E2733" s="12" t="s">
        <v>2684</v>
      </c>
      <c r="F2733" s="12"/>
      <c r="G2733" s="12"/>
      <c r="H2733" s="12"/>
    </row>
    <row r="2734" customFormat="false" ht="54.75" hidden="false" customHeight="true" outlineLevel="0" collapsed="false">
      <c r="A2734" s="12" t="s">
        <v>2685</v>
      </c>
      <c r="B2734" s="12"/>
      <c r="C2734" s="12"/>
      <c r="D2734" s="12"/>
      <c r="E2734" s="12" t="s">
        <v>2686</v>
      </c>
      <c r="F2734" s="12"/>
      <c r="G2734" s="12"/>
      <c r="H2734" s="12"/>
    </row>
    <row r="2735" customFormat="false" ht="24" hidden="false" customHeight="true" outlineLevel="0" collapsed="false">
      <c r="A2735" s="13" t="s">
        <v>1396</v>
      </c>
      <c r="B2735" s="13"/>
      <c r="C2735" s="13"/>
      <c r="D2735" s="13"/>
      <c r="E2735" s="13"/>
      <c r="F2735" s="13"/>
      <c r="G2735" s="13"/>
      <c r="H2735" s="13"/>
    </row>
    <row r="2736" customFormat="false" ht="7.5" hidden="false" customHeight="true" outlineLevel="0" collapsed="false"/>
    <row r="2737" customFormat="false" ht="24" hidden="false" customHeight="true" outlineLevel="0" collapsed="false">
      <c r="A2737" s="9" t="s">
        <v>2687</v>
      </c>
      <c r="B2737" s="9"/>
      <c r="C2737" s="9"/>
      <c r="D2737" s="9"/>
      <c r="E2737" s="9"/>
      <c r="F2737" s="9"/>
      <c r="G2737" s="9"/>
      <c r="H2737" s="9"/>
    </row>
    <row r="2738" customFormat="false" ht="42" hidden="false" customHeight="true" outlineLevel="0" collapsed="false">
      <c r="A2738" s="11" t="s">
        <v>2688</v>
      </c>
      <c r="B2738" s="11"/>
      <c r="C2738" s="11"/>
      <c r="D2738" s="11"/>
      <c r="E2738" s="11"/>
      <c r="F2738" s="11"/>
      <c r="G2738" s="11"/>
      <c r="H2738" s="11"/>
    </row>
    <row r="2739" customFormat="false" ht="33.75" hidden="false" customHeight="true" outlineLevel="0" collapsed="false">
      <c r="A2739" s="12" t="s">
        <v>2689</v>
      </c>
      <c r="B2739" s="12"/>
      <c r="C2739" s="12"/>
      <c r="D2739" s="12"/>
      <c r="E2739" s="12" t="s">
        <v>2690</v>
      </c>
      <c r="F2739" s="12"/>
      <c r="G2739" s="12"/>
      <c r="H2739" s="12"/>
    </row>
    <row r="2740" customFormat="false" ht="33.75" hidden="false" customHeight="true" outlineLevel="0" collapsed="false">
      <c r="A2740" s="12" t="s">
        <v>2691</v>
      </c>
      <c r="B2740" s="12"/>
      <c r="C2740" s="12"/>
      <c r="D2740" s="12"/>
      <c r="E2740" s="12" t="s">
        <v>2692</v>
      </c>
      <c r="F2740" s="12"/>
      <c r="G2740" s="12"/>
      <c r="H2740" s="12"/>
    </row>
    <row r="2741" customFormat="false" ht="24" hidden="false" customHeight="true" outlineLevel="0" collapsed="false">
      <c r="A2741" s="13" t="s">
        <v>1861</v>
      </c>
      <c r="B2741" s="13"/>
      <c r="C2741" s="13"/>
      <c r="D2741" s="13"/>
      <c r="E2741" s="13"/>
      <c r="F2741" s="13"/>
      <c r="G2741" s="13"/>
      <c r="H2741" s="13"/>
    </row>
    <row r="2742" customFormat="false" ht="7.5" hidden="false" customHeight="true" outlineLevel="0" collapsed="false"/>
    <row r="2743" customFormat="false" ht="24" hidden="false" customHeight="true" outlineLevel="0" collapsed="false">
      <c r="A2743" s="9" t="s">
        <v>2693</v>
      </c>
      <c r="B2743" s="9"/>
      <c r="C2743" s="9"/>
      <c r="D2743" s="9"/>
      <c r="E2743" s="9"/>
      <c r="F2743" s="9"/>
      <c r="G2743" s="9"/>
      <c r="H2743" s="9"/>
    </row>
    <row r="2744" customFormat="false" ht="45.75" hidden="false" customHeight="true" outlineLevel="0" collapsed="false">
      <c r="A2744" s="11" t="s">
        <v>2694</v>
      </c>
      <c r="B2744" s="11"/>
      <c r="C2744" s="11"/>
      <c r="D2744" s="11"/>
      <c r="E2744" s="11"/>
      <c r="F2744" s="11"/>
      <c r="G2744" s="11"/>
      <c r="H2744" s="11"/>
    </row>
    <row r="2745" customFormat="false" ht="33.75" hidden="false" customHeight="true" outlineLevel="0" collapsed="false">
      <c r="A2745" s="12" t="s">
        <v>2695</v>
      </c>
      <c r="B2745" s="12"/>
      <c r="C2745" s="12"/>
      <c r="D2745" s="12"/>
      <c r="E2745" s="12" t="s">
        <v>2696</v>
      </c>
      <c r="F2745" s="12"/>
      <c r="G2745" s="12"/>
      <c r="H2745" s="12"/>
    </row>
    <row r="2746" customFormat="false" ht="42" hidden="false" customHeight="true" outlineLevel="0" collapsed="false">
      <c r="A2746" s="12" t="s">
        <v>2697</v>
      </c>
      <c r="B2746" s="12"/>
      <c r="C2746" s="12"/>
      <c r="D2746" s="12"/>
      <c r="E2746" s="12" t="s">
        <v>2698</v>
      </c>
      <c r="F2746" s="12"/>
      <c r="G2746" s="12"/>
      <c r="H2746" s="12"/>
    </row>
    <row r="2747" customFormat="false" ht="24" hidden="false" customHeight="true" outlineLevel="0" collapsed="false">
      <c r="A2747" s="13" t="s">
        <v>2357</v>
      </c>
      <c r="B2747" s="13"/>
      <c r="C2747" s="13"/>
      <c r="D2747" s="13"/>
      <c r="E2747" s="13"/>
      <c r="F2747" s="13"/>
      <c r="G2747" s="13"/>
      <c r="H2747" s="13"/>
    </row>
    <row r="2748" customFormat="false" ht="7.5" hidden="false" customHeight="true" outlineLevel="0" collapsed="false"/>
    <row r="2749" customFormat="false" ht="24" hidden="false" customHeight="true" outlineLevel="0" collapsed="false">
      <c r="A2749" s="9" t="s">
        <v>2699</v>
      </c>
      <c r="B2749" s="9"/>
      <c r="C2749" s="9"/>
      <c r="D2749" s="9"/>
      <c r="E2749" s="9"/>
      <c r="F2749" s="9"/>
      <c r="G2749" s="9"/>
      <c r="H2749" s="9"/>
    </row>
    <row r="2750" customFormat="false" ht="45.75" hidden="false" customHeight="true" outlineLevel="0" collapsed="false">
      <c r="A2750" s="11" t="s">
        <v>2700</v>
      </c>
      <c r="B2750" s="11"/>
      <c r="C2750" s="11"/>
      <c r="D2750" s="11"/>
      <c r="E2750" s="11"/>
      <c r="F2750" s="11"/>
      <c r="G2750" s="11"/>
      <c r="H2750" s="11"/>
    </row>
    <row r="2751" customFormat="false" ht="33.75" hidden="false" customHeight="true" outlineLevel="0" collapsed="false">
      <c r="A2751" s="12" t="s">
        <v>2701</v>
      </c>
      <c r="B2751" s="12"/>
      <c r="C2751" s="12"/>
      <c r="D2751" s="12"/>
      <c r="E2751" s="12" t="s">
        <v>2702</v>
      </c>
      <c r="F2751" s="12"/>
      <c r="G2751" s="12"/>
      <c r="H2751" s="12"/>
    </row>
    <row r="2752" customFormat="false" ht="33.75" hidden="false" customHeight="true" outlineLevel="0" collapsed="false">
      <c r="A2752" s="12" t="s">
        <v>2703</v>
      </c>
      <c r="B2752" s="12"/>
      <c r="C2752" s="12"/>
      <c r="D2752" s="12"/>
      <c r="E2752" s="12" t="s">
        <v>2704</v>
      </c>
      <c r="F2752" s="12"/>
      <c r="G2752" s="12"/>
      <c r="H2752" s="12"/>
    </row>
    <row r="2753" customFormat="false" ht="24" hidden="false" customHeight="true" outlineLevel="0" collapsed="false">
      <c r="A2753" s="13" t="s">
        <v>1924</v>
      </c>
      <c r="B2753" s="13"/>
      <c r="C2753" s="13"/>
      <c r="D2753" s="13"/>
      <c r="E2753" s="13"/>
      <c r="F2753" s="13"/>
      <c r="G2753" s="13"/>
      <c r="H2753" s="13"/>
    </row>
    <row r="2754" customFormat="false" ht="7.5" hidden="false" customHeight="true" outlineLevel="0" collapsed="false"/>
    <row r="2755" customFormat="false" ht="24" hidden="false" customHeight="true" outlineLevel="0" collapsed="false">
      <c r="A2755" s="9" t="s">
        <v>2705</v>
      </c>
      <c r="B2755" s="9"/>
      <c r="C2755" s="9"/>
      <c r="D2755" s="9"/>
      <c r="E2755" s="9"/>
      <c r="F2755" s="9"/>
      <c r="G2755" s="9"/>
      <c r="H2755" s="9"/>
    </row>
    <row r="2756" customFormat="false" ht="45.75" hidden="false" customHeight="true" outlineLevel="0" collapsed="false">
      <c r="A2756" s="11" t="s">
        <v>2706</v>
      </c>
      <c r="B2756" s="11"/>
      <c r="C2756" s="11"/>
      <c r="D2756" s="11"/>
      <c r="E2756" s="11"/>
      <c r="F2756" s="11"/>
      <c r="G2756" s="11"/>
      <c r="H2756" s="11"/>
    </row>
    <row r="2757" customFormat="false" ht="54.75" hidden="false" customHeight="true" outlineLevel="0" collapsed="false">
      <c r="A2757" s="12" t="s">
        <v>2707</v>
      </c>
      <c r="B2757" s="12"/>
      <c r="C2757" s="12"/>
      <c r="D2757" s="12"/>
      <c r="E2757" s="12" t="s">
        <v>2708</v>
      </c>
      <c r="F2757" s="12"/>
      <c r="G2757" s="12"/>
      <c r="H2757" s="12"/>
    </row>
    <row r="2758" customFormat="false" ht="54.75" hidden="false" customHeight="true" outlineLevel="0" collapsed="false">
      <c r="A2758" s="12" t="s">
        <v>2709</v>
      </c>
      <c r="B2758" s="12"/>
      <c r="C2758" s="12"/>
      <c r="D2758" s="12"/>
      <c r="E2758" s="12" t="s">
        <v>2710</v>
      </c>
      <c r="F2758" s="12"/>
      <c r="G2758" s="12"/>
      <c r="H2758" s="12"/>
    </row>
    <row r="2759" customFormat="false" ht="24" hidden="false" customHeight="true" outlineLevel="0" collapsed="false">
      <c r="A2759" s="13" t="s">
        <v>1880</v>
      </c>
      <c r="B2759" s="13"/>
      <c r="C2759" s="13"/>
      <c r="D2759" s="13"/>
      <c r="E2759" s="13"/>
      <c r="F2759" s="13"/>
      <c r="G2759" s="13"/>
      <c r="H2759" s="13"/>
    </row>
    <row r="2760" customFormat="false" ht="7.5" hidden="false" customHeight="true" outlineLevel="0" collapsed="false"/>
    <row r="2761" customFormat="false" ht="24" hidden="false" customHeight="true" outlineLevel="0" collapsed="false">
      <c r="A2761" s="9" t="s">
        <v>2711</v>
      </c>
      <c r="B2761" s="9"/>
      <c r="C2761" s="9"/>
      <c r="D2761" s="9"/>
      <c r="E2761" s="9"/>
      <c r="F2761" s="9"/>
      <c r="G2761" s="9"/>
      <c r="H2761" s="9"/>
    </row>
    <row r="2762" customFormat="false" ht="42" hidden="false" customHeight="true" outlineLevel="0" collapsed="false">
      <c r="A2762" s="11" t="s">
        <v>2712</v>
      </c>
      <c r="B2762" s="11"/>
      <c r="C2762" s="11"/>
      <c r="D2762" s="11"/>
      <c r="E2762" s="11"/>
      <c r="F2762" s="11"/>
      <c r="G2762" s="11"/>
      <c r="H2762" s="11"/>
    </row>
    <row r="2763" customFormat="false" ht="54.75" hidden="false" customHeight="true" outlineLevel="0" collapsed="false">
      <c r="A2763" s="12" t="s">
        <v>2713</v>
      </c>
      <c r="B2763" s="12"/>
      <c r="C2763" s="12"/>
      <c r="D2763" s="12"/>
      <c r="E2763" s="12" t="s">
        <v>2714</v>
      </c>
      <c r="F2763" s="12"/>
      <c r="G2763" s="12"/>
      <c r="H2763" s="12"/>
    </row>
    <row r="2764" customFormat="false" ht="54.75" hidden="false" customHeight="true" outlineLevel="0" collapsed="false">
      <c r="A2764" s="12" t="s">
        <v>2715</v>
      </c>
      <c r="B2764" s="12"/>
      <c r="C2764" s="12"/>
      <c r="D2764" s="12"/>
      <c r="E2764" s="12" t="s">
        <v>2716</v>
      </c>
      <c r="F2764" s="12"/>
      <c r="G2764" s="12"/>
      <c r="H2764" s="12"/>
    </row>
    <row r="2765" customFormat="false" ht="24" hidden="false" customHeight="true" outlineLevel="0" collapsed="false">
      <c r="A2765" s="13" t="s">
        <v>2559</v>
      </c>
      <c r="B2765" s="13"/>
      <c r="C2765" s="13"/>
      <c r="D2765" s="13"/>
      <c r="E2765" s="13"/>
      <c r="F2765" s="13"/>
      <c r="G2765" s="13"/>
      <c r="H2765" s="13"/>
    </row>
    <row r="2766" customFormat="false" ht="7.5" hidden="false" customHeight="true" outlineLevel="0" collapsed="false"/>
    <row r="2767" customFormat="false" ht="24" hidden="false" customHeight="true" outlineLevel="0" collapsed="false">
      <c r="A2767" s="9" t="s">
        <v>2717</v>
      </c>
      <c r="B2767" s="9"/>
      <c r="C2767" s="9"/>
      <c r="D2767" s="9"/>
      <c r="E2767" s="9"/>
      <c r="F2767" s="9"/>
      <c r="G2767" s="9"/>
      <c r="H2767" s="9"/>
    </row>
    <row r="2768" customFormat="false" ht="60" hidden="false" customHeight="true" outlineLevel="0" collapsed="false">
      <c r="A2768" s="11" t="s">
        <v>2718</v>
      </c>
      <c r="B2768" s="11"/>
      <c r="C2768" s="11"/>
      <c r="D2768" s="11"/>
      <c r="E2768" s="11"/>
      <c r="F2768" s="11"/>
      <c r="G2768" s="11"/>
      <c r="H2768" s="11"/>
    </row>
    <row r="2769" customFormat="false" ht="54.75" hidden="false" customHeight="true" outlineLevel="0" collapsed="false">
      <c r="A2769" s="12" t="s">
        <v>2719</v>
      </c>
      <c r="B2769" s="12"/>
      <c r="C2769" s="12"/>
      <c r="D2769" s="12"/>
      <c r="E2769" s="12" t="s">
        <v>2720</v>
      </c>
      <c r="F2769" s="12"/>
      <c r="G2769" s="12"/>
      <c r="H2769" s="12"/>
    </row>
    <row r="2770" customFormat="false" ht="33.75" hidden="false" customHeight="true" outlineLevel="0" collapsed="false">
      <c r="A2770" s="12" t="s">
        <v>2721</v>
      </c>
      <c r="B2770" s="12"/>
      <c r="C2770" s="12"/>
      <c r="D2770" s="12"/>
      <c r="E2770" s="12" t="s">
        <v>267</v>
      </c>
      <c r="F2770" s="12"/>
      <c r="G2770" s="12"/>
      <c r="H2770" s="12"/>
    </row>
    <row r="2771" customFormat="false" ht="24" hidden="false" customHeight="true" outlineLevel="0" collapsed="false">
      <c r="A2771" s="13" t="s">
        <v>1861</v>
      </c>
      <c r="B2771" s="13"/>
      <c r="C2771" s="13"/>
      <c r="D2771" s="13"/>
      <c r="E2771" s="13"/>
      <c r="F2771" s="13"/>
      <c r="G2771" s="13"/>
      <c r="H2771" s="13"/>
    </row>
    <row r="2772" customFormat="false" ht="7.5" hidden="false" customHeight="true" outlineLevel="0" collapsed="false"/>
    <row r="2773" customFormat="false" ht="24" hidden="false" customHeight="true" outlineLevel="0" collapsed="false">
      <c r="A2773" s="9" t="s">
        <v>2722</v>
      </c>
      <c r="B2773" s="9"/>
      <c r="C2773" s="9"/>
      <c r="D2773" s="9"/>
      <c r="E2773" s="9"/>
      <c r="F2773" s="9"/>
      <c r="G2773" s="9"/>
      <c r="H2773" s="9"/>
    </row>
    <row r="2774" customFormat="false" ht="45.75" hidden="false" customHeight="true" outlineLevel="0" collapsed="false">
      <c r="A2774" s="11" t="s">
        <v>2723</v>
      </c>
      <c r="B2774" s="11"/>
      <c r="C2774" s="11"/>
      <c r="D2774" s="11"/>
      <c r="E2774" s="11"/>
      <c r="F2774" s="11"/>
      <c r="G2774" s="11"/>
      <c r="H2774" s="11"/>
    </row>
    <row r="2775" customFormat="false" ht="33.75" hidden="false" customHeight="true" outlineLevel="0" collapsed="false">
      <c r="A2775" s="12" t="s">
        <v>2724</v>
      </c>
      <c r="B2775" s="12"/>
      <c r="C2775" s="12"/>
      <c r="D2775" s="12"/>
      <c r="E2775" s="12" t="s">
        <v>2725</v>
      </c>
      <c r="F2775" s="12"/>
      <c r="G2775" s="12"/>
      <c r="H2775" s="12"/>
    </row>
    <row r="2776" customFormat="false" ht="33.75" hidden="false" customHeight="true" outlineLevel="0" collapsed="false">
      <c r="A2776" s="12" t="s">
        <v>2726</v>
      </c>
      <c r="B2776" s="12"/>
      <c r="C2776" s="12"/>
      <c r="D2776" s="12"/>
      <c r="E2776" s="12" t="s">
        <v>2727</v>
      </c>
      <c r="F2776" s="12"/>
      <c r="G2776" s="12"/>
      <c r="H2776" s="12"/>
    </row>
    <row r="2777" customFormat="false" ht="24" hidden="false" customHeight="true" outlineLevel="0" collapsed="false">
      <c r="A2777" s="13" t="s">
        <v>1515</v>
      </c>
      <c r="B2777" s="13"/>
      <c r="C2777" s="13"/>
      <c r="D2777" s="13"/>
      <c r="E2777" s="13"/>
      <c r="F2777" s="13"/>
      <c r="G2777" s="13"/>
      <c r="H2777" s="13"/>
    </row>
    <row r="2778" customFormat="false" ht="7.5" hidden="false" customHeight="true" outlineLevel="0" collapsed="false"/>
    <row r="2779" customFormat="false" ht="24" hidden="false" customHeight="true" outlineLevel="0" collapsed="false">
      <c r="A2779" s="9" t="s">
        <v>2728</v>
      </c>
      <c r="B2779" s="9"/>
      <c r="C2779" s="9"/>
      <c r="D2779" s="9"/>
      <c r="E2779" s="9"/>
      <c r="F2779" s="9"/>
      <c r="G2779" s="9"/>
      <c r="H2779" s="9"/>
    </row>
    <row r="2780" customFormat="false" ht="42" hidden="false" customHeight="true" outlineLevel="0" collapsed="false">
      <c r="A2780" s="11" t="s">
        <v>2729</v>
      </c>
      <c r="B2780" s="11"/>
      <c r="C2780" s="11"/>
      <c r="D2780" s="11"/>
      <c r="E2780" s="11"/>
      <c r="F2780" s="11"/>
      <c r="G2780" s="11"/>
      <c r="H2780" s="11"/>
    </row>
    <row r="2781" customFormat="false" ht="33.75" hidden="false" customHeight="true" outlineLevel="0" collapsed="false">
      <c r="A2781" s="12" t="s">
        <v>2730</v>
      </c>
      <c r="B2781" s="12"/>
      <c r="C2781" s="12"/>
      <c r="D2781" s="12"/>
      <c r="E2781" s="12" t="s">
        <v>2731</v>
      </c>
      <c r="F2781" s="12"/>
      <c r="G2781" s="12"/>
      <c r="H2781" s="12"/>
    </row>
    <row r="2782" customFormat="false" ht="33.75" hidden="false" customHeight="true" outlineLevel="0" collapsed="false">
      <c r="A2782" s="12" t="s">
        <v>2732</v>
      </c>
      <c r="B2782" s="12"/>
      <c r="C2782" s="12"/>
      <c r="D2782" s="12"/>
      <c r="E2782" s="12" t="s">
        <v>2733</v>
      </c>
      <c r="F2782" s="12"/>
      <c r="G2782" s="12"/>
      <c r="H2782" s="12"/>
    </row>
    <row r="2783" customFormat="false" ht="24" hidden="false" customHeight="true" outlineLevel="0" collapsed="false">
      <c r="A2783" s="13" t="s">
        <v>2734</v>
      </c>
      <c r="B2783" s="13"/>
      <c r="C2783" s="13"/>
      <c r="D2783" s="13"/>
      <c r="E2783" s="13"/>
      <c r="F2783" s="13"/>
      <c r="G2783" s="13"/>
      <c r="H2783" s="13"/>
    </row>
    <row r="2784" customFormat="false" ht="7.5" hidden="false" customHeight="true" outlineLevel="0" collapsed="false"/>
    <row r="2785" customFormat="false" ht="24" hidden="false" customHeight="true" outlineLevel="0" collapsed="false">
      <c r="A2785" s="9" t="s">
        <v>2735</v>
      </c>
      <c r="B2785" s="9"/>
      <c r="C2785" s="9"/>
      <c r="D2785" s="9"/>
      <c r="E2785" s="9"/>
      <c r="F2785" s="9"/>
      <c r="G2785" s="9"/>
      <c r="H2785" s="9"/>
    </row>
    <row r="2786" customFormat="false" ht="45.75" hidden="false" customHeight="true" outlineLevel="0" collapsed="false">
      <c r="A2786" s="11" t="s">
        <v>2736</v>
      </c>
      <c r="B2786" s="11"/>
      <c r="C2786" s="11"/>
      <c r="D2786" s="11"/>
      <c r="E2786" s="11"/>
      <c r="F2786" s="11"/>
      <c r="G2786" s="11"/>
      <c r="H2786" s="11"/>
    </row>
    <row r="2787" customFormat="false" ht="54.75" hidden="false" customHeight="true" outlineLevel="0" collapsed="false">
      <c r="A2787" s="12" t="s">
        <v>2737</v>
      </c>
      <c r="B2787" s="12"/>
      <c r="C2787" s="12"/>
      <c r="D2787" s="12"/>
      <c r="E2787" s="12" t="s">
        <v>2738</v>
      </c>
      <c r="F2787" s="12"/>
      <c r="G2787" s="12"/>
      <c r="H2787" s="12"/>
    </row>
    <row r="2788" customFormat="false" ht="54.75" hidden="false" customHeight="true" outlineLevel="0" collapsed="false">
      <c r="A2788" s="12" t="s">
        <v>2739</v>
      </c>
      <c r="B2788" s="12"/>
      <c r="C2788" s="12"/>
      <c r="D2788" s="12"/>
      <c r="E2788" s="12" t="s">
        <v>2740</v>
      </c>
      <c r="F2788" s="12"/>
      <c r="G2788" s="12"/>
      <c r="H2788" s="12"/>
    </row>
    <row r="2789" customFormat="false" ht="24" hidden="false" customHeight="true" outlineLevel="0" collapsed="false">
      <c r="A2789" s="13" t="s">
        <v>1502</v>
      </c>
      <c r="B2789" s="13"/>
      <c r="C2789" s="13"/>
      <c r="D2789" s="13"/>
      <c r="E2789" s="13"/>
      <c r="F2789" s="13"/>
      <c r="G2789" s="13"/>
      <c r="H2789" s="13"/>
    </row>
    <row r="2790" customFormat="false" ht="7.5" hidden="false" customHeight="true" outlineLevel="0" collapsed="false"/>
    <row r="2791" customFormat="false" ht="24" hidden="false" customHeight="true" outlineLevel="0" collapsed="false">
      <c r="A2791" s="9" t="s">
        <v>2741</v>
      </c>
      <c r="B2791" s="9"/>
      <c r="C2791" s="9"/>
      <c r="D2791" s="9"/>
      <c r="E2791" s="9"/>
      <c r="F2791" s="9"/>
      <c r="G2791" s="9"/>
      <c r="H2791" s="9"/>
    </row>
    <row r="2792" customFormat="false" ht="87.75" hidden="false" customHeight="true" outlineLevel="0" collapsed="false">
      <c r="A2792" s="11" t="s">
        <v>2742</v>
      </c>
      <c r="B2792" s="11"/>
      <c r="C2792" s="11"/>
      <c r="D2792" s="11"/>
      <c r="E2792" s="11"/>
      <c r="F2792" s="11"/>
      <c r="G2792" s="11"/>
      <c r="H2792" s="11"/>
    </row>
    <row r="2793" customFormat="false" ht="33.75" hidden="false" customHeight="true" outlineLevel="0" collapsed="false">
      <c r="A2793" s="12" t="s">
        <v>2743</v>
      </c>
      <c r="B2793" s="12"/>
      <c r="C2793" s="12"/>
      <c r="D2793" s="12"/>
      <c r="E2793" s="12" t="s">
        <v>2744</v>
      </c>
      <c r="F2793" s="12"/>
      <c r="G2793" s="12"/>
      <c r="H2793" s="12"/>
    </row>
    <row r="2794" customFormat="false" ht="42" hidden="false" customHeight="true" outlineLevel="0" collapsed="false">
      <c r="A2794" s="12" t="s">
        <v>2745</v>
      </c>
      <c r="B2794" s="12"/>
      <c r="C2794" s="12"/>
      <c r="D2794" s="12"/>
      <c r="E2794" s="12" t="s">
        <v>2746</v>
      </c>
      <c r="F2794" s="12"/>
      <c r="G2794" s="12"/>
      <c r="H2794" s="12"/>
    </row>
    <row r="2795" customFormat="false" ht="24" hidden="false" customHeight="true" outlineLevel="0" collapsed="false">
      <c r="A2795" s="13" t="s">
        <v>1276</v>
      </c>
      <c r="B2795" s="13"/>
      <c r="C2795" s="13"/>
      <c r="D2795" s="13"/>
      <c r="E2795" s="13"/>
      <c r="F2795" s="13"/>
      <c r="G2795" s="13"/>
      <c r="H2795" s="13"/>
    </row>
    <row r="2796" customFormat="false" ht="7.5" hidden="false" customHeight="true" outlineLevel="0" collapsed="false"/>
    <row r="2797" customFormat="false" ht="24" hidden="false" customHeight="true" outlineLevel="0" collapsed="false">
      <c r="A2797" s="9" t="s">
        <v>2747</v>
      </c>
      <c r="B2797" s="9"/>
      <c r="C2797" s="9"/>
      <c r="D2797" s="9"/>
      <c r="E2797" s="9"/>
      <c r="F2797" s="9"/>
      <c r="G2797" s="9"/>
      <c r="H2797" s="9"/>
    </row>
    <row r="2798" customFormat="false" ht="45.75" hidden="false" customHeight="true" outlineLevel="0" collapsed="false">
      <c r="A2798" s="11" t="s">
        <v>2748</v>
      </c>
      <c r="B2798" s="11"/>
      <c r="C2798" s="11"/>
      <c r="D2798" s="11"/>
      <c r="E2798" s="11"/>
      <c r="F2798" s="11"/>
      <c r="G2798" s="11"/>
      <c r="H2798" s="11"/>
    </row>
    <row r="2799" customFormat="false" ht="33.75" hidden="false" customHeight="true" outlineLevel="0" collapsed="false">
      <c r="A2799" s="12" t="s">
        <v>2749</v>
      </c>
      <c r="B2799" s="12"/>
      <c r="C2799" s="12"/>
      <c r="D2799" s="12"/>
      <c r="E2799" s="12" t="s">
        <v>2750</v>
      </c>
      <c r="F2799" s="12"/>
      <c r="G2799" s="12"/>
      <c r="H2799" s="12"/>
    </row>
    <row r="2800" customFormat="false" ht="33.75" hidden="false" customHeight="true" outlineLevel="0" collapsed="false">
      <c r="A2800" s="12" t="s">
        <v>2751</v>
      </c>
      <c r="B2800" s="12"/>
      <c r="C2800" s="12"/>
      <c r="D2800" s="12"/>
      <c r="E2800" s="12" t="s">
        <v>2752</v>
      </c>
      <c r="F2800" s="12"/>
      <c r="G2800" s="12"/>
      <c r="H2800" s="12"/>
    </row>
    <row r="2801" customFormat="false" ht="24" hidden="false" customHeight="true" outlineLevel="0" collapsed="false">
      <c r="A2801" s="13" t="s">
        <v>1421</v>
      </c>
      <c r="B2801" s="13"/>
      <c r="C2801" s="13"/>
      <c r="D2801" s="13"/>
      <c r="E2801" s="13"/>
      <c r="F2801" s="13"/>
      <c r="G2801" s="13"/>
      <c r="H2801" s="13"/>
    </row>
    <row r="2802" customFormat="false" ht="7.5" hidden="false" customHeight="true" outlineLevel="0" collapsed="false"/>
    <row r="2803" customFormat="false" ht="24" hidden="false" customHeight="true" outlineLevel="0" collapsed="false">
      <c r="A2803" s="9" t="s">
        <v>2753</v>
      </c>
      <c r="B2803" s="9"/>
      <c r="C2803" s="9"/>
      <c r="D2803" s="9"/>
      <c r="E2803" s="9"/>
      <c r="F2803" s="9"/>
      <c r="G2803" s="9"/>
      <c r="H2803" s="9"/>
    </row>
    <row r="2804" customFormat="false" ht="45.75" hidden="false" customHeight="true" outlineLevel="0" collapsed="false">
      <c r="A2804" s="11" t="s">
        <v>2754</v>
      </c>
      <c r="B2804" s="11"/>
      <c r="C2804" s="11"/>
      <c r="D2804" s="11"/>
      <c r="E2804" s="11"/>
      <c r="F2804" s="11"/>
      <c r="G2804" s="11"/>
      <c r="H2804" s="11"/>
    </row>
    <row r="2805" customFormat="false" ht="54.75" hidden="false" customHeight="true" outlineLevel="0" collapsed="false">
      <c r="A2805" s="12" t="s">
        <v>2755</v>
      </c>
      <c r="B2805" s="12"/>
      <c r="C2805" s="12"/>
      <c r="D2805" s="12"/>
      <c r="E2805" s="12" t="s">
        <v>2756</v>
      </c>
      <c r="F2805" s="12"/>
      <c r="G2805" s="12"/>
      <c r="H2805" s="12"/>
    </row>
    <row r="2806" customFormat="false" ht="42" hidden="false" customHeight="true" outlineLevel="0" collapsed="false">
      <c r="A2806" s="12" t="s">
        <v>2757</v>
      </c>
      <c r="B2806" s="12"/>
      <c r="C2806" s="12"/>
      <c r="D2806" s="12"/>
      <c r="E2806" s="12" t="s">
        <v>2758</v>
      </c>
      <c r="F2806" s="12"/>
      <c r="G2806" s="12"/>
      <c r="H2806" s="12"/>
    </row>
    <row r="2807" customFormat="false" ht="24" hidden="false" customHeight="true" outlineLevel="0" collapsed="false">
      <c r="A2807" s="13" t="s">
        <v>1582</v>
      </c>
      <c r="B2807" s="13"/>
      <c r="C2807" s="13"/>
      <c r="D2807" s="13"/>
      <c r="E2807" s="13"/>
      <c r="F2807" s="13"/>
      <c r="G2807" s="13"/>
      <c r="H2807" s="13"/>
    </row>
    <row r="2808" customFormat="false" ht="7.5" hidden="false" customHeight="true" outlineLevel="0" collapsed="false"/>
    <row r="2809" customFormat="false" ht="24" hidden="false" customHeight="true" outlineLevel="0" collapsed="false">
      <c r="A2809" s="9" t="s">
        <v>2759</v>
      </c>
      <c r="B2809" s="9"/>
      <c r="C2809" s="9"/>
      <c r="D2809" s="9"/>
      <c r="E2809" s="9"/>
      <c r="F2809" s="9"/>
      <c r="G2809" s="9"/>
      <c r="H2809" s="9"/>
    </row>
    <row r="2810" customFormat="false" ht="45.75" hidden="false" customHeight="true" outlineLevel="0" collapsed="false">
      <c r="A2810" s="11" t="s">
        <v>2760</v>
      </c>
      <c r="B2810" s="11"/>
      <c r="C2810" s="11"/>
      <c r="D2810" s="11"/>
      <c r="E2810" s="11"/>
      <c r="F2810" s="11"/>
      <c r="G2810" s="11"/>
      <c r="H2810" s="11"/>
    </row>
    <row r="2811" customFormat="false" ht="33.75" hidden="false" customHeight="true" outlineLevel="0" collapsed="false">
      <c r="A2811" s="12" t="s">
        <v>2761</v>
      </c>
      <c r="B2811" s="12"/>
      <c r="C2811" s="12"/>
      <c r="D2811" s="12"/>
      <c r="E2811" s="12" t="s">
        <v>2762</v>
      </c>
      <c r="F2811" s="12"/>
      <c r="G2811" s="12"/>
      <c r="H2811" s="12"/>
    </row>
    <row r="2812" customFormat="false" ht="33.75" hidden="false" customHeight="true" outlineLevel="0" collapsed="false">
      <c r="A2812" s="12" t="s">
        <v>2763</v>
      </c>
      <c r="B2812" s="12"/>
      <c r="C2812" s="12"/>
      <c r="D2812" s="12"/>
      <c r="E2812" s="12" t="s">
        <v>2764</v>
      </c>
      <c r="F2812" s="12"/>
      <c r="G2812" s="12"/>
      <c r="H2812" s="12"/>
    </row>
    <row r="2813" customFormat="false" ht="24" hidden="false" customHeight="true" outlineLevel="0" collapsed="false">
      <c r="A2813" s="13" t="s">
        <v>1880</v>
      </c>
      <c r="B2813" s="13"/>
      <c r="C2813" s="13"/>
      <c r="D2813" s="13"/>
      <c r="E2813" s="13"/>
      <c r="F2813" s="13"/>
      <c r="G2813" s="13"/>
      <c r="H2813" s="13"/>
    </row>
    <row r="2814" customFormat="false" ht="7.5" hidden="false" customHeight="true" outlineLevel="0" collapsed="false"/>
    <row r="2815" customFormat="false" ht="24" hidden="false" customHeight="true" outlineLevel="0" collapsed="false">
      <c r="A2815" s="9" t="s">
        <v>2765</v>
      </c>
      <c r="B2815" s="9"/>
      <c r="C2815" s="9"/>
      <c r="D2815" s="9"/>
      <c r="E2815" s="9"/>
      <c r="F2815" s="9"/>
      <c r="G2815" s="9"/>
      <c r="H2815" s="9"/>
    </row>
    <row r="2816" customFormat="false" ht="42" hidden="false" customHeight="true" outlineLevel="0" collapsed="false">
      <c r="A2816" s="11" t="s">
        <v>2766</v>
      </c>
      <c r="B2816" s="11"/>
      <c r="C2816" s="11"/>
      <c r="D2816" s="11"/>
      <c r="E2816" s="11"/>
      <c r="F2816" s="11"/>
      <c r="G2816" s="11"/>
      <c r="H2816" s="11"/>
    </row>
    <row r="2817" customFormat="false" ht="33.75" hidden="false" customHeight="true" outlineLevel="0" collapsed="false">
      <c r="A2817" s="12" t="s">
        <v>2767</v>
      </c>
      <c r="B2817" s="12"/>
      <c r="C2817" s="12"/>
      <c r="D2817" s="12"/>
      <c r="E2817" s="12" t="s">
        <v>2768</v>
      </c>
      <c r="F2817" s="12"/>
      <c r="G2817" s="12"/>
      <c r="H2817" s="12"/>
    </row>
    <row r="2818" customFormat="false" ht="33.75" hidden="false" customHeight="true" outlineLevel="0" collapsed="false">
      <c r="A2818" s="12" t="s">
        <v>2769</v>
      </c>
      <c r="B2818" s="12"/>
      <c r="C2818" s="12"/>
      <c r="D2818" s="12"/>
      <c r="E2818" s="12" t="s">
        <v>2770</v>
      </c>
      <c r="F2818" s="12"/>
      <c r="G2818" s="12"/>
      <c r="H2818" s="12"/>
    </row>
    <row r="2819" customFormat="false" ht="24" hidden="false" customHeight="true" outlineLevel="0" collapsed="false">
      <c r="A2819" s="13" t="s">
        <v>1596</v>
      </c>
      <c r="B2819" s="13"/>
      <c r="C2819" s="13"/>
      <c r="D2819" s="13"/>
      <c r="E2819" s="13"/>
      <c r="F2819" s="13"/>
      <c r="G2819" s="13"/>
      <c r="H2819" s="13"/>
    </row>
    <row r="2820" customFormat="false" ht="7.5" hidden="false" customHeight="true" outlineLevel="0" collapsed="false"/>
    <row r="2821" customFormat="false" ht="24" hidden="false" customHeight="true" outlineLevel="0" collapsed="false">
      <c r="A2821" s="9" t="s">
        <v>2771</v>
      </c>
      <c r="B2821" s="9"/>
      <c r="C2821" s="9"/>
      <c r="D2821" s="9"/>
      <c r="E2821" s="9"/>
      <c r="F2821" s="9"/>
      <c r="G2821" s="9"/>
      <c r="H2821" s="9"/>
    </row>
    <row r="2822" customFormat="false" ht="60" hidden="false" customHeight="true" outlineLevel="0" collapsed="false">
      <c r="A2822" s="11" t="s">
        <v>2772</v>
      </c>
      <c r="B2822" s="11"/>
      <c r="C2822" s="11"/>
      <c r="D2822" s="11"/>
      <c r="E2822" s="11"/>
      <c r="F2822" s="11"/>
      <c r="G2822" s="11"/>
      <c r="H2822" s="11"/>
    </row>
    <row r="2823" customFormat="false" ht="42" hidden="false" customHeight="true" outlineLevel="0" collapsed="false">
      <c r="A2823" s="12" t="s">
        <v>2773</v>
      </c>
      <c r="B2823" s="12"/>
      <c r="C2823" s="12"/>
      <c r="D2823" s="12"/>
      <c r="E2823" s="12" t="s">
        <v>2774</v>
      </c>
      <c r="F2823" s="12"/>
      <c r="G2823" s="12"/>
      <c r="H2823" s="12"/>
    </row>
    <row r="2824" customFormat="false" ht="33.75" hidden="false" customHeight="true" outlineLevel="0" collapsed="false">
      <c r="A2824" s="12" t="s">
        <v>2775</v>
      </c>
      <c r="B2824" s="12"/>
      <c r="C2824" s="12"/>
      <c r="D2824" s="12"/>
      <c r="E2824" s="12" t="s">
        <v>2776</v>
      </c>
      <c r="F2824" s="12"/>
      <c r="G2824" s="12"/>
      <c r="H2824" s="12"/>
    </row>
    <row r="2825" customFormat="false" ht="24" hidden="false" customHeight="true" outlineLevel="0" collapsed="false">
      <c r="A2825" s="13" t="s">
        <v>1569</v>
      </c>
      <c r="B2825" s="13"/>
      <c r="C2825" s="13"/>
      <c r="D2825" s="13"/>
      <c r="E2825" s="13"/>
      <c r="F2825" s="13"/>
      <c r="G2825" s="13"/>
      <c r="H2825" s="13"/>
    </row>
    <row r="2826" customFormat="false" ht="7.5" hidden="false" customHeight="true" outlineLevel="0" collapsed="false"/>
    <row r="2827" customFormat="false" ht="24" hidden="false" customHeight="true" outlineLevel="0" collapsed="false">
      <c r="A2827" s="9" t="s">
        <v>2777</v>
      </c>
      <c r="B2827" s="9"/>
      <c r="C2827" s="9"/>
      <c r="D2827" s="9"/>
      <c r="E2827" s="9"/>
      <c r="F2827" s="9"/>
      <c r="G2827" s="9"/>
      <c r="H2827" s="9"/>
    </row>
    <row r="2828" customFormat="false" ht="60" hidden="false" customHeight="true" outlineLevel="0" collapsed="false">
      <c r="A2828" s="11" t="s">
        <v>2778</v>
      </c>
      <c r="B2828" s="11"/>
      <c r="C2828" s="11"/>
      <c r="D2828" s="11"/>
      <c r="E2828" s="11"/>
      <c r="F2828" s="11"/>
      <c r="G2828" s="11"/>
      <c r="H2828" s="11"/>
    </row>
    <row r="2829" customFormat="false" ht="67.5" hidden="false" customHeight="true" outlineLevel="0" collapsed="false">
      <c r="A2829" s="12" t="s">
        <v>2779</v>
      </c>
      <c r="B2829" s="12"/>
      <c r="C2829" s="12"/>
      <c r="D2829" s="12"/>
      <c r="E2829" s="12" t="s">
        <v>2780</v>
      </c>
      <c r="F2829" s="12"/>
      <c r="G2829" s="12"/>
      <c r="H2829" s="12"/>
    </row>
    <row r="2830" customFormat="false" ht="67.5" hidden="false" customHeight="true" outlineLevel="0" collapsed="false">
      <c r="A2830" s="12" t="s">
        <v>2781</v>
      </c>
      <c r="B2830" s="12"/>
      <c r="C2830" s="12"/>
      <c r="D2830" s="12"/>
      <c r="E2830" s="12" t="s">
        <v>2260</v>
      </c>
      <c r="F2830" s="12"/>
      <c r="G2830" s="12"/>
      <c r="H2830" s="12"/>
    </row>
    <row r="2831" customFormat="false" ht="24" hidden="false" customHeight="true" outlineLevel="0" collapsed="false">
      <c r="A2831" s="13" t="s">
        <v>1861</v>
      </c>
      <c r="B2831" s="13"/>
      <c r="C2831" s="13"/>
      <c r="D2831" s="13"/>
      <c r="E2831" s="13"/>
      <c r="F2831" s="13"/>
      <c r="G2831" s="13"/>
      <c r="H2831" s="13"/>
    </row>
    <row r="2832" customFormat="false" ht="7.5" hidden="false" customHeight="true" outlineLevel="0" collapsed="false"/>
    <row r="2833" customFormat="false" ht="24" hidden="false" customHeight="true" outlineLevel="0" collapsed="false">
      <c r="A2833" s="9" t="s">
        <v>2782</v>
      </c>
      <c r="B2833" s="9"/>
      <c r="C2833" s="9"/>
      <c r="D2833" s="9"/>
      <c r="E2833" s="9"/>
      <c r="F2833" s="9"/>
      <c r="G2833" s="9"/>
      <c r="H2833" s="9"/>
    </row>
    <row r="2834" customFormat="false" ht="45.75" hidden="false" customHeight="true" outlineLevel="0" collapsed="false">
      <c r="A2834" s="11" t="s">
        <v>2783</v>
      </c>
      <c r="B2834" s="11"/>
      <c r="C2834" s="11"/>
      <c r="D2834" s="11"/>
      <c r="E2834" s="11"/>
      <c r="F2834" s="11"/>
      <c r="G2834" s="11"/>
      <c r="H2834" s="11"/>
    </row>
    <row r="2835" customFormat="false" ht="33.75" hidden="false" customHeight="true" outlineLevel="0" collapsed="false">
      <c r="A2835" s="12" t="s">
        <v>2784</v>
      </c>
      <c r="B2835" s="12"/>
      <c r="C2835" s="12"/>
      <c r="D2835" s="12"/>
      <c r="E2835" s="12" t="s">
        <v>2785</v>
      </c>
      <c r="F2835" s="12"/>
      <c r="G2835" s="12"/>
      <c r="H2835" s="12"/>
    </row>
    <row r="2836" customFormat="false" ht="33.75" hidden="false" customHeight="true" outlineLevel="0" collapsed="false">
      <c r="A2836" s="12" t="s">
        <v>2786</v>
      </c>
      <c r="B2836" s="12"/>
      <c r="C2836" s="12"/>
      <c r="D2836" s="12"/>
      <c r="E2836" s="12" t="s">
        <v>2787</v>
      </c>
      <c r="F2836" s="12"/>
      <c r="G2836" s="12"/>
      <c r="H2836" s="12"/>
    </row>
    <row r="2837" customFormat="false" ht="24" hidden="false" customHeight="true" outlineLevel="0" collapsed="false">
      <c r="A2837" s="13" t="s">
        <v>1546</v>
      </c>
      <c r="B2837" s="13"/>
      <c r="C2837" s="13"/>
      <c r="D2837" s="13"/>
      <c r="E2837" s="13"/>
      <c r="F2837" s="13"/>
      <c r="G2837" s="13"/>
      <c r="H2837" s="13"/>
    </row>
    <row r="2838" customFormat="false" ht="7.5" hidden="false" customHeight="true" outlineLevel="0" collapsed="false"/>
    <row r="2839" customFormat="false" ht="24" hidden="false" customHeight="true" outlineLevel="0" collapsed="false">
      <c r="A2839" s="9" t="s">
        <v>2788</v>
      </c>
      <c r="B2839" s="9"/>
      <c r="C2839" s="9"/>
      <c r="D2839" s="9"/>
      <c r="E2839" s="9"/>
      <c r="F2839" s="9"/>
      <c r="G2839" s="9"/>
      <c r="H2839" s="9"/>
    </row>
    <row r="2840" customFormat="false" ht="99.75" hidden="false" customHeight="true" outlineLevel="0" collapsed="false">
      <c r="A2840" s="10" t="s">
        <v>1313</v>
      </c>
      <c r="B2840" s="10"/>
      <c r="C2840" s="10"/>
      <c r="D2840" s="10"/>
      <c r="E2840" s="10"/>
      <c r="F2840" s="10"/>
      <c r="G2840" s="10"/>
      <c r="H2840" s="10"/>
    </row>
    <row r="2841" customFormat="false" ht="48" hidden="false" customHeight="true" outlineLevel="0" collapsed="false">
      <c r="A2841" s="10" t="s">
        <v>1314</v>
      </c>
      <c r="B2841" s="10"/>
      <c r="C2841" s="10"/>
      <c r="D2841" s="10"/>
      <c r="E2841" s="10"/>
      <c r="F2841" s="10"/>
      <c r="G2841" s="10"/>
      <c r="H2841" s="10"/>
    </row>
    <row r="2842" customFormat="false" ht="42" hidden="false" customHeight="true" outlineLevel="0" collapsed="false">
      <c r="A2842" s="11" t="s">
        <v>2789</v>
      </c>
      <c r="B2842" s="11"/>
      <c r="C2842" s="11"/>
      <c r="D2842" s="11"/>
      <c r="E2842" s="11"/>
      <c r="F2842" s="11"/>
      <c r="G2842" s="11"/>
      <c r="H2842" s="11"/>
    </row>
    <row r="2843" customFormat="false" ht="54.75" hidden="false" customHeight="true" outlineLevel="0" collapsed="false">
      <c r="A2843" s="12" t="s">
        <v>2790</v>
      </c>
      <c r="B2843" s="12"/>
      <c r="C2843" s="12"/>
      <c r="D2843" s="12"/>
      <c r="E2843" s="12" t="s">
        <v>2791</v>
      </c>
      <c r="F2843" s="12"/>
      <c r="G2843" s="12"/>
      <c r="H2843" s="12"/>
    </row>
    <row r="2844" customFormat="false" ht="54.75" hidden="false" customHeight="true" outlineLevel="0" collapsed="false">
      <c r="A2844" s="12" t="s">
        <v>2792</v>
      </c>
      <c r="B2844" s="12"/>
      <c r="C2844" s="12"/>
      <c r="D2844" s="12"/>
      <c r="E2844" s="12" t="s">
        <v>2793</v>
      </c>
      <c r="F2844" s="12"/>
      <c r="G2844" s="12"/>
      <c r="H2844" s="12"/>
    </row>
    <row r="2845" customFormat="false" ht="24" hidden="false" customHeight="true" outlineLevel="0" collapsed="false">
      <c r="A2845" s="13" t="s">
        <v>2794</v>
      </c>
      <c r="B2845" s="13"/>
      <c r="C2845" s="13"/>
      <c r="D2845" s="13"/>
      <c r="E2845" s="13"/>
      <c r="F2845" s="13"/>
      <c r="G2845" s="13"/>
      <c r="H2845" s="13"/>
    </row>
    <row r="2846" customFormat="false" ht="7.5" hidden="false" customHeight="true" outlineLevel="0" collapsed="false"/>
    <row r="2847" customFormat="false" ht="24" hidden="false" customHeight="true" outlineLevel="0" collapsed="false">
      <c r="A2847" s="9" t="s">
        <v>2795</v>
      </c>
      <c r="B2847" s="9"/>
      <c r="C2847" s="9"/>
      <c r="D2847" s="9"/>
      <c r="E2847" s="9"/>
      <c r="F2847" s="9"/>
      <c r="G2847" s="9"/>
      <c r="H2847" s="9"/>
    </row>
    <row r="2848" customFormat="false" ht="60" hidden="false" customHeight="true" outlineLevel="0" collapsed="false">
      <c r="A2848" s="11" t="s">
        <v>2796</v>
      </c>
      <c r="B2848" s="11"/>
      <c r="C2848" s="11"/>
      <c r="D2848" s="11"/>
      <c r="E2848" s="11"/>
      <c r="F2848" s="11"/>
      <c r="G2848" s="11"/>
      <c r="H2848" s="11"/>
    </row>
    <row r="2849" customFormat="false" ht="42" hidden="false" customHeight="true" outlineLevel="0" collapsed="false">
      <c r="A2849" s="12" t="s">
        <v>2797</v>
      </c>
      <c r="B2849" s="12"/>
      <c r="C2849" s="12"/>
      <c r="D2849" s="12"/>
      <c r="E2849" s="12" t="s">
        <v>2798</v>
      </c>
      <c r="F2849" s="12"/>
      <c r="G2849" s="12"/>
      <c r="H2849" s="12"/>
    </row>
    <row r="2850" customFormat="false" ht="42" hidden="false" customHeight="true" outlineLevel="0" collapsed="false">
      <c r="A2850" s="12" t="s">
        <v>2799</v>
      </c>
      <c r="B2850" s="12"/>
      <c r="C2850" s="12"/>
      <c r="D2850" s="12"/>
      <c r="E2850" s="12" t="s">
        <v>2800</v>
      </c>
      <c r="F2850" s="12"/>
      <c r="G2850" s="12"/>
      <c r="H2850" s="12"/>
    </row>
    <row r="2851" customFormat="false" ht="24" hidden="false" customHeight="true" outlineLevel="0" collapsed="false">
      <c r="A2851" s="13" t="s">
        <v>1421</v>
      </c>
      <c r="B2851" s="13"/>
      <c r="C2851" s="13"/>
      <c r="D2851" s="13"/>
      <c r="E2851" s="13"/>
      <c r="F2851" s="13"/>
      <c r="G2851" s="13"/>
      <c r="H2851" s="13"/>
    </row>
    <row r="2852" customFormat="false" ht="7.5" hidden="false" customHeight="true" outlineLevel="0" collapsed="false"/>
    <row r="2853" customFormat="false" ht="24" hidden="false" customHeight="true" outlineLevel="0" collapsed="false">
      <c r="A2853" s="9" t="s">
        <v>2801</v>
      </c>
      <c r="B2853" s="9"/>
      <c r="C2853" s="9"/>
      <c r="D2853" s="9"/>
      <c r="E2853" s="9"/>
      <c r="F2853" s="9"/>
      <c r="G2853" s="9"/>
      <c r="H2853" s="9"/>
    </row>
    <row r="2854" customFormat="false" ht="45.75" hidden="false" customHeight="true" outlineLevel="0" collapsed="false">
      <c r="A2854" s="11" t="s">
        <v>2802</v>
      </c>
      <c r="B2854" s="11"/>
      <c r="C2854" s="11"/>
      <c r="D2854" s="11"/>
      <c r="E2854" s="11"/>
      <c r="F2854" s="11"/>
      <c r="G2854" s="11"/>
      <c r="H2854" s="11"/>
    </row>
    <row r="2855" customFormat="false" ht="33.75" hidden="false" customHeight="true" outlineLevel="0" collapsed="false">
      <c r="A2855" s="12" t="s">
        <v>2761</v>
      </c>
      <c r="B2855" s="12"/>
      <c r="C2855" s="12"/>
      <c r="D2855" s="12"/>
      <c r="E2855" s="12" t="s">
        <v>2762</v>
      </c>
      <c r="F2855" s="12"/>
      <c r="G2855" s="12"/>
      <c r="H2855" s="12"/>
    </row>
    <row r="2856" customFormat="false" ht="33.75" hidden="false" customHeight="true" outlineLevel="0" collapsed="false">
      <c r="A2856" s="12" t="s">
        <v>2803</v>
      </c>
      <c r="B2856" s="12"/>
      <c r="C2856" s="12"/>
      <c r="D2856" s="12"/>
      <c r="E2856" s="12" t="s">
        <v>2804</v>
      </c>
      <c r="F2856" s="12"/>
      <c r="G2856" s="12"/>
      <c r="H2856" s="12"/>
    </row>
    <row r="2857" customFormat="false" ht="24" hidden="false" customHeight="true" outlineLevel="0" collapsed="false">
      <c r="A2857" s="13" t="s">
        <v>1327</v>
      </c>
      <c r="B2857" s="13"/>
      <c r="C2857" s="13"/>
      <c r="D2857" s="13"/>
      <c r="E2857" s="13"/>
      <c r="F2857" s="13"/>
      <c r="G2857" s="13"/>
      <c r="H2857" s="13"/>
    </row>
    <row r="2858" customFormat="false" ht="7.5" hidden="false" customHeight="true" outlineLevel="0" collapsed="false"/>
    <row r="2859" customFormat="false" ht="24" hidden="false" customHeight="true" outlineLevel="0" collapsed="false">
      <c r="A2859" s="9" t="s">
        <v>2805</v>
      </c>
      <c r="B2859" s="9"/>
      <c r="C2859" s="9"/>
      <c r="D2859" s="9"/>
      <c r="E2859" s="9"/>
      <c r="F2859" s="9"/>
      <c r="G2859" s="9"/>
      <c r="H2859" s="9"/>
    </row>
    <row r="2860" customFormat="false" ht="42" hidden="false" customHeight="true" outlineLevel="0" collapsed="false">
      <c r="A2860" s="11" t="s">
        <v>2806</v>
      </c>
      <c r="B2860" s="11"/>
      <c r="C2860" s="11"/>
      <c r="D2860" s="11"/>
      <c r="E2860" s="11"/>
      <c r="F2860" s="11"/>
      <c r="G2860" s="11"/>
      <c r="H2860" s="11"/>
    </row>
    <row r="2861" customFormat="false" ht="42" hidden="false" customHeight="true" outlineLevel="0" collapsed="false">
      <c r="A2861" s="12" t="s">
        <v>2807</v>
      </c>
      <c r="B2861" s="12"/>
      <c r="C2861" s="12"/>
      <c r="D2861" s="12"/>
      <c r="E2861" s="12" t="s">
        <v>2808</v>
      </c>
      <c r="F2861" s="12"/>
      <c r="G2861" s="12"/>
      <c r="H2861" s="12"/>
    </row>
    <row r="2862" customFormat="false" ht="54.75" hidden="false" customHeight="true" outlineLevel="0" collapsed="false">
      <c r="A2862" s="12" t="s">
        <v>2809</v>
      </c>
      <c r="B2862" s="12"/>
      <c r="C2862" s="12"/>
      <c r="D2862" s="12"/>
      <c r="E2862" s="12" t="s">
        <v>2810</v>
      </c>
      <c r="F2862" s="12"/>
      <c r="G2862" s="12"/>
      <c r="H2862" s="12"/>
    </row>
    <row r="2863" customFormat="false" ht="24" hidden="false" customHeight="true" outlineLevel="0" collapsed="false">
      <c r="A2863" s="13" t="s">
        <v>1311</v>
      </c>
      <c r="B2863" s="13"/>
      <c r="C2863" s="13"/>
      <c r="D2863" s="13"/>
      <c r="E2863" s="13"/>
      <c r="F2863" s="13"/>
      <c r="G2863" s="13"/>
      <c r="H2863" s="13"/>
    </row>
    <row r="2864" customFormat="false" ht="7.5" hidden="false" customHeight="true" outlineLevel="0" collapsed="false"/>
    <row r="2865" customFormat="false" ht="24" hidden="false" customHeight="true" outlineLevel="0" collapsed="false">
      <c r="A2865" s="9" t="s">
        <v>2811</v>
      </c>
      <c r="B2865" s="9"/>
      <c r="C2865" s="9"/>
      <c r="D2865" s="9"/>
      <c r="E2865" s="9"/>
      <c r="F2865" s="9"/>
      <c r="G2865" s="9"/>
      <c r="H2865" s="9"/>
    </row>
    <row r="2866" customFormat="false" ht="45.75" hidden="false" customHeight="true" outlineLevel="0" collapsed="false">
      <c r="A2866" s="11" t="s">
        <v>2812</v>
      </c>
      <c r="B2866" s="11"/>
      <c r="C2866" s="11"/>
      <c r="D2866" s="11"/>
      <c r="E2866" s="11"/>
      <c r="F2866" s="11"/>
      <c r="G2866" s="11"/>
      <c r="H2866" s="11"/>
    </row>
    <row r="2867" customFormat="false" ht="33.75" hidden="false" customHeight="true" outlineLevel="0" collapsed="false">
      <c r="A2867" s="12" t="s">
        <v>2813</v>
      </c>
      <c r="B2867" s="12"/>
      <c r="C2867" s="12"/>
      <c r="D2867" s="12"/>
      <c r="E2867" s="12" t="s">
        <v>2814</v>
      </c>
      <c r="F2867" s="12"/>
      <c r="G2867" s="12"/>
      <c r="H2867" s="12"/>
    </row>
    <row r="2868" customFormat="false" ht="33.75" hidden="false" customHeight="true" outlineLevel="0" collapsed="false">
      <c r="A2868" s="12" t="s">
        <v>2815</v>
      </c>
      <c r="B2868" s="12"/>
      <c r="C2868" s="12"/>
      <c r="D2868" s="12"/>
      <c r="E2868" s="12" t="s">
        <v>2816</v>
      </c>
      <c r="F2868" s="12"/>
      <c r="G2868" s="12"/>
      <c r="H2868" s="12"/>
    </row>
    <row r="2869" customFormat="false" ht="24" hidden="false" customHeight="true" outlineLevel="0" collapsed="false">
      <c r="A2869" s="13" t="s">
        <v>1515</v>
      </c>
      <c r="B2869" s="13"/>
      <c r="C2869" s="13"/>
      <c r="D2869" s="13"/>
      <c r="E2869" s="13"/>
      <c r="F2869" s="13"/>
      <c r="G2869" s="13"/>
      <c r="H2869" s="13"/>
    </row>
    <row r="2870" customFormat="false" ht="7.5" hidden="false" customHeight="true" outlineLevel="0" collapsed="false"/>
    <row r="2871" customFormat="false" ht="24" hidden="false" customHeight="true" outlineLevel="0" collapsed="false">
      <c r="A2871" s="9" t="s">
        <v>2817</v>
      </c>
      <c r="B2871" s="9"/>
      <c r="C2871" s="9"/>
      <c r="D2871" s="9"/>
      <c r="E2871" s="9"/>
      <c r="F2871" s="9"/>
      <c r="G2871" s="9"/>
      <c r="H2871" s="9"/>
    </row>
    <row r="2872" customFormat="false" ht="60" hidden="false" customHeight="true" outlineLevel="0" collapsed="false">
      <c r="A2872" s="11" t="s">
        <v>2818</v>
      </c>
      <c r="B2872" s="11"/>
      <c r="C2872" s="11"/>
      <c r="D2872" s="11"/>
      <c r="E2872" s="11"/>
      <c r="F2872" s="11"/>
      <c r="G2872" s="11"/>
      <c r="H2872" s="11"/>
    </row>
    <row r="2873" customFormat="false" ht="33.75" hidden="false" customHeight="true" outlineLevel="0" collapsed="false">
      <c r="A2873" s="12" t="s">
        <v>2819</v>
      </c>
      <c r="B2873" s="12"/>
      <c r="C2873" s="12"/>
      <c r="D2873" s="12"/>
      <c r="E2873" s="12" t="s">
        <v>2820</v>
      </c>
      <c r="F2873" s="12"/>
      <c r="G2873" s="12"/>
      <c r="H2873" s="12"/>
    </row>
    <row r="2874" customFormat="false" ht="33.75" hidden="false" customHeight="true" outlineLevel="0" collapsed="false">
      <c r="A2874" s="12" t="s">
        <v>2821</v>
      </c>
      <c r="B2874" s="12"/>
      <c r="C2874" s="12"/>
      <c r="D2874" s="12"/>
      <c r="E2874" s="12" t="s">
        <v>2822</v>
      </c>
      <c r="F2874" s="12"/>
      <c r="G2874" s="12"/>
      <c r="H2874" s="12"/>
    </row>
    <row r="2875" customFormat="false" ht="24" hidden="false" customHeight="true" outlineLevel="0" collapsed="false">
      <c r="A2875" s="13" t="s">
        <v>1460</v>
      </c>
      <c r="B2875" s="13"/>
      <c r="C2875" s="13"/>
      <c r="D2875" s="13"/>
      <c r="E2875" s="13"/>
      <c r="F2875" s="13"/>
      <c r="G2875" s="13"/>
      <c r="H2875" s="13"/>
    </row>
    <row r="2876" customFormat="false" ht="7.5" hidden="false" customHeight="true" outlineLevel="0" collapsed="false"/>
    <row r="2877" customFormat="false" ht="24" hidden="false" customHeight="true" outlineLevel="0" collapsed="false">
      <c r="A2877" s="9" t="s">
        <v>2823</v>
      </c>
      <c r="B2877" s="9"/>
      <c r="C2877" s="9"/>
      <c r="D2877" s="9"/>
      <c r="E2877" s="9"/>
      <c r="F2877" s="9"/>
      <c r="G2877" s="9"/>
      <c r="H2877" s="9"/>
    </row>
    <row r="2878" customFormat="false" ht="45.75" hidden="false" customHeight="true" outlineLevel="0" collapsed="false">
      <c r="A2878" s="11" t="s">
        <v>2824</v>
      </c>
      <c r="B2878" s="11"/>
      <c r="C2878" s="11"/>
      <c r="D2878" s="11"/>
      <c r="E2878" s="11"/>
      <c r="F2878" s="11"/>
      <c r="G2878" s="11"/>
      <c r="H2878" s="11"/>
    </row>
    <row r="2879" customFormat="false" ht="42" hidden="false" customHeight="true" outlineLevel="0" collapsed="false">
      <c r="A2879" s="12" t="s">
        <v>2825</v>
      </c>
      <c r="B2879" s="12"/>
      <c r="C2879" s="12"/>
      <c r="D2879" s="12"/>
      <c r="E2879" s="12" t="s">
        <v>2826</v>
      </c>
      <c r="F2879" s="12"/>
      <c r="G2879" s="12"/>
      <c r="H2879" s="12"/>
    </row>
    <row r="2880" customFormat="false" ht="54.75" hidden="false" customHeight="true" outlineLevel="0" collapsed="false">
      <c r="A2880" s="12" t="s">
        <v>2827</v>
      </c>
      <c r="B2880" s="12"/>
      <c r="C2880" s="12"/>
      <c r="D2880" s="12"/>
      <c r="E2880" s="12" t="s">
        <v>2828</v>
      </c>
      <c r="F2880" s="12"/>
      <c r="G2880" s="12"/>
      <c r="H2880" s="12"/>
    </row>
    <row r="2881" customFormat="false" ht="24" hidden="false" customHeight="true" outlineLevel="0" collapsed="false">
      <c r="A2881" s="13" t="s">
        <v>1495</v>
      </c>
      <c r="B2881" s="13"/>
      <c r="C2881" s="13"/>
      <c r="D2881" s="13"/>
      <c r="E2881" s="13"/>
      <c r="F2881" s="13"/>
      <c r="G2881" s="13"/>
      <c r="H2881" s="13"/>
    </row>
    <row r="2882" customFormat="false" ht="7.5" hidden="false" customHeight="true" outlineLevel="0" collapsed="false"/>
    <row r="2883" customFormat="false" ht="24" hidden="false" customHeight="true" outlineLevel="0" collapsed="false">
      <c r="A2883" s="9" t="s">
        <v>2829</v>
      </c>
      <c r="B2883" s="9"/>
      <c r="C2883" s="9"/>
      <c r="D2883" s="9"/>
      <c r="E2883" s="9"/>
      <c r="F2883" s="9"/>
      <c r="G2883" s="9"/>
      <c r="H2883" s="9"/>
    </row>
    <row r="2884" customFormat="false" ht="45.75" hidden="false" customHeight="true" outlineLevel="0" collapsed="false">
      <c r="A2884" s="11" t="s">
        <v>2830</v>
      </c>
      <c r="B2884" s="11"/>
      <c r="C2884" s="11"/>
      <c r="D2884" s="11"/>
      <c r="E2884" s="11"/>
      <c r="F2884" s="11"/>
      <c r="G2884" s="11"/>
      <c r="H2884" s="11"/>
    </row>
    <row r="2885" customFormat="false" ht="42" hidden="false" customHeight="true" outlineLevel="0" collapsed="false">
      <c r="A2885" s="12" t="s">
        <v>2831</v>
      </c>
      <c r="B2885" s="12"/>
      <c r="C2885" s="12"/>
      <c r="D2885" s="12"/>
      <c r="E2885" s="12" t="s">
        <v>2832</v>
      </c>
      <c r="F2885" s="12"/>
      <c r="G2885" s="12"/>
      <c r="H2885" s="12"/>
    </row>
    <row r="2886" customFormat="false" ht="42" hidden="false" customHeight="true" outlineLevel="0" collapsed="false">
      <c r="A2886" s="12" t="s">
        <v>2833</v>
      </c>
      <c r="B2886" s="12"/>
      <c r="C2886" s="12"/>
      <c r="D2886" s="12"/>
      <c r="E2886" s="12" t="s">
        <v>2834</v>
      </c>
      <c r="F2886" s="12"/>
      <c r="G2886" s="12"/>
      <c r="H2886" s="12"/>
    </row>
    <row r="2887" customFormat="false" ht="24" hidden="false" customHeight="true" outlineLevel="0" collapsed="false">
      <c r="A2887" s="13" t="s">
        <v>1861</v>
      </c>
      <c r="B2887" s="13"/>
      <c r="C2887" s="13"/>
      <c r="D2887" s="13"/>
      <c r="E2887" s="13"/>
      <c r="F2887" s="13"/>
      <c r="G2887" s="13"/>
      <c r="H2887" s="13"/>
    </row>
    <row r="2888" customFormat="false" ht="7.5" hidden="false" customHeight="true" outlineLevel="0" collapsed="false"/>
    <row r="2889" customFormat="false" ht="24" hidden="false" customHeight="true" outlineLevel="0" collapsed="false">
      <c r="A2889" s="9" t="s">
        <v>2835</v>
      </c>
      <c r="B2889" s="9"/>
      <c r="C2889" s="9"/>
      <c r="D2889" s="9"/>
      <c r="E2889" s="9"/>
      <c r="F2889" s="9"/>
      <c r="G2889" s="9"/>
      <c r="H2889" s="9"/>
    </row>
    <row r="2890" customFormat="false" ht="45.75" hidden="false" customHeight="true" outlineLevel="0" collapsed="false">
      <c r="A2890" s="11" t="s">
        <v>2836</v>
      </c>
      <c r="B2890" s="11"/>
      <c r="C2890" s="11"/>
      <c r="D2890" s="11"/>
      <c r="E2890" s="11"/>
      <c r="F2890" s="11"/>
      <c r="G2890" s="11"/>
      <c r="H2890" s="11"/>
    </row>
    <row r="2891" customFormat="false" ht="42" hidden="false" customHeight="true" outlineLevel="0" collapsed="false">
      <c r="A2891" s="12" t="s">
        <v>2837</v>
      </c>
      <c r="B2891" s="12"/>
      <c r="C2891" s="12"/>
      <c r="D2891" s="12"/>
      <c r="E2891" s="12" t="s">
        <v>2838</v>
      </c>
      <c r="F2891" s="12"/>
      <c r="G2891" s="12"/>
      <c r="H2891" s="12"/>
    </row>
    <row r="2892" customFormat="false" ht="42" hidden="false" customHeight="true" outlineLevel="0" collapsed="false">
      <c r="A2892" s="12" t="s">
        <v>2839</v>
      </c>
      <c r="B2892" s="12"/>
      <c r="C2892" s="12"/>
      <c r="D2892" s="12"/>
      <c r="E2892" s="12" t="s">
        <v>2840</v>
      </c>
      <c r="F2892" s="12"/>
      <c r="G2892" s="12"/>
      <c r="H2892" s="12"/>
    </row>
    <row r="2893" customFormat="false" ht="24" hidden="false" customHeight="true" outlineLevel="0" collapsed="false">
      <c r="A2893" s="13" t="s">
        <v>1861</v>
      </c>
      <c r="B2893" s="13"/>
      <c r="C2893" s="13"/>
      <c r="D2893" s="13"/>
      <c r="E2893" s="13"/>
      <c r="F2893" s="13"/>
      <c r="G2893" s="13"/>
      <c r="H2893" s="13"/>
    </row>
    <row r="2894" customFormat="false" ht="7.5" hidden="false" customHeight="true" outlineLevel="0" collapsed="false"/>
    <row r="2895" customFormat="false" ht="24" hidden="false" customHeight="true" outlineLevel="0" collapsed="false">
      <c r="A2895" s="9" t="s">
        <v>2841</v>
      </c>
      <c r="B2895" s="9"/>
      <c r="C2895" s="9"/>
      <c r="D2895" s="9"/>
      <c r="E2895" s="9"/>
      <c r="F2895" s="9"/>
      <c r="G2895" s="9"/>
      <c r="H2895" s="9"/>
    </row>
    <row r="2896" customFormat="false" ht="42" hidden="false" customHeight="true" outlineLevel="0" collapsed="false">
      <c r="A2896" s="11" t="s">
        <v>2842</v>
      </c>
      <c r="B2896" s="11"/>
      <c r="C2896" s="11"/>
      <c r="D2896" s="11"/>
      <c r="E2896" s="11"/>
      <c r="F2896" s="11"/>
      <c r="G2896" s="11"/>
      <c r="H2896" s="11"/>
    </row>
    <row r="2897" customFormat="false" ht="67.5" hidden="false" customHeight="true" outlineLevel="0" collapsed="false">
      <c r="A2897" s="12" t="s">
        <v>2843</v>
      </c>
      <c r="B2897" s="12"/>
      <c r="C2897" s="12"/>
      <c r="D2897" s="12"/>
      <c r="E2897" s="12" t="s">
        <v>2844</v>
      </c>
      <c r="F2897" s="12"/>
      <c r="G2897" s="12"/>
      <c r="H2897" s="12"/>
    </row>
    <row r="2898" customFormat="false" ht="67.5" hidden="false" customHeight="true" outlineLevel="0" collapsed="false">
      <c r="A2898" s="12" t="s">
        <v>2845</v>
      </c>
      <c r="B2898" s="12"/>
      <c r="C2898" s="12"/>
      <c r="D2898" s="12"/>
      <c r="E2898" s="12" t="s">
        <v>2846</v>
      </c>
      <c r="F2898" s="12"/>
      <c r="G2898" s="12"/>
      <c r="H2898" s="12"/>
    </row>
    <row r="2899" customFormat="false" ht="24" hidden="false" customHeight="true" outlineLevel="0" collapsed="false">
      <c r="A2899" s="13" t="s">
        <v>1502</v>
      </c>
      <c r="B2899" s="13"/>
      <c r="C2899" s="13"/>
      <c r="D2899" s="13"/>
      <c r="E2899" s="13"/>
      <c r="F2899" s="13"/>
      <c r="G2899" s="13"/>
      <c r="H2899" s="13"/>
    </row>
    <row r="2900" customFormat="false" ht="7.5" hidden="false" customHeight="true" outlineLevel="0" collapsed="false"/>
    <row r="2901" customFormat="false" ht="24" hidden="false" customHeight="true" outlineLevel="0" collapsed="false">
      <c r="A2901" s="9" t="s">
        <v>2847</v>
      </c>
      <c r="B2901" s="9"/>
      <c r="C2901" s="9"/>
      <c r="D2901" s="9"/>
      <c r="E2901" s="9"/>
      <c r="F2901" s="9"/>
      <c r="G2901" s="9"/>
      <c r="H2901" s="9"/>
    </row>
    <row r="2902" customFormat="false" ht="45.75" hidden="false" customHeight="true" outlineLevel="0" collapsed="false">
      <c r="A2902" s="11" t="s">
        <v>2848</v>
      </c>
      <c r="B2902" s="11"/>
      <c r="C2902" s="11"/>
      <c r="D2902" s="11"/>
      <c r="E2902" s="11"/>
      <c r="F2902" s="11"/>
      <c r="G2902" s="11"/>
      <c r="H2902" s="11"/>
    </row>
    <row r="2903" customFormat="false" ht="33.75" hidden="false" customHeight="true" outlineLevel="0" collapsed="false">
      <c r="A2903" s="12" t="s">
        <v>2849</v>
      </c>
      <c r="B2903" s="12"/>
      <c r="C2903" s="12"/>
      <c r="D2903" s="12"/>
      <c r="E2903" s="12" t="s">
        <v>2850</v>
      </c>
      <c r="F2903" s="12"/>
      <c r="G2903" s="12"/>
      <c r="H2903" s="12"/>
    </row>
    <row r="2904" customFormat="false" ht="33.75" hidden="false" customHeight="true" outlineLevel="0" collapsed="false">
      <c r="A2904" s="12" t="s">
        <v>2851</v>
      </c>
      <c r="B2904" s="12"/>
      <c r="C2904" s="12"/>
      <c r="D2904" s="12"/>
      <c r="E2904" s="12" t="s">
        <v>2852</v>
      </c>
      <c r="F2904" s="12"/>
      <c r="G2904" s="12"/>
      <c r="H2904" s="12"/>
    </row>
    <row r="2905" customFormat="false" ht="24" hidden="false" customHeight="true" outlineLevel="0" collapsed="false">
      <c r="A2905" s="13" t="s">
        <v>1441</v>
      </c>
      <c r="B2905" s="13"/>
      <c r="C2905" s="13"/>
      <c r="D2905" s="13"/>
      <c r="E2905" s="13"/>
      <c r="F2905" s="13"/>
      <c r="G2905" s="13"/>
      <c r="H2905" s="13"/>
    </row>
    <row r="2906" customFormat="false" ht="7.5" hidden="false" customHeight="true" outlineLevel="0" collapsed="false"/>
    <row r="2907" customFormat="false" ht="24" hidden="false" customHeight="true" outlineLevel="0" collapsed="false">
      <c r="A2907" s="9" t="s">
        <v>2853</v>
      </c>
      <c r="B2907" s="9"/>
      <c r="C2907" s="9"/>
      <c r="D2907" s="9"/>
      <c r="E2907" s="9"/>
      <c r="F2907" s="9"/>
      <c r="G2907" s="9"/>
      <c r="H2907" s="9"/>
    </row>
    <row r="2908" customFormat="false" ht="87.75" hidden="false" customHeight="true" outlineLevel="0" collapsed="false">
      <c r="A2908" s="11" t="s">
        <v>2854</v>
      </c>
      <c r="B2908" s="11"/>
      <c r="C2908" s="11"/>
      <c r="D2908" s="11"/>
      <c r="E2908" s="11"/>
      <c r="F2908" s="11"/>
      <c r="G2908" s="11"/>
      <c r="H2908" s="11"/>
    </row>
    <row r="2909" customFormat="false" ht="54.75" hidden="false" customHeight="true" outlineLevel="0" collapsed="false">
      <c r="A2909" s="12" t="s">
        <v>2855</v>
      </c>
      <c r="B2909" s="12"/>
      <c r="C2909" s="12"/>
      <c r="D2909" s="12"/>
      <c r="E2909" s="12" t="s">
        <v>2856</v>
      </c>
      <c r="F2909" s="12"/>
      <c r="G2909" s="12"/>
      <c r="H2909" s="12"/>
    </row>
    <row r="2910" customFormat="false" ht="42" hidden="false" customHeight="true" outlineLevel="0" collapsed="false">
      <c r="A2910" s="12" t="s">
        <v>2857</v>
      </c>
      <c r="B2910" s="12"/>
      <c r="C2910" s="12"/>
      <c r="D2910" s="12"/>
      <c r="E2910" s="12" t="s">
        <v>2858</v>
      </c>
      <c r="F2910" s="12"/>
      <c r="G2910" s="12"/>
      <c r="H2910" s="12"/>
    </row>
    <row r="2911" customFormat="false" ht="24" hidden="false" customHeight="true" outlineLevel="0" collapsed="false">
      <c r="A2911" s="13" t="s">
        <v>1434</v>
      </c>
      <c r="B2911" s="13"/>
      <c r="C2911" s="13"/>
      <c r="D2911" s="13"/>
      <c r="E2911" s="13"/>
      <c r="F2911" s="13"/>
      <c r="G2911" s="13"/>
      <c r="H2911" s="13"/>
    </row>
    <row r="2912" customFormat="false" ht="7.5" hidden="false" customHeight="true" outlineLevel="0" collapsed="false"/>
    <row r="2913" customFormat="false" ht="24" hidden="false" customHeight="true" outlineLevel="0" collapsed="false">
      <c r="A2913" s="9" t="s">
        <v>2859</v>
      </c>
      <c r="B2913" s="9"/>
      <c r="C2913" s="9"/>
      <c r="D2913" s="9"/>
      <c r="E2913" s="9"/>
      <c r="F2913" s="9"/>
      <c r="G2913" s="9"/>
      <c r="H2913" s="9"/>
    </row>
    <row r="2914" customFormat="false" ht="42" hidden="false" customHeight="true" outlineLevel="0" collapsed="false">
      <c r="A2914" s="11" t="s">
        <v>2860</v>
      </c>
      <c r="B2914" s="11"/>
      <c r="C2914" s="11"/>
      <c r="D2914" s="11"/>
      <c r="E2914" s="11"/>
      <c r="F2914" s="11"/>
      <c r="G2914" s="11"/>
      <c r="H2914" s="11"/>
    </row>
    <row r="2915" customFormat="false" ht="54.75" hidden="false" customHeight="true" outlineLevel="0" collapsed="false">
      <c r="A2915" s="12" t="s">
        <v>2861</v>
      </c>
      <c r="B2915" s="12"/>
      <c r="C2915" s="12"/>
      <c r="D2915" s="12"/>
      <c r="E2915" s="12" t="s">
        <v>2862</v>
      </c>
      <c r="F2915" s="12"/>
      <c r="G2915" s="12"/>
      <c r="H2915" s="12"/>
    </row>
    <row r="2916" customFormat="false" ht="67.5" hidden="false" customHeight="true" outlineLevel="0" collapsed="false">
      <c r="A2916" s="12" t="s">
        <v>2863</v>
      </c>
      <c r="B2916" s="12"/>
      <c r="C2916" s="12"/>
      <c r="D2916" s="12"/>
      <c r="E2916" s="12" t="s">
        <v>2864</v>
      </c>
      <c r="F2916" s="12"/>
      <c r="G2916" s="12"/>
      <c r="H2916" s="12"/>
    </row>
    <row r="2917" customFormat="false" ht="24" hidden="false" customHeight="true" outlineLevel="0" collapsed="false">
      <c r="A2917" s="13" t="s">
        <v>1495</v>
      </c>
      <c r="B2917" s="13"/>
      <c r="C2917" s="13"/>
      <c r="D2917" s="13"/>
      <c r="E2917" s="13"/>
      <c r="F2917" s="13"/>
      <c r="G2917" s="13"/>
      <c r="H2917" s="13"/>
    </row>
    <row r="2918" customFormat="false" ht="7.5" hidden="false" customHeight="true" outlineLevel="0" collapsed="false"/>
    <row r="2919" customFormat="false" ht="24" hidden="false" customHeight="true" outlineLevel="0" collapsed="false">
      <c r="A2919" s="9" t="s">
        <v>2865</v>
      </c>
      <c r="B2919" s="9"/>
      <c r="C2919" s="9"/>
      <c r="D2919" s="9"/>
      <c r="E2919" s="9"/>
      <c r="F2919" s="9"/>
      <c r="G2919" s="9"/>
      <c r="H2919" s="9"/>
    </row>
    <row r="2920" customFormat="false" ht="45.75" hidden="false" customHeight="true" outlineLevel="0" collapsed="false">
      <c r="A2920" s="11" t="s">
        <v>2866</v>
      </c>
      <c r="B2920" s="11"/>
      <c r="C2920" s="11"/>
      <c r="D2920" s="11"/>
      <c r="E2920" s="11"/>
      <c r="F2920" s="11"/>
      <c r="G2920" s="11"/>
      <c r="H2920" s="11"/>
    </row>
    <row r="2921" customFormat="false" ht="33.75" hidden="false" customHeight="true" outlineLevel="0" collapsed="false">
      <c r="A2921" s="12" t="s">
        <v>2867</v>
      </c>
      <c r="B2921" s="12"/>
      <c r="C2921" s="12"/>
      <c r="D2921" s="12"/>
      <c r="E2921" s="12" t="s">
        <v>2868</v>
      </c>
      <c r="F2921" s="12"/>
      <c r="G2921" s="12"/>
      <c r="H2921" s="12"/>
    </row>
    <row r="2922" customFormat="false" ht="33.75" hidden="false" customHeight="true" outlineLevel="0" collapsed="false">
      <c r="A2922" s="12" t="s">
        <v>2869</v>
      </c>
      <c r="B2922" s="12"/>
      <c r="C2922" s="12"/>
      <c r="D2922" s="12"/>
      <c r="E2922" s="12" t="s">
        <v>2870</v>
      </c>
      <c r="F2922" s="12"/>
      <c r="G2922" s="12"/>
      <c r="H2922" s="12"/>
    </row>
    <row r="2923" customFormat="false" ht="24" hidden="false" customHeight="true" outlineLevel="0" collapsed="false">
      <c r="A2923" s="13" t="s">
        <v>1327</v>
      </c>
      <c r="B2923" s="13"/>
      <c r="C2923" s="13"/>
      <c r="D2923" s="13"/>
      <c r="E2923" s="13"/>
      <c r="F2923" s="13"/>
      <c r="G2923" s="13"/>
      <c r="H2923" s="13"/>
    </row>
    <row r="2924" customFormat="false" ht="7.5" hidden="false" customHeight="true" outlineLevel="0" collapsed="false"/>
    <row r="2925" customFormat="false" ht="24" hidden="false" customHeight="true" outlineLevel="0" collapsed="false">
      <c r="A2925" s="9" t="s">
        <v>2871</v>
      </c>
      <c r="B2925" s="9"/>
      <c r="C2925" s="9"/>
      <c r="D2925" s="9"/>
      <c r="E2925" s="9"/>
      <c r="F2925" s="9"/>
      <c r="G2925" s="9"/>
      <c r="H2925" s="9"/>
    </row>
    <row r="2926" customFormat="false" ht="42" hidden="false" customHeight="true" outlineLevel="0" collapsed="false">
      <c r="A2926" s="11" t="s">
        <v>2872</v>
      </c>
      <c r="B2926" s="11"/>
      <c r="C2926" s="11"/>
      <c r="D2926" s="11"/>
      <c r="E2926" s="11"/>
      <c r="F2926" s="11"/>
      <c r="G2926" s="11"/>
      <c r="H2926" s="11"/>
    </row>
    <row r="2927" customFormat="false" ht="54.75" hidden="false" customHeight="true" outlineLevel="0" collapsed="false">
      <c r="A2927" s="12" t="s">
        <v>2873</v>
      </c>
      <c r="B2927" s="12"/>
      <c r="C2927" s="12"/>
      <c r="D2927" s="12"/>
      <c r="E2927" s="12" t="s">
        <v>2874</v>
      </c>
      <c r="F2927" s="12"/>
      <c r="G2927" s="12"/>
      <c r="H2927" s="12"/>
    </row>
    <row r="2928" customFormat="false" ht="54.75" hidden="false" customHeight="true" outlineLevel="0" collapsed="false">
      <c r="A2928" s="12" t="s">
        <v>2875</v>
      </c>
      <c r="B2928" s="12"/>
      <c r="C2928" s="12"/>
      <c r="D2928" s="12"/>
      <c r="E2928" s="12" t="s">
        <v>2876</v>
      </c>
      <c r="F2928" s="12"/>
      <c r="G2928" s="12"/>
      <c r="H2928" s="12"/>
    </row>
    <row r="2929" customFormat="false" ht="24" hidden="false" customHeight="true" outlineLevel="0" collapsed="false">
      <c r="A2929" s="13" t="s">
        <v>1721</v>
      </c>
      <c r="B2929" s="13"/>
      <c r="C2929" s="13"/>
      <c r="D2929" s="13"/>
      <c r="E2929" s="13"/>
      <c r="F2929" s="13"/>
      <c r="G2929" s="13"/>
      <c r="H2929" s="13"/>
    </row>
    <row r="2930" customFormat="false" ht="7.5" hidden="false" customHeight="true" outlineLevel="0" collapsed="false"/>
    <row r="2931" customFormat="false" ht="24" hidden="false" customHeight="true" outlineLevel="0" collapsed="false">
      <c r="A2931" s="9" t="s">
        <v>2877</v>
      </c>
      <c r="B2931" s="9"/>
      <c r="C2931" s="9"/>
      <c r="D2931" s="9"/>
      <c r="E2931" s="9"/>
      <c r="F2931" s="9"/>
      <c r="G2931" s="9"/>
      <c r="H2931" s="9"/>
    </row>
    <row r="2932" customFormat="false" ht="45.75" hidden="false" customHeight="true" outlineLevel="0" collapsed="false">
      <c r="A2932" s="11" t="s">
        <v>2878</v>
      </c>
      <c r="B2932" s="11"/>
      <c r="C2932" s="11"/>
      <c r="D2932" s="11"/>
      <c r="E2932" s="11"/>
      <c r="F2932" s="11"/>
      <c r="G2932" s="11"/>
      <c r="H2932" s="11"/>
    </row>
    <row r="2933" customFormat="false" ht="33.75" hidden="false" customHeight="true" outlineLevel="0" collapsed="false">
      <c r="A2933" s="12" t="s">
        <v>2879</v>
      </c>
      <c r="B2933" s="12"/>
      <c r="C2933" s="12"/>
      <c r="D2933" s="12"/>
      <c r="E2933" s="12" t="s">
        <v>2880</v>
      </c>
      <c r="F2933" s="12"/>
      <c r="G2933" s="12"/>
      <c r="H2933" s="12"/>
    </row>
    <row r="2934" customFormat="false" ht="42" hidden="false" customHeight="true" outlineLevel="0" collapsed="false">
      <c r="A2934" s="12" t="s">
        <v>2881</v>
      </c>
      <c r="B2934" s="12"/>
      <c r="C2934" s="12"/>
      <c r="D2934" s="12"/>
      <c r="E2934" s="12" t="s">
        <v>2882</v>
      </c>
      <c r="F2934" s="12"/>
      <c r="G2934" s="12"/>
      <c r="H2934" s="12"/>
    </row>
    <row r="2935" customFormat="false" ht="24" hidden="false" customHeight="true" outlineLevel="0" collapsed="false">
      <c r="A2935" s="13" t="s">
        <v>1905</v>
      </c>
      <c r="B2935" s="13"/>
      <c r="C2935" s="13"/>
      <c r="D2935" s="13"/>
      <c r="E2935" s="13"/>
      <c r="F2935" s="13"/>
      <c r="G2935" s="13"/>
      <c r="H2935" s="13"/>
    </row>
    <row r="2936" customFormat="false" ht="7.5" hidden="false" customHeight="true" outlineLevel="0" collapsed="false"/>
    <row r="2937" customFormat="false" ht="24" hidden="false" customHeight="true" outlineLevel="0" collapsed="false">
      <c r="A2937" s="9" t="s">
        <v>2883</v>
      </c>
      <c r="B2937" s="9"/>
      <c r="C2937" s="9"/>
      <c r="D2937" s="9"/>
      <c r="E2937" s="9"/>
      <c r="F2937" s="9"/>
      <c r="G2937" s="9"/>
      <c r="H2937" s="9"/>
    </row>
    <row r="2938" customFormat="false" ht="45.75" hidden="false" customHeight="true" outlineLevel="0" collapsed="false">
      <c r="A2938" s="11" t="s">
        <v>2884</v>
      </c>
      <c r="B2938" s="11"/>
      <c r="C2938" s="11"/>
      <c r="D2938" s="11"/>
      <c r="E2938" s="11"/>
      <c r="F2938" s="11"/>
      <c r="G2938" s="11"/>
      <c r="H2938" s="11"/>
    </row>
    <row r="2939" customFormat="false" ht="33.75" hidden="false" customHeight="true" outlineLevel="0" collapsed="false">
      <c r="A2939" s="12" t="s">
        <v>2318</v>
      </c>
      <c r="B2939" s="12"/>
      <c r="C2939" s="12"/>
      <c r="D2939" s="12"/>
      <c r="E2939" s="12" t="s">
        <v>2885</v>
      </c>
      <c r="F2939" s="12"/>
      <c r="G2939" s="12"/>
      <c r="H2939" s="12"/>
    </row>
    <row r="2940" customFormat="false" ht="33.75" hidden="false" customHeight="true" outlineLevel="0" collapsed="false">
      <c r="A2940" s="12" t="s">
        <v>2886</v>
      </c>
      <c r="B2940" s="12"/>
      <c r="C2940" s="12"/>
      <c r="D2940" s="12"/>
      <c r="E2940" s="12" t="s">
        <v>2887</v>
      </c>
      <c r="F2940" s="12"/>
      <c r="G2940" s="12"/>
      <c r="H2940" s="12"/>
    </row>
    <row r="2941" customFormat="false" ht="24" hidden="false" customHeight="true" outlineLevel="0" collapsed="false">
      <c r="A2941" s="13" t="s">
        <v>1290</v>
      </c>
      <c r="B2941" s="13"/>
      <c r="C2941" s="13"/>
      <c r="D2941" s="13"/>
      <c r="E2941" s="13"/>
      <c r="F2941" s="13"/>
      <c r="G2941" s="13"/>
      <c r="H2941" s="13"/>
    </row>
    <row r="2942" customFormat="false" ht="7.5" hidden="false" customHeight="true" outlineLevel="0" collapsed="false"/>
    <row r="2943" customFormat="false" ht="24" hidden="false" customHeight="true" outlineLevel="0" collapsed="false">
      <c r="A2943" s="9" t="s">
        <v>2888</v>
      </c>
      <c r="B2943" s="9"/>
      <c r="C2943" s="9"/>
      <c r="D2943" s="9"/>
      <c r="E2943" s="9"/>
      <c r="F2943" s="9"/>
      <c r="G2943" s="9"/>
      <c r="H2943" s="9"/>
    </row>
    <row r="2944" customFormat="false" ht="45.75" hidden="false" customHeight="true" outlineLevel="0" collapsed="false">
      <c r="A2944" s="11" t="s">
        <v>2889</v>
      </c>
      <c r="B2944" s="11"/>
      <c r="C2944" s="11"/>
      <c r="D2944" s="11"/>
      <c r="E2944" s="11"/>
      <c r="F2944" s="11"/>
      <c r="G2944" s="11"/>
      <c r="H2944" s="11"/>
    </row>
    <row r="2945" customFormat="false" ht="54.75" hidden="false" customHeight="true" outlineLevel="0" collapsed="false">
      <c r="A2945" s="12" t="s">
        <v>2890</v>
      </c>
      <c r="B2945" s="12"/>
      <c r="C2945" s="12"/>
      <c r="D2945" s="12"/>
      <c r="E2945" s="12" t="s">
        <v>2891</v>
      </c>
      <c r="F2945" s="12"/>
      <c r="G2945" s="12"/>
      <c r="H2945" s="12"/>
    </row>
    <row r="2946" customFormat="false" ht="54.75" hidden="false" customHeight="true" outlineLevel="0" collapsed="false">
      <c r="A2946" s="12" t="s">
        <v>2892</v>
      </c>
      <c r="B2946" s="12"/>
      <c r="C2946" s="12"/>
      <c r="D2946" s="12"/>
      <c r="E2946" s="12" t="s">
        <v>2893</v>
      </c>
      <c r="F2946" s="12"/>
      <c r="G2946" s="12"/>
      <c r="H2946" s="12"/>
    </row>
    <row r="2947" customFormat="false" ht="24" hidden="false" customHeight="true" outlineLevel="0" collapsed="false">
      <c r="A2947" s="13" t="s">
        <v>1924</v>
      </c>
      <c r="B2947" s="13"/>
      <c r="C2947" s="13"/>
      <c r="D2947" s="13"/>
      <c r="E2947" s="13"/>
      <c r="F2947" s="13"/>
      <c r="G2947" s="13"/>
      <c r="H2947" s="13"/>
    </row>
    <row r="2948" customFormat="false" ht="7.5" hidden="false" customHeight="true" outlineLevel="0" collapsed="false"/>
    <row r="2949" customFormat="false" ht="24" hidden="false" customHeight="true" outlineLevel="0" collapsed="false">
      <c r="A2949" s="9" t="s">
        <v>2894</v>
      </c>
      <c r="B2949" s="9"/>
      <c r="C2949" s="9"/>
      <c r="D2949" s="9"/>
      <c r="E2949" s="9"/>
      <c r="F2949" s="9"/>
      <c r="G2949" s="9"/>
      <c r="H2949" s="9"/>
    </row>
    <row r="2950" customFormat="false" ht="60" hidden="false" customHeight="true" outlineLevel="0" collapsed="false">
      <c r="A2950" s="11" t="s">
        <v>2895</v>
      </c>
      <c r="B2950" s="11"/>
      <c r="C2950" s="11"/>
      <c r="D2950" s="11"/>
      <c r="E2950" s="11"/>
      <c r="F2950" s="11"/>
      <c r="G2950" s="11"/>
      <c r="H2950" s="11"/>
    </row>
    <row r="2951" customFormat="false" ht="33.75" hidden="false" customHeight="true" outlineLevel="0" collapsed="false">
      <c r="A2951" s="12" t="s">
        <v>2896</v>
      </c>
      <c r="B2951" s="12"/>
      <c r="C2951" s="12"/>
      <c r="D2951" s="12"/>
      <c r="E2951" s="12" t="s">
        <v>2897</v>
      </c>
      <c r="F2951" s="12"/>
      <c r="G2951" s="12"/>
      <c r="H2951" s="12"/>
    </row>
    <row r="2952" customFormat="false" ht="33.75" hidden="false" customHeight="true" outlineLevel="0" collapsed="false">
      <c r="A2952" s="12" t="s">
        <v>2898</v>
      </c>
      <c r="B2952" s="12"/>
      <c r="C2952" s="12"/>
      <c r="D2952" s="12"/>
      <c r="E2952" s="12" t="s">
        <v>2899</v>
      </c>
      <c r="F2952" s="12"/>
      <c r="G2952" s="12"/>
      <c r="H2952" s="12"/>
    </row>
    <row r="2953" customFormat="false" ht="24" hidden="false" customHeight="true" outlineLevel="0" collapsed="false">
      <c r="A2953" s="13" t="s">
        <v>1880</v>
      </c>
      <c r="B2953" s="13"/>
      <c r="C2953" s="13"/>
      <c r="D2953" s="13"/>
      <c r="E2953" s="13"/>
      <c r="F2953" s="13"/>
      <c r="G2953" s="13"/>
      <c r="H2953" s="13"/>
    </row>
    <row r="2954" customFormat="false" ht="7.5" hidden="false" customHeight="true" outlineLevel="0" collapsed="false"/>
    <row r="2955" customFormat="false" ht="24" hidden="false" customHeight="true" outlineLevel="0" collapsed="false">
      <c r="A2955" s="9" t="s">
        <v>2900</v>
      </c>
      <c r="B2955" s="9"/>
      <c r="C2955" s="9"/>
      <c r="D2955" s="9"/>
      <c r="E2955" s="9"/>
      <c r="F2955" s="9"/>
      <c r="G2955" s="9"/>
      <c r="H2955" s="9"/>
    </row>
    <row r="2956" customFormat="false" ht="73.5" hidden="false" customHeight="true" outlineLevel="0" collapsed="false">
      <c r="A2956" s="11" t="s">
        <v>2901</v>
      </c>
      <c r="B2956" s="11"/>
      <c r="C2956" s="11"/>
      <c r="D2956" s="11"/>
      <c r="E2956" s="11"/>
      <c r="F2956" s="11"/>
      <c r="G2956" s="11"/>
      <c r="H2956" s="11"/>
    </row>
    <row r="2957" customFormat="false" ht="33.75" hidden="false" customHeight="true" outlineLevel="0" collapsed="false">
      <c r="A2957" s="12" t="s">
        <v>2902</v>
      </c>
      <c r="B2957" s="12"/>
      <c r="C2957" s="12"/>
      <c r="D2957" s="12"/>
      <c r="E2957" s="12" t="s">
        <v>2903</v>
      </c>
      <c r="F2957" s="12"/>
      <c r="G2957" s="12"/>
      <c r="H2957" s="12"/>
    </row>
    <row r="2958" customFormat="false" ht="33.75" hidden="false" customHeight="true" outlineLevel="0" collapsed="false">
      <c r="A2958" s="12" t="s">
        <v>2904</v>
      </c>
      <c r="B2958" s="12"/>
      <c r="C2958" s="12"/>
      <c r="D2958" s="12"/>
      <c r="E2958" s="12" t="s">
        <v>2905</v>
      </c>
      <c r="F2958" s="12"/>
      <c r="G2958" s="12"/>
      <c r="H2958" s="12"/>
    </row>
    <row r="2959" customFormat="false" ht="24" hidden="false" customHeight="true" outlineLevel="0" collapsed="false">
      <c r="A2959" s="13" t="s">
        <v>1721</v>
      </c>
      <c r="B2959" s="13"/>
      <c r="C2959" s="13"/>
      <c r="D2959" s="13"/>
      <c r="E2959" s="13"/>
      <c r="F2959" s="13"/>
      <c r="G2959" s="13"/>
      <c r="H2959" s="13"/>
    </row>
    <row r="2960" customFormat="false" ht="7.5" hidden="false" customHeight="true" outlineLevel="0" collapsed="false"/>
    <row r="2961" customFormat="false" ht="24" hidden="false" customHeight="true" outlineLevel="0" collapsed="false">
      <c r="A2961" s="9" t="s">
        <v>2906</v>
      </c>
      <c r="B2961" s="9"/>
      <c r="C2961" s="9"/>
      <c r="D2961" s="9"/>
      <c r="E2961" s="9"/>
      <c r="F2961" s="9"/>
      <c r="G2961" s="9"/>
      <c r="H2961" s="9"/>
    </row>
    <row r="2962" customFormat="false" ht="42" hidden="false" customHeight="true" outlineLevel="0" collapsed="false">
      <c r="A2962" s="11" t="s">
        <v>2907</v>
      </c>
      <c r="B2962" s="11"/>
      <c r="C2962" s="11"/>
      <c r="D2962" s="11"/>
      <c r="E2962" s="11"/>
      <c r="F2962" s="11"/>
      <c r="G2962" s="11"/>
      <c r="H2962" s="11"/>
    </row>
    <row r="2963" customFormat="false" ht="42" hidden="false" customHeight="true" outlineLevel="0" collapsed="false">
      <c r="A2963" s="12" t="s">
        <v>2908</v>
      </c>
      <c r="B2963" s="12"/>
      <c r="C2963" s="12"/>
      <c r="D2963" s="12"/>
      <c r="E2963" s="12" t="s">
        <v>2909</v>
      </c>
      <c r="F2963" s="12"/>
      <c r="G2963" s="12"/>
      <c r="H2963" s="12"/>
    </row>
    <row r="2964" customFormat="false" ht="33.75" hidden="false" customHeight="true" outlineLevel="0" collapsed="false">
      <c r="A2964" s="12" t="s">
        <v>2910</v>
      </c>
      <c r="B2964" s="12"/>
      <c r="C2964" s="12"/>
      <c r="D2964" s="12"/>
      <c r="E2964" s="12" t="s">
        <v>2911</v>
      </c>
      <c r="F2964" s="12"/>
      <c r="G2964" s="12"/>
      <c r="H2964" s="12"/>
    </row>
    <row r="2965" customFormat="false" ht="24" hidden="false" customHeight="true" outlineLevel="0" collapsed="false">
      <c r="A2965" s="13" t="s">
        <v>1441</v>
      </c>
      <c r="B2965" s="13"/>
      <c r="C2965" s="13"/>
      <c r="D2965" s="13"/>
      <c r="E2965" s="13"/>
      <c r="F2965" s="13"/>
      <c r="G2965" s="13"/>
      <c r="H2965" s="13"/>
    </row>
    <row r="2966" customFormat="false" ht="7.5" hidden="false" customHeight="true" outlineLevel="0" collapsed="false"/>
    <row r="2967" customFormat="false" ht="24" hidden="false" customHeight="true" outlineLevel="0" collapsed="false">
      <c r="A2967" s="9" t="s">
        <v>2912</v>
      </c>
      <c r="B2967" s="9"/>
      <c r="C2967" s="9"/>
      <c r="D2967" s="9"/>
      <c r="E2967" s="9"/>
      <c r="F2967" s="9"/>
      <c r="G2967" s="9"/>
      <c r="H2967" s="9"/>
    </row>
    <row r="2968" customFormat="false" ht="45.75" hidden="false" customHeight="true" outlineLevel="0" collapsed="false">
      <c r="A2968" s="11" t="s">
        <v>2913</v>
      </c>
      <c r="B2968" s="11"/>
      <c r="C2968" s="11"/>
      <c r="D2968" s="11"/>
      <c r="E2968" s="11"/>
      <c r="F2968" s="11"/>
      <c r="G2968" s="11"/>
      <c r="H2968" s="11"/>
    </row>
    <row r="2969" customFormat="false" ht="42" hidden="false" customHeight="true" outlineLevel="0" collapsed="false">
      <c r="A2969" s="12" t="s">
        <v>2914</v>
      </c>
      <c r="B2969" s="12"/>
      <c r="C2969" s="12"/>
      <c r="D2969" s="12"/>
      <c r="E2969" s="12" t="s">
        <v>2915</v>
      </c>
      <c r="F2969" s="12"/>
      <c r="G2969" s="12"/>
      <c r="H2969" s="12"/>
    </row>
    <row r="2970" customFormat="false" ht="42" hidden="false" customHeight="true" outlineLevel="0" collapsed="false">
      <c r="A2970" s="12" t="s">
        <v>2916</v>
      </c>
      <c r="B2970" s="12"/>
      <c r="C2970" s="12"/>
      <c r="D2970" s="12"/>
      <c r="E2970" s="12" t="s">
        <v>2917</v>
      </c>
      <c r="F2970" s="12"/>
      <c r="G2970" s="12"/>
      <c r="H2970" s="12"/>
    </row>
    <row r="2971" customFormat="false" ht="24" hidden="false" customHeight="true" outlineLevel="0" collapsed="false">
      <c r="A2971" s="13" t="s">
        <v>1924</v>
      </c>
      <c r="B2971" s="13"/>
      <c r="C2971" s="13"/>
      <c r="D2971" s="13"/>
      <c r="E2971" s="13"/>
      <c r="F2971" s="13"/>
      <c r="G2971" s="13"/>
      <c r="H2971" s="13"/>
    </row>
    <row r="2972" customFormat="false" ht="7.5" hidden="false" customHeight="true" outlineLevel="0" collapsed="false"/>
    <row r="2973" customFormat="false" ht="24" hidden="false" customHeight="true" outlineLevel="0" collapsed="false">
      <c r="A2973" s="9" t="s">
        <v>2918</v>
      </c>
      <c r="B2973" s="9"/>
      <c r="C2973" s="9"/>
      <c r="D2973" s="9"/>
      <c r="E2973" s="9"/>
      <c r="F2973" s="9"/>
      <c r="G2973" s="9"/>
      <c r="H2973" s="9"/>
    </row>
    <row r="2974" customFormat="false" ht="42" hidden="false" customHeight="true" outlineLevel="0" collapsed="false">
      <c r="A2974" s="11" t="s">
        <v>2919</v>
      </c>
      <c r="B2974" s="11"/>
      <c r="C2974" s="11"/>
      <c r="D2974" s="11"/>
      <c r="E2974" s="11"/>
      <c r="F2974" s="11"/>
      <c r="G2974" s="11"/>
      <c r="H2974" s="11"/>
    </row>
    <row r="2975" customFormat="false" ht="33.75" hidden="false" customHeight="true" outlineLevel="0" collapsed="false">
      <c r="A2975" s="12" t="s">
        <v>2920</v>
      </c>
      <c r="B2975" s="12"/>
      <c r="C2975" s="12"/>
      <c r="D2975" s="12"/>
      <c r="E2975" s="12" t="s">
        <v>2921</v>
      </c>
      <c r="F2975" s="12"/>
      <c r="G2975" s="12"/>
      <c r="H2975" s="12"/>
    </row>
    <row r="2976" customFormat="false" ht="33.75" hidden="false" customHeight="true" outlineLevel="0" collapsed="false">
      <c r="A2976" s="12" t="s">
        <v>2922</v>
      </c>
      <c r="B2976" s="12"/>
      <c r="C2976" s="12"/>
      <c r="D2976" s="12"/>
      <c r="E2976" s="12" t="s">
        <v>2923</v>
      </c>
      <c r="F2976" s="12"/>
      <c r="G2976" s="12"/>
      <c r="H2976" s="12"/>
    </row>
    <row r="2977" customFormat="false" ht="24" hidden="false" customHeight="true" outlineLevel="0" collapsed="false">
      <c r="A2977" s="13" t="s">
        <v>2357</v>
      </c>
      <c r="B2977" s="13"/>
      <c r="C2977" s="13"/>
      <c r="D2977" s="13"/>
      <c r="E2977" s="13"/>
      <c r="F2977" s="13"/>
      <c r="G2977" s="13"/>
      <c r="H2977" s="13"/>
    </row>
    <row r="2978" customFormat="false" ht="7.5" hidden="false" customHeight="true" outlineLevel="0" collapsed="false"/>
    <row r="2979" customFormat="false" ht="24" hidden="false" customHeight="true" outlineLevel="0" collapsed="false">
      <c r="A2979" s="9" t="s">
        <v>2924</v>
      </c>
      <c r="B2979" s="9"/>
      <c r="C2979" s="9"/>
      <c r="D2979" s="9"/>
      <c r="E2979" s="9"/>
      <c r="F2979" s="9"/>
      <c r="G2979" s="9"/>
      <c r="H2979" s="9"/>
    </row>
    <row r="2980" customFormat="false" ht="42" hidden="false" customHeight="true" outlineLevel="0" collapsed="false">
      <c r="A2980" s="11" t="s">
        <v>2925</v>
      </c>
      <c r="B2980" s="11"/>
      <c r="C2980" s="11"/>
      <c r="D2980" s="11"/>
      <c r="E2980" s="11"/>
      <c r="F2980" s="11"/>
      <c r="G2980" s="11"/>
      <c r="H2980" s="11"/>
    </row>
    <row r="2981" customFormat="false" ht="33.75" hidden="false" customHeight="true" outlineLevel="0" collapsed="false">
      <c r="A2981" s="12" t="s">
        <v>2926</v>
      </c>
      <c r="B2981" s="12"/>
      <c r="C2981" s="12"/>
      <c r="D2981" s="12"/>
      <c r="E2981" s="12" t="s">
        <v>2927</v>
      </c>
      <c r="F2981" s="12"/>
      <c r="G2981" s="12"/>
      <c r="H2981" s="12"/>
    </row>
    <row r="2982" customFormat="false" ht="33.75" hidden="false" customHeight="true" outlineLevel="0" collapsed="false">
      <c r="A2982" s="12" t="s">
        <v>2928</v>
      </c>
      <c r="B2982" s="12"/>
      <c r="C2982" s="12"/>
      <c r="D2982" s="12"/>
      <c r="E2982" s="12" t="s">
        <v>2929</v>
      </c>
      <c r="F2982" s="12"/>
      <c r="G2982" s="12"/>
      <c r="H2982" s="12"/>
    </row>
    <row r="2983" customFormat="false" ht="24" hidden="false" customHeight="true" outlineLevel="0" collapsed="false">
      <c r="A2983" s="13" t="s">
        <v>1582</v>
      </c>
      <c r="B2983" s="13"/>
      <c r="C2983" s="13"/>
      <c r="D2983" s="13"/>
      <c r="E2983" s="13"/>
      <c r="F2983" s="13"/>
      <c r="G2983" s="13"/>
      <c r="H2983" s="13"/>
    </row>
    <row r="2984" customFormat="false" ht="7.5" hidden="false" customHeight="true" outlineLevel="0" collapsed="false"/>
    <row r="2985" customFormat="false" ht="24" hidden="false" customHeight="true" outlineLevel="0" collapsed="false">
      <c r="A2985" s="9" t="s">
        <v>2930</v>
      </c>
      <c r="B2985" s="9"/>
      <c r="C2985" s="9"/>
      <c r="D2985" s="9"/>
      <c r="E2985" s="9"/>
      <c r="F2985" s="9"/>
      <c r="G2985" s="9"/>
      <c r="H2985" s="9"/>
    </row>
    <row r="2986" customFormat="false" ht="45.75" hidden="false" customHeight="true" outlineLevel="0" collapsed="false">
      <c r="A2986" s="11" t="s">
        <v>2931</v>
      </c>
      <c r="B2986" s="11"/>
      <c r="C2986" s="11"/>
      <c r="D2986" s="11"/>
      <c r="E2986" s="11"/>
      <c r="F2986" s="11"/>
      <c r="G2986" s="11"/>
      <c r="H2986" s="11"/>
    </row>
    <row r="2987" customFormat="false" ht="33.75" hidden="false" customHeight="true" outlineLevel="0" collapsed="false">
      <c r="A2987" s="12" t="s">
        <v>2932</v>
      </c>
      <c r="B2987" s="12"/>
      <c r="C2987" s="12"/>
      <c r="D2987" s="12"/>
      <c r="E2987" s="12" t="s">
        <v>2933</v>
      </c>
      <c r="F2987" s="12"/>
      <c r="G2987" s="12"/>
      <c r="H2987" s="12"/>
    </row>
    <row r="2988" customFormat="false" ht="33.75" hidden="false" customHeight="true" outlineLevel="0" collapsed="false">
      <c r="A2988" s="12" t="s">
        <v>2934</v>
      </c>
      <c r="B2988" s="12"/>
      <c r="C2988" s="12"/>
      <c r="D2988" s="12"/>
      <c r="E2988" s="12" t="s">
        <v>2935</v>
      </c>
      <c r="F2988" s="12"/>
      <c r="G2988" s="12"/>
      <c r="H2988" s="12"/>
    </row>
    <row r="2989" customFormat="false" ht="24" hidden="false" customHeight="true" outlineLevel="0" collapsed="false">
      <c r="A2989" s="13" t="s">
        <v>1924</v>
      </c>
      <c r="B2989" s="13"/>
      <c r="C2989" s="13"/>
      <c r="D2989" s="13"/>
      <c r="E2989" s="13"/>
      <c r="F2989" s="13"/>
      <c r="G2989" s="13"/>
      <c r="H2989" s="13"/>
    </row>
    <row r="2990" customFormat="false" ht="7.5" hidden="false" customHeight="true" outlineLevel="0" collapsed="false"/>
    <row r="2991" customFormat="false" ht="24" hidden="false" customHeight="true" outlineLevel="0" collapsed="false">
      <c r="A2991" s="9" t="s">
        <v>2936</v>
      </c>
      <c r="B2991" s="9"/>
      <c r="C2991" s="9"/>
      <c r="D2991" s="9"/>
      <c r="E2991" s="9"/>
      <c r="F2991" s="9"/>
      <c r="G2991" s="9"/>
      <c r="H2991" s="9"/>
    </row>
    <row r="2992" customFormat="false" ht="42" hidden="false" customHeight="true" outlineLevel="0" collapsed="false">
      <c r="A2992" s="11" t="s">
        <v>2937</v>
      </c>
      <c r="B2992" s="11"/>
      <c r="C2992" s="11"/>
      <c r="D2992" s="11"/>
      <c r="E2992" s="11"/>
      <c r="F2992" s="11"/>
      <c r="G2992" s="11"/>
      <c r="H2992" s="11"/>
    </row>
    <row r="2993" customFormat="false" ht="33.75" hidden="false" customHeight="true" outlineLevel="0" collapsed="false">
      <c r="A2993" s="12" t="s">
        <v>2938</v>
      </c>
      <c r="B2993" s="12"/>
      <c r="C2993" s="12"/>
      <c r="D2993" s="12"/>
      <c r="E2993" s="12" t="s">
        <v>1706</v>
      </c>
      <c r="F2993" s="12"/>
      <c r="G2993" s="12"/>
      <c r="H2993" s="12"/>
    </row>
    <row r="2994" customFormat="false" ht="33.75" hidden="false" customHeight="true" outlineLevel="0" collapsed="false">
      <c r="A2994" s="12" t="s">
        <v>2939</v>
      </c>
      <c r="B2994" s="12"/>
      <c r="C2994" s="12"/>
      <c r="D2994" s="12"/>
      <c r="E2994" s="12" t="s">
        <v>2940</v>
      </c>
      <c r="F2994" s="12"/>
      <c r="G2994" s="12"/>
      <c r="H2994" s="12"/>
    </row>
    <row r="2995" customFormat="false" ht="24" hidden="false" customHeight="true" outlineLevel="0" collapsed="false">
      <c r="A2995" s="13" t="s">
        <v>1515</v>
      </c>
      <c r="B2995" s="13"/>
      <c r="C2995" s="13"/>
      <c r="D2995" s="13"/>
      <c r="E2995" s="13"/>
      <c r="F2995" s="13"/>
      <c r="G2995" s="13"/>
      <c r="H2995" s="13"/>
    </row>
    <row r="2996" customFormat="false" ht="7.5" hidden="false" customHeight="true" outlineLevel="0" collapsed="false"/>
    <row r="2997" customFormat="false" ht="24" hidden="false" customHeight="true" outlineLevel="0" collapsed="false">
      <c r="A2997" s="9" t="s">
        <v>2941</v>
      </c>
      <c r="B2997" s="9"/>
      <c r="C2997" s="9"/>
      <c r="D2997" s="9"/>
      <c r="E2997" s="9"/>
      <c r="F2997" s="9"/>
      <c r="G2997" s="9"/>
      <c r="H2997" s="9"/>
    </row>
    <row r="2998" customFormat="false" ht="73.5" hidden="false" customHeight="true" outlineLevel="0" collapsed="false">
      <c r="A2998" s="11" t="s">
        <v>2942</v>
      </c>
      <c r="B2998" s="11"/>
      <c r="C2998" s="11"/>
      <c r="D2998" s="11"/>
      <c r="E2998" s="11"/>
      <c r="F2998" s="11"/>
      <c r="G2998" s="11"/>
      <c r="H2998" s="11"/>
    </row>
    <row r="2999" customFormat="false" ht="54.75" hidden="false" customHeight="true" outlineLevel="0" collapsed="false">
      <c r="A2999" s="12" t="s">
        <v>2943</v>
      </c>
      <c r="B2999" s="12"/>
      <c r="C2999" s="12"/>
      <c r="D2999" s="12"/>
      <c r="E2999" s="12" t="s">
        <v>2944</v>
      </c>
      <c r="F2999" s="12"/>
      <c r="G2999" s="12"/>
      <c r="H2999" s="12"/>
    </row>
    <row r="3000" customFormat="false" ht="54.75" hidden="false" customHeight="true" outlineLevel="0" collapsed="false">
      <c r="A3000" s="12" t="s">
        <v>2945</v>
      </c>
      <c r="B3000" s="12"/>
      <c r="C3000" s="12"/>
      <c r="D3000" s="12"/>
      <c r="E3000" s="12" t="s">
        <v>2946</v>
      </c>
      <c r="F3000" s="12"/>
      <c r="G3000" s="12"/>
      <c r="H3000" s="12"/>
    </row>
    <row r="3001" customFormat="false" ht="24" hidden="false" customHeight="true" outlineLevel="0" collapsed="false">
      <c r="A3001" s="13" t="s">
        <v>1311</v>
      </c>
      <c r="B3001" s="13"/>
      <c r="C3001" s="13"/>
      <c r="D3001" s="13"/>
      <c r="E3001" s="13"/>
      <c r="F3001" s="13"/>
      <c r="G3001" s="13"/>
      <c r="H3001" s="13"/>
    </row>
    <row r="3002" customFormat="false" ht="7.5" hidden="false" customHeight="true" outlineLevel="0" collapsed="false"/>
    <row r="3003" customFormat="false" ht="24" hidden="false" customHeight="true" outlineLevel="0" collapsed="false">
      <c r="A3003" s="9" t="s">
        <v>2947</v>
      </c>
      <c r="B3003" s="9"/>
      <c r="C3003" s="9"/>
      <c r="D3003" s="9"/>
      <c r="E3003" s="9"/>
      <c r="F3003" s="9"/>
      <c r="G3003" s="9"/>
      <c r="H3003" s="9"/>
    </row>
    <row r="3004" customFormat="false" ht="42" hidden="false" customHeight="true" outlineLevel="0" collapsed="false">
      <c r="A3004" s="11" t="s">
        <v>2948</v>
      </c>
      <c r="B3004" s="11"/>
      <c r="C3004" s="11"/>
      <c r="D3004" s="11"/>
      <c r="E3004" s="11"/>
      <c r="F3004" s="11"/>
      <c r="G3004" s="11"/>
      <c r="H3004" s="11"/>
    </row>
    <row r="3005" customFormat="false" ht="42" hidden="false" customHeight="true" outlineLevel="0" collapsed="false">
      <c r="A3005" s="12" t="s">
        <v>2949</v>
      </c>
      <c r="B3005" s="12"/>
      <c r="C3005" s="12"/>
      <c r="D3005" s="12"/>
      <c r="E3005" s="12" t="s">
        <v>2950</v>
      </c>
      <c r="F3005" s="12"/>
      <c r="G3005" s="12"/>
      <c r="H3005" s="12"/>
    </row>
    <row r="3006" customFormat="false" ht="54.75" hidden="false" customHeight="true" outlineLevel="0" collapsed="false">
      <c r="A3006" s="12" t="s">
        <v>2951</v>
      </c>
      <c r="B3006" s="12"/>
      <c r="C3006" s="12"/>
      <c r="D3006" s="12"/>
      <c r="E3006" s="12" t="s">
        <v>2952</v>
      </c>
      <c r="F3006" s="12"/>
      <c r="G3006" s="12"/>
      <c r="H3006" s="12"/>
    </row>
    <row r="3007" customFormat="false" ht="24" hidden="false" customHeight="true" outlineLevel="0" collapsed="false">
      <c r="A3007" s="13" t="s">
        <v>1297</v>
      </c>
      <c r="B3007" s="13"/>
      <c r="C3007" s="13"/>
      <c r="D3007" s="13"/>
      <c r="E3007" s="13"/>
      <c r="F3007" s="13"/>
      <c r="G3007" s="13"/>
      <c r="H3007" s="13"/>
    </row>
    <row r="3008" customFormat="false" ht="7.5" hidden="false" customHeight="true" outlineLevel="0" collapsed="false"/>
    <row r="3009" customFormat="false" ht="24" hidden="false" customHeight="true" outlineLevel="0" collapsed="false">
      <c r="A3009" s="9" t="s">
        <v>2953</v>
      </c>
      <c r="B3009" s="9"/>
      <c r="C3009" s="9"/>
      <c r="D3009" s="9"/>
      <c r="E3009" s="9"/>
      <c r="F3009" s="9"/>
      <c r="G3009" s="9"/>
      <c r="H3009" s="9"/>
    </row>
    <row r="3010" customFormat="false" ht="60" hidden="false" customHeight="true" outlineLevel="0" collapsed="false">
      <c r="A3010" s="11" t="s">
        <v>2954</v>
      </c>
      <c r="B3010" s="11"/>
      <c r="C3010" s="11"/>
      <c r="D3010" s="11"/>
      <c r="E3010" s="11"/>
      <c r="F3010" s="11"/>
      <c r="G3010" s="11"/>
      <c r="H3010" s="11"/>
    </row>
    <row r="3011" customFormat="false" ht="33.75" hidden="false" customHeight="true" outlineLevel="0" collapsed="false">
      <c r="A3011" s="12" t="s">
        <v>2955</v>
      </c>
      <c r="B3011" s="12"/>
      <c r="C3011" s="12"/>
      <c r="D3011" s="12"/>
      <c r="E3011" s="12" t="s">
        <v>2956</v>
      </c>
      <c r="F3011" s="12"/>
      <c r="G3011" s="12"/>
      <c r="H3011" s="12"/>
    </row>
    <row r="3012" customFormat="false" ht="33.75" hidden="false" customHeight="true" outlineLevel="0" collapsed="false">
      <c r="A3012" s="12" t="s">
        <v>2957</v>
      </c>
      <c r="B3012" s="12"/>
      <c r="C3012" s="12"/>
      <c r="D3012" s="12"/>
      <c r="E3012" s="12" t="s">
        <v>2958</v>
      </c>
      <c r="F3012" s="12"/>
      <c r="G3012" s="12"/>
      <c r="H3012" s="12"/>
    </row>
    <row r="3013" customFormat="false" ht="24" hidden="false" customHeight="true" outlineLevel="0" collapsed="false">
      <c r="A3013" s="13" t="s">
        <v>1421</v>
      </c>
      <c r="B3013" s="13"/>
      <c r="C3013" s="13"/>
      <c r="D3013" s="13"/>
      <c r="E3013" s="13"/>
      <c r="F3013" s="13"/>
      <c r="G3013" s="13"/>
      <c r="H3013" s="13"/>
    </row>
    <row r="3014" customFormat="false" ht="7.5" hidden="false" customHeight="true" outlineLevel="0" collapsed="false"/>
    <row r="3015" customFormat="false" ht="24" hidden="false" customHeight="true" outlineLevel="0" collapsed="false">
      <c r="A3015" s="9" t="s">
        <v>2959</v>
      </c>
      <c r="B3015" s="9"/>
      <c r="C3015" s="9"/>
      <c r="D3015" s="9"/>
      <c r="E3015" s="9"/>
      <c r="F3015" s="9"/>
      <c r="G3015" s="9"/>
      <c r="H3015" s="9"/>
    </row>
    <row r="3016" customFormat="false" ht="42" hidden="false" customHeight="true" outlineLevel="0" collapsed="false">
      <c r="A3016" s="11" t="s">
        <v>2960</v>
      </c>
      <c r="B3016" s="11"/>
      <c r="C3016" s="11"/>
      <c r="D3016" s="11"/>
      <c r="E3016" s="11"/>
      <c r="F3016" s="11"/>
      <c r="G3016" s="11"/>
      <c r="H3016" s="11"/>
    </row>
    <row r="3017" customFormat="false" ht="33.75" hidden="false" customHeight="true" outlineLevel="0" collapsed="false">
      <c r="A3017" s="12" t="s">
        <v>2961</v>
      </c>
      <c r="B3017" s="12"/>
      <c r="C3017" s="12"/>
      <c r="D3017" s="12"/>
      <c r="E3017" s="12" t="s">
        <v>2962</v>
      </c>
      <c r="F3017" s="12"/>
      <c r="G3017" s="12"/>
      <c r="H3017" s="12"/>
    </row>
    <row r="3018" customFormat="false" ht="33.75" hidden="false" customHeight="true" outlineLevel="0" collapsed="false">
      <c r="A3018" s="12" t="s">
        <v>2963</v>
      </c>
      <c r="B3018" s="12"/>
      <c r="C3018" s="12"/>
      <c r="D3018" s="12"/>
      <c r="E3018" s="12" t="s">
        <v>2964</v>
      </c>
      <c r="F3018" s="12"/>
      <c r="G3018" s="12"/>
      <c r="H3018" s="12"/>
    </row>
    <row r="3019" customFormat="false" ht="24" hidden="false" customHeight="true" outlineLevel="0" collapsed="false">
      <c r="A3019" s="13" t="s">
        <v>1495</v>
      </c>
      <c r="B3019" s="13"/>
      <c r="C3019" s="13"/>
      <c r="D3019" s="13"/>
      <c r="E3019" s="13"/>
      <c r="F3019" s="13"/>
      <c r="G3019" s="13"/>
      <c r="H3019" s="13"/>
    </row>
    <row r="3020" customFormat="false" ht="7.5" hidden="false" customHeight="true" outlineLevel="0" collapsed="false"/>
    <row r="3021" customFormat="false" ht="24" hidden="false" customHeight="true" outlineLevel="0" collapsed="false">
      <c r="A3021" s="9" t="s">
        <v>2965</v>
      </c>
      <c r="B3021" s="9"/>
      <c r="C3021" s="9"/>
      <c r="D3021" s="9"/>
      <c r="E3021" s="9"/>
      <c r="F3021" s="9"/>
      <c r="G3021" s="9"/>
      <c r="H3021" s="9"/>
    </row>
    <row r="3022" customFormat="false" ht="45.75" hidden="false" customHeight="true" outlineLevel="0" collapsed="false">
      <c r="A3022" s="11" t="s">
        <v>2966</v>
      </c>
      <c r="B3022" s="11"/>
      <c r="C3022" s="11"/>
      <c r="D3022" s="11"/>
      <c r="E3022" s="11"/>
      <c r="F3022" s="11"/>
      <c r="G3022" s="11"/>
      <c r="H3022" s="11"/>
    </row>
    <row r="3023" customFormat="false" ht="54.75" hidden="false" customHeight="true" outlineLevel="0" collapsed="false">
      <c r="A3023" s="12" t="s">
        <v>2967</v>
      </c>
      <c r="B3023" s="12"/>
      <c r="C3023" s="12"/>
      <c r="D3023" s="12"/>
      <c r="E3023" s="12" t="s">
        <v>2968</v>
      </c>
      <c r="F3023" s="12"/>
      <c r="G3023" s="12"/>
      <c r="H3023" s="12"/>
    </row>
    <row r="3024" customFormat="false" ht="54.75" hidden="false" customHeight="true" outlineLevel="0" collapsed="false">
      <c r="A3024" s="12" t="s">
        <v>2969</v>
      </c>
      <c r="B3024" s="12"/>
      <c r="C3024" s="12"/>
      <c r="D3024" s="12"/>
      <c r="E3024" s="12" t="s">
        <v>2970</v>
      </c>
      <c r="F3024" s="12"/>
      <c r="G3024" s="12"/>
      <c r="H3024" s="12"/>
    </row>
    <row r="3025" customFormat="false" ht="24" hidden="false" customHeight="true" outlineLevel="0" collapsed="false">
      <c r="A3025" s="13" t="s">
        <v>1434</v>
      </c>
      <c r="B3025" s="13"/>
      <c r="C3025" s="13"/>
      <c r="D3025" s="13"/>
      <c r="E3025" s="13"/>
      <c r="F3025" s="13"/>
      <c r="G3025" s="13"/>
      <c r="H3025" s="13"/>
    </row>
    <row r="3026" customFormat="false" ht="7.5" hidden="false" customHeight="true" outlineLevel="0" collapsed="false"/>
    <row r="3027" customFormat="false" ht="24" hidden="false" customHeight="true" outlineLevel="0" collapsed="false">
      <c r="A3027" s="9" t="s">
        <v>2971</v>
      </c>
      <c r="B3027" s="9"/>
      <c r="C3027" s="9"/>
      <c r="D3027" s="9"/>
      <c r="E3027" s="9"/>
      <c r="F3027" s="9"/>
      <c r="G3027" s="9"/>
      <c r="H3027" s="9"/>
    </row>
    <row r="3028" customFormat="false" ht="45.75" hidden="false" customHeight="true" outlineLevel="0" collapsed="false">
      <c r="A3028" s="11" t="s">
        <v>2972</v>
      </c>
      <c r="B3028" s="11"/>
      <c r="C3028" s="11"/>
      <c r="D3028" s="11"/>
      <c r="E3028" s="11"/>
      <c r="F3028" s="11"/>
      <c r="G3028" s="11"/>
      <c r="H3028" s="11"/>
    </row>
    <row r="3029" customFormat="false" ht="42" hidden="false" customHeight="true" outlineLevel="0" collapsed="false">
      <c r="A3029" s="12" t="s">
        <v>2973</v>
      </c>
      <c r="B3029" s="12"/>
      <c r="C3029" s="12"/>
      <c r="D3029" s="12"/>
      <c r="E3029" s="12" t="s">
        <v>2974</v>
      </c>
      <c r="F3029" s="12"/>
      <c r="G3029" s="12"/>
      <c r="H3029" s="12"/>
    </row>
    <row r="3030" customFormat="false" ht="33.75" hidden="false" customHeight="true" outlineLevel="0" collapsed="false">
      <c r="A3030" s="12" t="s">
        <v>2975</v>
      </c>
      <c r="B3030" s="12"/>
      <c r="C3030" s="12"/>
      <c r="D3030" s="12"/>
      <c r="E3030" s="12" t="s">
        <v>2976</v>
      </c>
      <c r="F3030" s="12"/>
      <c r="G3030" s="12"/>
      <c r="H3030" s="12"/>
    </row>
    <row r="3031" customFormat="false" ht="24" hidden="false" customHeight="true" outlineLevel="0" collapsed="false">
      <c r="A3031" s="13" t="s">
        <v>1290</v>
      </c>
      <c r="B3031" s="13"/>
      <c r="C3031" s="13"/>
      <c r="D3031" s="13"/>
      <c r="E3031" s="13"/>
      <c r="F3031" s="13"/>
      <c r="G3031" s="13"/>
      <c r="H3031" s="13"/>
    </row>
    <row r="3032" customFormat="false" ht="7.5" hidden="false" customHeight="true" outlineLevel="0" collapsed="false"/>
    <row r="3033" customFormat="false" ht="24" hidden="false" customHeight="true" outlineLevel="0" collapsed="false">
      <c r="A3033" s="9" t="s">
        <v>2977</v>
      </c>
      <c r="B3033" s="9"/>
      <c r="C3033" s="9"/>
      <c r="D3033" s="9"/>
      <c r="E3033" s="9"/>
      <c r="F3033" s="9"/>
      <c r="G3033" s="9"/>
      <c r="H3033" s="9"/>
    </row>
    <row r="3034" customFormat="false" ht="45.75" hidden="false" customHeight="true" outlineLevel="0" collapsed="false">
      <c r="A3034" s="11" t="s">
        <v>2978</v>
      </c>
      <c r="B3034" s="11"/>
      <c r="C3034" s="11"/>
      <c r="D3034" s="11"/>
      <c r="E3034" s="11"/>
      <c r="F3034" s="11"/>
      <c r="G3034" s="11"/>
      <c r="H3034" s="11"/>
    </row>
    <row r="3035" customFormat="false" ht="67.5" hidden="false" customHeight="true" outlineLevel="0" collapsed="false">
      <c r="A3035" s="12" t="s">
        <v>2979</v>
      </c>
      <c r="B3035" s="12"/>
      <c r="C3035" s="12"/>
      <c r="D3035" s="12"/>
      <c r="E3035" s="12" t="s">
        <v>2980</v>
      </c>
      <c r="F3035" s="12"/>
      <c r="G3035" s="12"/>
      <c r="H3035" s="12"/>
    </row>
    <row r="3036" customFormat="false" ht="54.75" hidden="false" customHeight="true" outlineLevel="0" collapsed="false">
      <c r="A3036" s="12" t="s">
        <v>2981</v>
      </c>
      <c r="B3036" s="12"/>
      <c r="C3036" s="12"/>
      <c r="D3036" s="12"/>
      <c r="E3036" s="12" t="s">
        <v>2982</v>
      </c>
      <c r="F3036" s="12"/>
      <c r="G3036" s="12"/>
      <c r="H3036" s="12"/>
    </row>
    <row r="3037" customFormat="false" ht="24" hidden="false" customHeight="true" outlineLevel="0" collapsed="false">
      <c r="A3037" s="13" t="s">
        <v>1861</v>
      </c>
      <c r="B3037" s="13"/>
      <c r="C3037" s="13"/>
      <c r="D3037" s="13"/>
      <c r="E3037" s="13"/>
      <c r="F3037" s="13"/>
      <c r="G3037" s="13"/>
      <c r="H3037" s="13"/>
    </row>
    <row r="3038" customFormat="false" ht="7.5" hidden="false" customHeight="true" outlineLevel="0" collapsed="false"/>
    <row r="3039" customFormat="false" ht="24" hidden="false" customHeight="true" outlineLevel="0" collapsed="false">
      <c r="A3039" s="9" t="s">
        <v>2983</v>
      </c>
      <c r="B3039" s="9"/>
      <c r="C3039" s="9"/>
      <c r="D3039" s="9"/>
      <c r="E3039" s="9"/>
      <c r="F3039" s="9"/>
      <c r="G3039" s="9"/>
      <c r="H3039" s="9"/>
    </row>
    <row r="3040" customFormat="false" ht="42" hidden="false" customHeight="true" outlineLevel="0" collapsed="false">
      <c r="A3040" s="11" t="s">
        <v>2984</v>
      </c>
      <c r="B3040" s="11"/>
      <c r="C3040" s="11"/>
      <c r="D3040" s="11"/>
      <c r="E3040" s="11"/>
      <c r="F3040" s="11"/>
      <c r="G3040" s="11"/>
      <c r="H3040" s="11"/>
    </row>
    <row r="3041" customFormat="false" ht="33.75" hidden="false" customHeight="true" outlineLevel="0" collapsed="false">
      <c r="A3041" s="12" t="s">
        <v>2985</v>
      </c>
      <c r="B3041" s="12"/>
      <c r="C3041" s="12"/>
      <c r="D3041" s="12"/>
      <c r="E3041" s="12" t="s">
        <v>2986</v>
      </c>
      <c r="F3041" s="12"/>
      <c r="G3041" s="12"/>
      <c r="H3041" s="12"/>
    </row>
    <row r="3042" customFormat="false" ht="33.75" hidden="false" customHeight="true" outlineLevel="0" collapsed="false">
      <c r="A3042" s="12" t="s">
        <v>2987</v>
      </c>
      <c r="B3042" s="12"/>
      <c r="C3042" s="12"/>
      <c r="D3042" s="12"/>
      <c r="E3042" s="12" t="s">
        <v>2988</v>
      </c>
      <c r="F3042" s="12"/>
      <c r="G3042" s="12"/>
      <c r="H3042" s="12"/>
    </row>
    <row r="3043" customFormat="false" ht="24" hidden="false" customHeight="true" outlineLevel="0" collapsed="false">
      <c r="A3043" s="13" t="s">
        <v>1596</v>
      </c>
      <c r="B3043" s="13"/>
      <c r="C3043" s="13"/>
      <c r="D3043" s="13"/>
      <c r="E3043" s="13"/>
      <c r="F3043" s="13"/>
      <c r="G3043" s="13"/>
      <c r="H3043" s="13"/>
    </row>
    <row r="3044" customFormat="false" ht="7.5" hidden="false" customHeight="true" outlineLevel="0" collapsed="false"/>
    <row r="3045" customFormat="false" ht="24" hidden="false" customHeight="true" outlineLevel="0" collapsed="false">
      <c r="A3045" s="9" t="s">
        <v>2989</v>
      </c>
      <c r="B3045" s="9"/>
      <c r="C3045" s="9"/>
      <c r="D3045" s="9"/>
      <c r="E3045" s="9"/>
      <c r="F3045" s="9"/>
      <c r="G3045" s="9"/>
      <c r="H3045" s="9"/>
    </row>
    <row r="3046" customFormat="false" ht="45.75" hidden="false" customHeight="true" outlineLevel="0" collapsed="false">
      <c r="A3046" s="11" t="s">
        <v>2990</v>
      </c>
      <c r="B3046" s="11"/>
      <c r="C3046" s="11"/>
      <c r="D3046" s="11"/>
      <c r="E3046" s="11"/>
      <c r="F3046" s="11"/>
      <c r="G3046" s="11"/>
      <c r="H3046" s="11"/>
    </row>
    <row r="3047" customFormat="false" ht="33.75" hidden="false" customHeight="true" outlineLevel="0" collapsed="false">
      <c r="A3047" s="12" t="s">
        <v>2991</v>
      </c>
      <c r="B3047" s="12"/>
      <c r="C3047" s="12"/>
      <c r="D3047" s="12"/>
      <c r="E3047" s="12" t="s">
        <v>2992</v>
      </c>
      <c r="F3047" s="12"/>
      <c r="G3047" s="12"/>
      <c r="H3047" s="12"/>
    </row>
    <row r="3048" customFormat="false" ht="33.75" hidden="false" customHeight="true" outlineLevel="0" collapsed="false">
      <c r="A3048" s="12" t="s">
        <v>2993</v>
      </c>
      <c r="B3048" s="12"/>
      <c r="C3048" s="12"/>
      <c r="D3048" s="12"/>
      <c r="E3048" s="12" t="s">
        <v>2994</v>
      </c>
      <c r="F3048" s="12"/>
      <c r="G3048" s="12"/>
      <c r="H3048" s="12"/>
    </row>
    <row r="3049" customFormat="false" ht="24" hidden="false" customHeight="true" outlineLevel="0" collapsed="false">
      <c r="A3049" s="13" t="s">
        <v>1383</v>
      </c>
      <c r="B3049" s="13"/>
      <c r="C3049" s="13"/>
      <c r="D3049" s="13"/>
      <c r="E3049" s="13"/>
      <c r="F3049" s="13"/>
      <c r="G3049" s="13"/>
      <c r="H3049" s="13"/>
    </row>
    <row r="3050" customFormat="false" ht="7.5" hidden="false" customHeight="true" outlineLevel="0" collapsed="false"/>
    <row r="3051" customFormat="false" ht="24" hidden="false" customHeight="true" outlineLevel="0" collapsed="false">
      <c r="A3051" s="9" t="s">
        <v>2995</v>
      </c>
      <c r="B3051" s="9"/>
      <c r="C3051" s="9"/>
      <c r="D3051" s="9"/>
      <c r="E3051" s="9"/>
      <c r="F3051" s="9"/>
      <c r="G3051" s="9"/>
      <c r="H3051" s="9"/>
    </row>
    <row r="3052" customFormat="false" ht="42" hidden="false" customHeight="true" outlineLevel="0" collapsed="false">
      <c r="A3052" s="11" t="s">
        <v>2996</v>
      </c>
      <c r="B3052" s="11"/>
      <c r="C3052" s="11"/>
      <c r="D3052" s="11"/>
      <c r="E3052" s="11"/>
      <c r="F3052" s="11"/>
      <c r="G3052" s="11"/>
      <c r="H3052" s="11"/>
    </row>
    <row r="3053" customFormat="false" ht="33.75" hidden="false" customHeight="true" outlineLevel="0" collapsed="false">
      <c r="A3053" s="12" t="s">
        <v>2997</v>
      </c>
      <c r="B3053" s="12"/>
      <c r="C3053" s="12"/>
      <c r="D3053" s="12"/>
      <c r="E3053" s="12" t="s">
        <v>2998</v>
      </c>
      <c r="F3053" s="12"/>
      <c r="G3053" s="12"/>
      <c r="H3053" s="12"/>
    </row>
    <row r="3054" customFormat="false" ht="33.75" hidden="false" customHeight="true" outlineLevel="0" collapsed="false">
      <c r="A3054" s="12" t="s">
        <v>2999</v>
      </c>
      <c r="B3054" s="12"/>
      <c r="C3054" s="12"/>
      <c r="D3054" s="12"/>
      <c r="E3054" s="12" t="s">
        <v>3000</v>
      </c>
      <c r="F3054" s="12"/>
      <c r="G3054" s="12"/>
      <c r="H3054" s="12"/>
    </row>
    <row r="3055" customFormat="false" ht="24" hidden="false" customHeight="true" outlineLevel="0" collapsed="false">
      <c r="A3055" s="13" t="s">
        <v>1582</v>
      </c>
      <c r="B3055" s="13"/>
      <c r="C3055" s="13"/>
      <c r="D3055" s="13"/>
      <c r="E3055" s="13"/>
      <c r="F3055" s="13"/>
      <c r="G3055" s="13"/>
      <c r="H3055" s="13"/>
    </row>
    <row r="3056" customFormat="false" ht="7.5" hidden="false" customHeight="true" outlineLevel="0" collapsed="false"/>
    <row r="3057" customFormat="false" ht="24" hidden="false" customHeight="true" outlineLevel="0" collapsed="false">
      <c r="A3057" s="9" t="s">
        <v>3001</v>
      </c>
      <c r="B3057" s="9"/>
      <c r="C3057" s="9"/>
      <c r="D3057" s="9"/>
      <c r="E3057" s="9"/>
      <c r="F3057" s="9"/>
      <c r="G3057" s="9"/>
      <c r="H3057" s="9"/>
    </row>
    <row r="3058" customFormat="false" ht="42" hidden="false" customHeight="true" outlineLevel="0" collapsed="false">
      <c r="A3058" s="11" t="s">
        <v>3002</v>
      </c>
      <c r="B3058" s="11"/>
      <c r="C3058" s="11"/>
      <c r="D3058" s="11"/>
      <c r="E3058" s="11"/>
      <c r="F3058" s="11"/>
      <c r="G3058" s="11"/>
      <c r="H3058" s="11"/>
    </row>
    <row r="3059" customFormat="false" ht="54.75" hidden="false" customHeight="true" outlineLevel="0" collapsed="false">
      <c r="A3059" s="12" t="s">
        <v>3003</v>
      </c>
      <c r="B3059" s="12"/>
      <c r="C3059" s="12"/>
      <c r="D3059" s="12"/>
      <c r="E3059" s="12" t="s">
        <v>3004</v>
      </c>
      <c r="F3059" s="12"/>
      <c r="G3059" s="12"/>
      <c r="H3059" s="12"/>
    </row>
    <row r="3060" customFormat="false" ht="42" hidden="false" customHeight="true" outlineLevel="0" collapsed="false">
      <c r="A3060" s="12" t="s">
        <v>3005</v>
      </c>
      <c r="B3060" s="12"/>
      <c r="C3060" s="12"/>
      <c r="D3060" s="12"/>
      <c r="E3060" s="12" t="s">
        <v>3006</v>
      </c>
      <c r="F3060" s="12"/>
      <c r="G3060" s="12"/>
      <c r="H3060" s="12"/>
    </row>
    <row r="3061" customFormat="false" ht="24" hidden="false" customHeight="true" outlineLevel="0" collapsed="false">
      <c r="A3061" s="13" t="s">
        <v>1297</v>
      </c>
      <c r="B3061" s="13"/>
      <c r="C3061" s="13"/>
      <c r="D3061" s="13"/>
      <c r="E3061" s="13"/>
      <c r="F3061" s="13"/>
      <c r="G3061" s="13"/>
      <c r="H3061" s="13"/>
    </row>
    <row r="3062" customFormat="false" ht="7.5" hidden="false" customHeight="true" outlineLevel="0" collapsed="false"/>
    <row r="3063" customFormat="false" ht="24" hidden="false" customHeight="true" outlineLevel="0" collapsed="false">
      <c r="A3063" s="9" t="s">
        <v>3007</v>
      </c>
      <c r="B3063" s="9"/>
      <c r="C3063" s="9"/>
      <c r="D3063" s="9"/>
      <c r="E3063" s="9"/>
      <c r="F3063" s="9"/>
      <c r="G3063" s="9"/>
      <c r="H3063" s="9"/>
    </row>
    <row r="3064" customFormat="false" ht="45.75" hidden="false" customHeight="true" outlineLevel="0" collapsed="false">
      <c r="A3064" s="11" t="s">
        <v>3008</v>
      </c>
      <c r="B3064" s="11"/>
      <c r="C3064" s="11"/>
      <c r="D3064" s="11"/>
      <c r="E3064" s="11"/>
      <c r="F3064" s="11"/>
      <c r="G3064" s="11"/>
      <c r="H3064" s="11"/>
    </row>
    <row r="3065" customFormat="false" ht="67.5" hidden="false" customHeight="true" outlineLevel="0" collapsed="false">
      <c r="A3065" s="12" t="s">
        <v>3009</v>
      </c>
      <c r="B3065" s="12"/>
      <c r="C3065" s="12"/>
      <c r="D3065" s="12"/>
      <c r="E3065" s="12" t="s">
        <v>3010</v>
      </c>
      <c r="F3065" s="12"/>
      <c r="G3065" s="12"/>
      <c r="H3065" s="12"/>
    </row>
    <row r="3066" customFormat="false" ht="81" hidden="false" customHeight="true" outlineLevel="0" collapsed="false">
      <c r="A3066" s="12" t="s">
        <v>3011</v>
      </c>
      <c r="B3066" s="12"/>
      <c r="C3066" s="12"/>
      <c r="D3066" s="12"/>
      <c r="E3066" s="12" t="s">
        <v>3012</v>
      </c>
      <c r="F3066" s="12"/>
      <c r="G3066" s="12"/>
      <c r="H3066" s="12"/>
    </row>
    <row r="3067" customFormat="false" ht="24" hidden="false" customHeight="true" outlineLevel="0" collapsed="false">
      <c r="A3067" s="13" t="s">
        <v>1421</v>
      </c>
      <c r="B3067" s="13"/>
      <c r="C3067" s="13"/>
      <c r="D3067" s="13"/>
      <c r="E3067" s="13"/>
      <c r="F3067" s="13"/>
      <c r="G3067" s="13"/>
      <c r="H3067" s="13"/>
    </row>
    <row r="3068" customFormat="false" ht="7.5" hidden="false" customHeight="true" outlineLevel="0" collapsed="false"/>
    <row r="3069" customFormat="false" ht="24" hidden="false" customHeight="true" outlineLevel="0" collapsed="false">
      <c r="A3069" s="9" t="s">
        <v>3013</v>
      </c>
      <c r="B3069" s="9"/>
      <c r="C3069" s="9"/>
      <c r="D3069" s="9"/>
      <c r="E3069" s="9"/>
      <c r="F3069" s="9"/>
      <c r="G3069" s="9"/>
      <c r="H3069" s="9"/>
    </row>
    <row r="3070" customFormat="false" ht="60" hidden="false" customHeight="true" outlineLevel="0" collapsed="false">
      <c r="A3070" s="11" t="s">
        <v>3014</v>
      </c>
      <c r="B3070" s="11"/>
      <c r="C3070" s="11"/>
      <c r="D3070" s="11"/>
      <c r="E3070" s="11"/>
      <c r="F3070" s="11"/>
      <c r="G3070" s="11"/>
      <c r="H3070" s="11"/>
    </row>
    <row r="3071" customFormat="false" ht="42" hidden="false" customHeight="true" outlineLevel="0" collapsed="false">
      <c r="A3071" s="12" t="s">
        <v>3015</v>
      </c>
      <c r="B3071" s="12"/>
      <c r="C3071" s="12"/>
      <c r="D3071" s="12"/>
      <c r="E3071" s="12" t="s">
        <v>3016</v>
      </c>
      <c r="F3071" s="12"/>
      <c r="G3071" s="12"/>
      <c r="H3071" s="12"/>
    </row>
    <row r="3072" customFormat="false" ht="42" hidden="false" customHeight="true" outlineLevel="0" collapsed="false">
      <c r="A3072" s="12" t="s">
        <v>3017</v>
      </c>
      <c r="B3072" s="12"/>
      <c r="C3072" s="12"/>
      <c r="D3072" s="12"/>
      <c r="E3072" s="12" t="s">
        <v>3018</v>
      </c>
      <c r="F3072" s="12"/>
      <c r="G3072" s="12"/>
      <c r="H3072" s="12"/>
    </row>
    <row r="3073" customFormat="false" ht="24" hidden="false" customHeight="true" outlineLevel="0" collapsed="false">
      <c r="A3073" s="13" t="s">
        <v>1369</v>
      </c>
      <c r="B3073" s="13"/>
      <c r="C3073" s="13"/>
      <c r="D3073" s="13"/>
      <c r="E3073" s="13"/>
      <c r="F3073" s="13"/>
      <c r="G3073" s="13"/>
      <c r="H3073" s="13"/>
    </row>
    <row r="3074" customFormat="false" ht="7.5" hidden="false" customHeight="true" outlineLevel="0" collapsed="false"/>
    <row r="3075" customFormat="false" ht="24" hidden="false" customHeight="true" outlineLevel="0" collapsed="false">
      <c r="A3075" s="9" t="s">
        <v>3019</v>
      </c>
      <c r="B3075" s="9"/>
      <c r="C3075" s="9"/>
      <c r="D3075" s="9"/>
      <c r="E3075" s="9"/>
      <c r="F3075" s="9"/>
      <c r="G3075" s="9"/>
      <c r="H3075" s="9"/>
    </row>
    <row r="3076" customFormat="false" ht="42" hidden="false" customHeight="true" outlineLevel="0" collapsed="false">
      <c r="A3076" s="11" t="s">
        <v>3020</v>
      </c>
      <c r="B3076" s="11"/>
      <c r="C3076" s="11"/>
      <c r="D3076" s="11"/>
      <c r="E3076" s="11"/>
      <c r="F3076" s="11"/>
      <c r="G3076" s="11"/>
      <c r="H3076" s="11"/>
    </row>
    <row r="3077" customFormat="false" ht="42" hidden="false" customHeight="true" outlineLevel="0" collapsed="false">
      <c r="A3077" s="12" t="s">
        <v>3021</v>
      </c>
      <c r="B3077" s="12"/>
      <c r="C3077" s="12"/>
      <c r="D3077" s="12"/>
      <c r="E3077" s="12" t="s">
        <v>3022</v>
      </c>
      <c r="F3077" s="12"/>
      <c r="G3077" s="12"/>
      <c r="H3077" s="12"/>
    </row>
    <row r="3078" customFormat="false" ht="42" hidden="false" customHeight="true" outlineLevel="0" collapsed="false">
      <c r="A3078" s="12" t="s">
        <v>3023</v>
      </c>
      <c r="B3078" s="12"/>
      <c r="C3078" s="12"/>
      <c r="D3078" s="12"/>
      <c r="E3078" s="12" t="s">
        <v>3024</v>
      </c>
      <c r="F3078" s="12"/>
      <c r="G3078" s="12"/>
      <c r="H3078" s="12"/>
    </row>
    <row r="3079" customFormat="false" ht="24" hidden="false" customHeight="true" outlineLevel="0" collapsed="false">
      <c r="A3079" s="13" t="s">
        <v>1596</v>
      </c>
      <c r="B3079" s="13"/>
      <c r="C3079" s="13"/>
      <c r="D3079" s="13"/>
      <c r="E3079" s="13"/>
      <c r="F3079" s="13"/>
      <c r="G3079" s="13"/>
      <c r="H3079" s="13"/>
    </row>
    <row r="3080" customFormat="false" ht="7.5" hidden="false" customHeight="true" outlineLevel="0" collapsed="false"/>
    <row r="3081" customFormat="false" ht="24" hidden="false" customHeight="true" outlineLevel="0" collapsed="false">
      <c r="A3081" s="9" t="s">
        <v>3025</v>
      </c>
      <c r="B3081" s="9"/>
      <c r="C3081" s="9"/>
      <c r="D3081" s="9"/>
      <c r="E3081" s="9"/>
      <c r="F3081" s="9"/>
      <c r="G3081" s="9"/>
      <c r="H3081" s="9"/>
    </row>
    <row r="3082" customFormat="false" ht="45.75" hidden="false" customHeight="true" outlineLevel="0" collapsed="false">
      <c r="A3082" s="11" t="s">
        <v>3026</v>
      </c>
      <c r="B3082" s="11"/>
      <c r="C3082" s="11"/>
      <c r="D3082" s="11"/>
      <c r="E3082" s="11"/>
      <c r="F3082" s="11"/>
      <c r="G3082" s="11"/>
      <c r="H3082" s="11"/>
    </row>
    <row r="3083" customFormat="false" ht="33.75" hidden="false" customHeight="true" outlineLevel="0" collapsed="false">
      <c r="A3083" s="12" t="s">
        <v>3027</v>
      </c>
      <c r="B3083" s="12"/>
      <c r="C3083" s="12"/>
      <c r="D3083" s="12"/>
      <c r="E3083" s="12" t="s">
        <v>3028</v>
      </c>
      <c r="F3083" s="12"/>
      <c r="G3083" s="12"/>
      <c r="H3083" s="12"/>
    </row>
    <row r="3084" customFormat="false" ht="33.75" hidden="false" customHeight="true" outlineLevel="0" collapsed="false">
      <c r="A3084" s="12" t="s">
        <v>3029</v>
      </c>
      <c r="B3084" s="12"/>
      <c r="C3084" s="12"/>
      <c r="D3084" s="12"/>
      <c r="E3084" s="12" t="s">
        <v>3030</v>
      </c>
      <c r="F3084" s="12"/>
      <c r="G3084" s="12"/>
      <c r="H3084" s="12"/>
    </row>
    <row r="3085" customFormat="false" ht="24" hidden="false" customHeight="true" outlineLevel="0" collapsed="false">
      <c r="A3085" s="13" t="s">
        <v>1502</v>
      </c>
      <c r="B3085" s="13"/>
      <c r="C3085" s="13"/>
      <c r="D3085" s="13"/>
      <c r="E3085" s="13"/>
      <c r="F3085" s="13"/>
      <c r="G3085" s="13"/>
      <c r="H3085" s="13"/>
    </row>
    <row r="3086" customFormat="false" ht="7.5" hidden="false" customHeight="true" outlineLevel="0" collapsed="false"/>
    <row r="3087" customFormat="false" ht="24" hidden="false" customHeight="true" outlineLevel="0" collapsed="false">
      <c r="A3087" s="9" t="s">
        <v>3031</v>
      </c>
      <c r="B3087" s="9"/>
      <c r="C3087" s="9"/>
      <c r="D3087" s="9"/>
      <c r="E3087" s="9"/>
      <c r="F3087" s="9"/>
      <c r="G3087" s="9"/>
      <c r="H3087" s="9"/>
    </row>
    <row r="3088" customFormat="false" ht="99.75" hidden="false" customHeight="true" outlineLevel="0" collapsed="false">
      <c r="A3088" s="10" t="s">
        <v>1735</v>
      </c>
      <c r="B3088" s="10"/>
      <c r="C3088" s="10"/>
      <c r="D3088" s="10"/>
      <c r="E3088" s="10"/>
      <c r="F3088" s="10"/>
      <c r="G3088" s="10"/>
      <c r="H3088" s="10"/>
    </row>
    <row r="3089" customFormat="false" ht="99.75" hidden="false" customHeight="true" outlineLevel="0" collapsed="false">
      <c r="A3089" s="10" t="s">
        <v>1736</v>
      </c>
      <c r="B3089" s="10"/>
      <c r="C3089" s="10"/>
      <c r="D3089" s="10"/>
      <c r="E3089" s="10"/>
      <c r="F3089" s="10"/>
      <c r="G3089" s="10"/>
      <c r="H3089" s="10"/>
    </row>
    <row r="3090" customFormat="false" ht="42" hidden="false" customHeight="true" outlineLevel="0" collapsed="false">
      <c r="A3090" s="10" t="s">
        <v>1737</v>
      </c>
      <c r="B3090" s="10"/>
      <c r="C3090" s="10"/>
      <c r="D3090" s="10"/>
      <c r="E3090" s="10"/>
      <c r="F3090" s="10"/>
      <c r="G3090" s="10"/>
      <c r="H3090" s="10"/>
    </row>
    <row r="3091" customFormat="false" ht="60" hidden="false" customHeight="true" outlineLevel="0" collapsed="false">
      <c r="A3091" s="11" t="s">
        <v>3032</v>
      </c>
      <c r="B3091" s="11"/>
      <c r="C3091" s="11"/>
      <c r="D3091" s="11"/>
      <c r="E3091" s="11"/>
      <c r="F3091" s="11"/>
      <c r="G3091" s="11"/>
      <c r="H3091" s="11"/>
    </row>
    <row r="3092" customFormat="false" ht="54.75" hidden="false" customHeight="true" outlineLevel="0" collapsed="false">
      <c r="A3092" s="12" t="s">
        <v>3033</v>
      </c>
      <c r="B3092" s="12"/>
      <c r="C3092" s="12"/>
      <c r="D3092" s="12"/>
      <c r="E3092" s="12" t="s">
        <v>3034</v>
      </c>
      <c r="F3092" s="12"/>
      <c r="G3092" s="12"/>
      <c r="H3092" s="12"/>
    </row>
    <row r="3093" customFormat="false" ht="54.75" hidden="false" customHeight="true" outlineLevel="0" collapsed="false">
      <c r="A3093" s="12" t="s">
        <v>3035</v>
      </c>
      <c r="B3093" s="12"/>
      <c r="C3093" s="12"/>
      <c r="D3093" s="12"/>
      <c r="E3093" s="12" t="s">
        <v>3036</v>
      </c>
      <c r="F3093" s="12"/>
      <c r="G3093" s="12"/>
      <c r="H3093" s="12"/>
    </row>
    <row r="3094" customFormat="false" ht="24" hidden="false" customHeight="true" outlineLevel="0" collapsed="false">
      <c r="A3094" s="13" t="s">
        <v>1743</v>
      </c>
      <c r="B3094" s="13"/>
      <c r="C3094" s="13"/>
      <c r="D3094" s="13"/>
      <c r="E3094" s="13"/>
      <c r="F3094" s="13"/>
      <c r="G3094" s="13"/>
      <c r="H3094" s="13"/>
    </row>
    <row r="3095" customFormat="false" ht="7.5" hidden="false" customHeight="true" outlineLevel="0" collapsed="false"/>
    <row r="3096" customFormat="false" ht="24" hidden="false" customHeight="true" outlineLevel="0" collapsed="false">
      <c r="A3096" s="9" t="s">
        <v>3037</v>
      </c>
      <c r="B3096" s="9"/>
      <c r="C3096" s="9"/>
      <c r="D3096" s="9"/>
      <c r="E3096" s="9"/>
      <c r="F3096" s="9"/>
      <c r="G3096" s="9"/>
      <c r="H3096" s="9"/>
    </row>
    <row r="3097" customFormat="false" ht="42" hidden="false" customHeight="true" outlineLevel="0" collapsed="false">
      <c r="A3097" s="11" t="s">
        <v>3038</v>
      </c>
      <c r="B3097" s="11"/>
      <c r="C3097" s="11"/>
      <c r="D3097" s="11"/>
      <c r="E3097" s="11"/>
      <c r="F3097" s="11"/>
      <c r="G3097" s="11"/>
      <c r="H3097" s="11"/>
    </row>
    <row r="3098" customFormat="false" ht="33.75" hidden="false" customHeight="true" outlineLevel="0" collapsed="false">
      <c r="A3098" s="12" t="s">
        <v>3039</v>
      </c>
      <c r="B3098" s="12"/>
      <c r="C3098" s="12"/>
      <c r="D3098" s="12"/>
      <c r="E3098" s="12" t="s">
        <v>3040</v>
      </c>
      <c r="F3098" s="12"/>
      <c r="G3098" s="12"/>
      <c r="H3098" s="12"/>
    </row>
    <row r="3099" customFormat="false" ht="33.75" hidden="false" customHeight="true" outlineLevel="0" collapsed="false">
      <c r="A3099" s="12" t="s">
        <v>1638</v>
      </c>
      <c r="B3099" s="12"/>
      <c r="C3099" s="12"/>
      <c r="D3099" s="12"/>
      <c r="E3099" s="12" t="s">
        <v>3041</v>
      </c>
      <c r="F3099" s="12"/>
      <c r="G3099" s="12"/>
      <c r="H3099" s="12"/>
    </row>
    <row r="3100" customFormat="false" ht="24" hidden="false" customHeight="true" outlineLevel="0" collapsed="false">
      <c r="A3100" s="13" t="s">
        <v>1854</v>
      </c>
      <c r="B3100" s="13"/>
      <c r="C3100" s="13"/>
      <c r="D3100" s="13"/>
      <c r="E3100" s="13"/>
      <c r="F3100" s="13"/>
      <c r="G3100" s="13"/>
      <c r="H3100" s="13"/>
    </row>
    <row r="3101" customFormat="false" ht="7.5" hidden="false" customHeight="true" outlineLevel="0" collapsed="false"/>
    <row r="3102" customFormat="false" ht="24" hidden="false" customHeight="true" outlineLevel="0" collapsed="false">
      <c r="A3102" s="9" t="s">
        <v>3042</v>
      </c>
      <c r="B3102" s="9"/>
      <c r="C3102" s="9"/>
      <c r="D3102" s="9"/>
      <c r="E3102" s="9"/>
      <c r="F3102" s="9"/>
      <c r="G3102" s="9"/>
      <c r="H3102" s="9"/>
    </row>
    <row r="3103" customFormat="false" ht="42" hidden="false" customHeight="true" outlineLevel="0" collapsed="false">
      <c r="A3103" s="11" t="s">
        <v>3043</v>
      </c>
      <c r="B3103" s="11"/>
      <c r="C3103" s="11"/>
      <c r="D3103" s="11"/>
      <c r="E3103" s="11"/>
      <c r="F3103" s="11"/>
      <c r="G3103" s="11"/>
      <c r="H3103" s="11"/>
    </row>
    <row r="3104" customFormat="false" ht="54.75" hidden="false" customHeight="true" outlineLevel="0" collapsed="false">
      <c r="A3104" s="12" t="s">
        <v>3044</v>
      </c>
      <c r="B3104" s="12"/>
      <c r="C3104" s="12"/>
      <c r="D3104" s="12"/>
      <c r="E3104" s="12" t="s">
        <v>3045</v>
      </c>
      <c r="F3104" s="12"/>
      <c r="G3104" s="12"/>
      <c r="H3104" s="12"/>
    </row>
    <row r="3105" customFormat="false" ht="54.75" hidden="false" customHeight="true" outlineLevel="0" collapsed="false">
      <c r="A3105" s="12" t="s">
        <v>3046</v>
      </c>
      <c r="B3105" s="12"/>
      <c r="C3105" s="12"/>
      <c r="D3105" s="12"/>
      <c r="E3105" s="12" t="s">
        <v>3047</v>
      </c>
      <c r="F3105" s="12"/>
      <c r="G3105" s="12"/>
      <c r="H3105" s="12"/>
    </row>
    <row r="3106" customFormat="false" ht="24" hidden="false" customHeight="true" outlineLevel="0" collapsed="false">
      <c r="A3106" s="13" t="s">
        <v>1283</v>
      </c>
      <c r="B3106" s="13"/>
      <c r="C3106" s="13"/>
      <c r="D3106" s="13"/>
      <c r="E3106" s="13"/>
      <c r="F3106" s="13"/>
      <c r="G3106" s="13"/>
      <c r="H3106" s="13"/>
    </row>
    <row r="3107" customFormat="false" ht="7.5" hidden="false" customHeight="true" outlineLevel="0" collapsed="false"/>
    <row r="3108" customFormat="false" ht="24" hidden="false" customHeight="true" outlineLevel="0" collapsed="false">
      <c r="A3108" s="9" t="s">
        <v>3048</v>
      </c>
      <c r="B3108" s="9"/>
      <c r="C3108" s="9"/>
      <c r="D3108" s="9"/>
      <c r="E3108" s="9"/>
      <c r="F3108" s="9"/>
      <c r="G3108" s="9"/>
      <c r="H3108" s="9"/>
    </row>
    <row r="3109" customFormat="false" ht="45.75" hidden="false" customHeight="true" outlineLevel="0" collapsed="false">
      <c r="A3109" s="11" t="s">
        <v>3049</v>
      </c>
      <c r="B3109" s="11"/>
      <c r="C3109" s="11"/>
      <c r="D3109" s="11"/>
      <c r="E3109" s="11"/>
      <c r="F3109" s="11"/>
      <c r="G3109" s="11"/>
      <c r="H3109" s="11"/>
    </row>
    <row r="3110" customFormat="false" ht="42" hidden="false" customHeight="true" outlineLevel="0" collapsed="false">
      <c r="A3110" s="12" t="s">
        <v>3050</v>
      </c>
      <c r="B3110" s="12"/>
      <c r="C3110" s="12"/>
      <c r="D3110" s="12"/>
      <c r="E3110" s="12" t="s">
        <v>3051</v>
      </c>
      <c r="F3110" s="12"/>
      <c r="G3110" s="12"/>
      <c r="H3110" s="12"/>
    </row>
    <row r="3111" customFormat="false" ht="42" hidden="false" customHeight="true" outlineLevel="0" collapsed="false">
      <c r="A3111" s="12" t="s">
        <v>3052</v>
      </c>
      <c r="B3111" s="12"/>
      <c r="C3111" s="12"/>
      <c r="D3111" s="12"/>
      <c r="E3111" s="12" t="s">
        <v>3053</v>
      </c>
      <c r="F3111" s="12"/>
      <c r="G3111" s="12"/>
      <c r="H3111" s="12"/>
    </row>
    <row r="3112" customFormat="false" ht="24" hidden="false" customHeight="true" outlineLevel="0" collapsed="false">
      <c r="A3112" s="13" t="s">
        <v>1569</v>
      </c>
      <c r="B3112" s="13"/>
      <c r="C3112" s="13"/>
      <c r="D3112" s="13"/>
      <c r="E3112" s="13"/>
      <c r="F3112" s="13"/>
      <c r="G3112" s="13"/>
      <c r="H3112" s="13"/>
    </row>
    <row r="3113" customFormat="false" ht="7.5" hidden="false" customHeight="true" outlineLevel="0" collapsed="false"/>
    <row r="3114" customFormat="false" ht="24" hidden="false" customHeight="true" outlineLevel="0" collapsed="false">
      <c r="A3114" s="9" t="s">
        <v>3054</v>
      </c>
      <c r="B3114" s="9"/>
      <c r="C3114" s="9"/>
      <c r="D3114" s="9"/>
      <c r="E3114" s="9"/>
      <c r="F3114" s="9"/>
      <c r="G3114" s="9"/>
      <c r="H3114" s="9"/>
    </row>
    <row r="3115" customFormat="false" ht="42" hidden="false" customHeight="true" outlineLevel="0" collapsed="false">
      <c r="A3115" s="11" t="s">
        <v>3055</v>
      </c>
      <c r="B3115" s="11"/>
      <c r="C3115" s="11"/>
      <c r="D3115" s="11"/>
      <c r="E3115" s="11"/>
      <c r="F3115" s="11"/>
      <c r="G3115" s="11"/>
      <c r="H3115" s="11"/>
    </row>
    <row r="3116" customFormat="false" ht="67.5" hidden="false" customHeight="true" outlineLevel="0" collapsed="false">
      <c r="A3116" s="12" t="s">
        <v>3056</v>
      </c>
      <c r="B3116" s="12"/>
      <c r="C3116" s="12"/>
      <c r="D3116" s="12"/>
      <c r="E3116" s="12" t="s">
        <v>3057</v>
      </c>
      <c r="F3116" s="12"/>
      <c r="G3116" s="12"/>
      <c r="H3116" s="12"/>
    </row>
    <row r="3117" customFormat="false" ht="54.75" hidden="false" customHeight="true" outlineLevel="0" collapsed="false">
      <c r="A3117" s="12" t="s">
        <v>3058</v>
      </c>
      <c r="B3117" s="12"/>
      <c r="C3117" s="12"/>
      <c r="D3117" s="12"/>
      <c r="E3117" s="12" t="s">
        <v>3059</v>
      </c>
      <c r="F3117" s="12"/>
      <c r="G3117" s="12"/>
      <c r="H3117" s="12"/>
    </row>
    <row r="3118" customFormat="false" ht="24" hidden="false" customHeight="true" outlineLevel="0" collapsed="false">
      <c r="A3118" s="13" t="s">
        <v>1383</v>
      </c>
      <c r="B3118" s="13"/>
      <c r="C3118" s="13"/>
      <c r="D3118" s="13"/>
      <c r="E3118" s="13"/>
      <c r="F3118" s="13"/>
      <c r="G3118" s="13"/>
      <c r="H3118" s="13"/>
    </row>
    <row r="3119" customFormat="false" ht="7.5" hidden="false" customHeight="true" outlineLevel="0" collapsed="false"/>
    <row r="3120" customFormat="false" ht="24" hidden="false" customHeight="true" outlineLevel="0" collapsed="false">
      <c r="A3120" s="9" t="s">
        <v>3060</v>
      </c>
      <c r="B3120" s="9"/>
      <c r="C3120" s="9"/>
      <c r="D3120" s="9"/>
      <c r="E3120" s="9"/>
      <c r="F3120" s="9"/>
      <c r="G3120" s="9"/>
      <c r="H3120" s="9"/>
    </row>
    <row r="3121" customFormat="false" ht="42" hidden="false" customHeight="true" outlineLevel="0" collapsed="false">
      <c r="A3121" s="11" t="s">
        <v>3061</v>
      </c>
      <c r="B3121" s="11"/>
      <c r="C3121" s="11"/>
      <c r="D3121" s="11"/>
      <c r="E3121" s="11"/>
      <c r="F3121" s="11"/>
      <c r="G3121" s="11"/>
      <c r="H3121" s="11"/>
    </row>
    <row r="3122" customFormat="false" ht="81" hidden="false" customHeight="true" outlineLevel="0" collapsed="false">
      <c r="A3122" s="12" t="s">
        <v>3062</v>
      </c>
      <c r="B3122" s="12"/>
      <c r="C3122" s="12"/>
      <c r="D3122" s="12"/>
      <c r="E3122" s="12" t="s">
        <v>3063</v>
      </c>
      <c r="F3122" s="12"/>
      <c r="G3122" s="12"/>
      <c r="H3122" s="12"/>
    </row>
    <row r="3123" customFormat="false" ht="81" hidden="false" customHeight="true" outlineLevel="0" collapsed="false">
      <c r="A3123" s="12" t="s">
        <v>3064</v>
      </c>
      <c r="B3123" s="12"/>
      <c r="C3123" s="12"/>
      <c r="D3123" s="12"/>
      <c r="E3123" s="12" t="s">
        <v>3065</v>
      </c>
      <c r="F3123" s="12"/>
      <c r="G3123" s="12"/>
      <c r="H3123" s="12"/>
    </row>
    <row r="3124" customFormat="false" ht="24" hidden="false" customHeight="true" outlineLevel="0" collapsed="false">
      <c r="A3124" s="13" t="s">
        <v>1421</v>
      </c>
      <c r="B3124" s="13"/>
      <c r="C3124" s="13"/>
      <c r="D3124" s="13"/>
      <c r="E3124" s="13"/>
      <c r="F3124" s="13"/>
      <c r="G3124" s="13"/>
      <c r="H3124" s="13"/>
    </row>
    <row r="3125" customFormat="false" ht="7.5" hidden="false" customHeight="true" outlineLevel="0" collapsed="false"/>
    <row r="3126" customFormat="false" ht="24" hidden="false" customHeight="true" outlineLevel="0" collapsed="false">
      <c r="A3126" s="9" t="s">
        <v>3066</v>
      </c>
      <c r="B3126" s="9"/>
      <c r="C3126" s="9"/>
      <c r="D3126" s="9"/>
      <c r="E3126" s="9"/>
      <c r="F3126" s="9"/>
      <c r="G3126" s="9"/>
      <c r="H3126" s="9"/>
    </row>
    <row r="3127" customFormat="false" ht="42" hidden="false" customHeight="true" outlineLevel="0" collapsed="false">
      <c r="A3127" s="11" t="s">
        <v>3067</v>
      </c>
      <c r="B3127" s="11"/>
      <c r="C3127" s="11"/>
      <c r="D3127" s="11"/>
      <c r="E3127" s="11"/>
      <c r="F3127" s="11"/>
      <c r="G3127" s="11"/>
      <c r="H3127" s="11"/>
    </row>
    <row r="3128" customFormat="false" ht="67.5" hidden="false" customHeight="true" outlineLevel="0" collapsed="false">
      <c r="A3128" s="12" t="s">
        <v>3068</v>
      </c>
      <c r="B3128" s="12"/>
      <c r="C3128" s="12"/>
      <c r="D3128" s="12"/>
      <c r="E3128" s="12" t="s">
        <v>3069</v>
      </c>
      <c r="F3128" s="12"/>
      <c r="G3128" s="12"/>
      <c r="H3128" s="12"/>
    </row>
    <row r="3129" customFormat="false" ht="54.75" hidden="false" customHeight="true" outlineLevel="0" collapsed="false">
      <c r="A3129" s="12" t="s">
        <v>3070</v>
      </c>
      <c r="B3129" s="12"/>
      <c r="C3129" s="12"/>
      <c r="D3129" s="12"/>
      <c r="E3129" s="12" t="s">
        <v>3071</v>
      </c>
      <c r="F3129" s="12"/>
      <c r="G3129" s="12"/>
      <c r="H3129" s="12"/>
    </row>
    <row r="3130" customFormat="false" ht="24" hidden="false" customHeight="true" outlineLevel="0" collapsed="false">
      <c r="A3130" s="13" t="s">
        <v>1311</v>
      </c>
      <c r="B3130" s="13"/>
      <c r="C3130" s="13"/>
      <c r="D3130" s="13"/>
      <c r="E3130" s="13"/>
      <c r="F3130" s="13"/>
      <c r="G3130" s="13"/>
      <c r="H3130" s="13"/>
    </row>
    <row r="3131" customFormat="false" ht="7.5" hidden="false" customHeight="true" outlineLevel="0" collapsed="false"/>
    <row r="3132" customFormat="false" ht="24" hidden="false" customHeight="true" outlineLevel="0" collapsed="false">
      <c r="A3132" s="9" t="s">
        <v>3072</v>
      </c>
      <c r="B3132" s="9"/>
      <c r="C3132" s="9"/>
      <c r="D3132" s="9"/>
      <c r="E3132" s="9"/>
      <c r="F3132" s="9"/>
      <c r="G3132" s="9"/>
      <c r="H3132" s="9"/>
    </row>
    <row r="3133" customFormat="false" ht="45.75" hidden="false" customHeight="true" outlineLevel="0" collapsed="false">
      <c r="A3133" s="11" t="s">
        <v>3073</v>
      </c>
      <c r="B3133" s="11"/>
      <c r="C3133" s="11"/>
      <c r="D3133" s="11"/>
      <c r="E3133" s="11"/>
      <c r="F3133" s="11"/>
      <c r="G3133" s="11"/>
      <c r="H3133" s="11"/>
    </row>
    <row r="3134" customFormat="false" ht="33.75" hidden="false" customHeight="true" outlineLevel="0" collapsed="false">
      <c r="A3134" s="12" t="s">
        <v>3074</v>
      </c>
      <c r="B3134" s="12"/>
      <c r="C3134" s="12"/>
      <c r="D3134" s="12"/>
      <c r="E3134" s="12" t="s">
        <v>3075</v>
      </c>
      <c r="F3134" s="12"/>
      <c r="G3134" s="12"/>
      <c r="H3134" s="12"/>
    </row>
    <row r="3135" customFormat="false" ht="33.75" hidden="false" customHeight="true" outlineLevel="0" collapsed="false">
      <c r="A3135" s="12" t="s">
        <v>3076</v>
      </c>
      <c r="B3135" s="12"/>
      <c r="C3135" s="12"/>
      <c r="D3135" s="12"/>
      <c r="E3135" s="12" t="s">
        <v>3077</v>
      </c>
      <c r="F3135" s="12"/>
      <c r="G3135" s="12"/>
      <c r="H3135" s="12"/>
    </row>
    <row r="3136" customFormat="false" ht="24" hidden="false" customHeight="true" outlineLevel="0" collapsed="false">
      <c r="A3136" s="13" t="s">
        <v>1460</v>
      </c>
      <c r="B3136" s="13"/>
      <c r="C3136" s="13"/>
      <c r="D3136" s="13"/>
      <c r="E3136" s="13"/>
      <c r="F3136" s="13"/>
      <c r="G3136" s="13"/>
      <c r="H3136" s="13"/>
    </row>
    <row r="3137" customFormat="false" ht="7.5" hidden="false" customHeight="true" outlineLevel="0" collapsed="false"/>
    <row r="3138" customFormat="false" ht="24" hidden="false" customHeight="true" outlineLevel="0" collapsed="false">
      <c r="A3138" s="9" t="s">
        <v>3078</v>
      </c>
      <c r="B3138" s="9"/>
      <c r="C3138" s="9"/>
      <c r="D3138" s="9"/>
      <c r="E3138" s="9"/>
      <c r="F3138" s="9"/>
      <c r="G3138" s="9"/>
      <c r="H3138" s="9"/>
    </row>
    <row r="3139" customFormat="false" ht="73.5" hidden="false" customHeight="true" outlineLevel="0" collapsed="false">
      <c r="A3139" s="11" t="s">
        <v>3079</v>
      </c>
      <c r="B3139" s="11"/>
      <c r="C3139" s="11"/>
      <c r="D3139" s="11"/>
      <c r="E3139" s="11"/>
      <c r="F3139" s="11"/>
      <c r="G3139" s="11"/>
      <c r="H3139" s="11"/>
    </row>
    <row r="3140" customFormat="false" ht="42" hidden="false" customHeight="true" outlineLevel="0" collapsed="false">
      <c r="A3140" s="12" t="s">
        <v>3080</v>
      </c>
      <c r="B3140" s="12"/>
      <c r="C3140" s="12"/>
      <c r="D3140" s="12"/>
      <c r="E3140" s="12" t="s">
        <v>3081</v>
      </c>
      <c r="F3140" s="12"/>
      <c r="G3140" s="12"/>
      <c r="H3140" s="12"/>
    </row>
    <row r="3141" customFormat="false" ht="42" hidden="false" customHeight="true" outlineLevel="0" collapsed="false">
      <c r="A3141" s="12" t="s">
        <v>3082</v>
      </c>
      <c r="B3141" s="12"/>
      <c r="C3141" s="12"/>
      <c r="D3141" s="12"/>
      <c r="E3141" s="12" t="s">
        <v>3083</v>
      </c>
      <c r="F3141" s="12"/>
      <c r="G3141" s="12"/>
      <c r="H3141" s="12"/>
    </row>
    <row r="3142" customFormat="false" ht="24" hidden="false" customHeight="true" outlineLevel="0" collapsed="false">
      <c r="A3142" s="13" t="s">
        <v>1340</v>
      </c>
      <c r="B3142" s="13"/>
      <c r="C3142" s="13"/>
      <c r="D3142" s="13"/>
      <c r="E3142" s="13"/>
      <c r="F3142" s="13"/>
      <c r="G3142" s="13"/>
      <c r="H3142" s="13"/>
    </row>
    <row r="3143" customFormat="false" ht="7.5" hidden="false" customHeight="true" outlineLevel="0" collapsed="false"/>
    <row r="3144" customFormat="false" ht="24" hidden="false" customHeight="true" outlineLevel="0" collapsed="false">
      <c r="A3144" s="9" t="s">
        <v>3084</v>
      </c>
      <c r="B3144" s="9"/>
      <c r="C3144" s="9"/>
      <c r="D3144" s="9"/>
      <c r="E3144" s="9"/>
      <c r="F3144" s="9"/>
      <c r="G3144" s="9"/>
      <c r="H3144" s="9"/>
    </row>
    <row r="3145" customFormat="false" ht="45.75" hidden="false" customHeight="true" outlineLevel="0" collapsed="false">
      <c r="A3145" s="11" t="s">
        <v>3085</v>
      </c>
      <c r="B3145" s="11"/>
      <c r="C3145" s="11"/>
      <c r="D3145" s="11"/>
      <c r="E3145" s="11"/>
      <c r="F3145" s="11"/>
      <c r="G3145" s="11"/>
      <c r="H3145" s="11"/>
    </row>
    <row r="3146" customFormat="false" ht="33.75" hidden="false" customHeight="true" outlineLevel="0" collapsed="false">
      <c r="A3146" s="12" t="s">
        <v>3086</v>
      </c>
      <c r="B3146" s="12"/>
      <c r="C3146" s="12"/>
      <c r="D3146" s="12"/>
      <c r="E3146" s="12" t="s">
        <v>3087</v>
      </c>
      <c r="F3146" s="12"/>
      <c r="G3146" s="12"/>
      <c r="H3146" s="12"/>
    </row>
    <row r="3147" customFormat="false" ht="33.75" hidden="false" customHeight="true" outlineLevel="0" collapsed="false">
      <c r="A3147" s="12" t="s">
        <v>3088</v>
      </c>
      <c r="B3147" s="12"/>
      <c r="C3147" s="12"/>
      <c r="D3147" s="12"/>
      <c r="E3147" s="12" t="s">
        <v>3089</v>
      </c>
      <c r="F3147" s="12"/>
      <c r="G3147" s="12"/>
      <c r="H3147" s="12"/>
    </row>
    <row r="3148" customFormat="false" ht="24" hidden="false" customHeight="true" outlineLevel="0" collapsed="false">
      <c r="A3148" s="13" t="s">
        <v>1383</v>
      </c>
      <c r="B3148" s="13"/>
      <c r="C3148" s="13"/>
      <c r="D3148" s="13"/>
      <c r="E3148" s="13"/>
      <c r="F3148" s="13"/>
      <c r="G3148" s="13"/>
      <c r="H3148" s="13"/>
    </row>
    <row r="3149" customFormat="false" ht="7.5" hidden="false" customHeight="true" outlineLevel="0" collapsed="false"/>
    <row r="3150" customFormat="false" ht="24" hidden="false" customHeight="true" outlineLevel="0" collapsed="false">
      <c r="A3150" s="9" t="s">
        <v>3090</v>
      </c>
      <c r="B3150" s="9"/>
      <c r="C3150" s="9"/>
      <c r="D3150" s="9"/>
      <c r="E3150" s="9"/>
      <c r="F3150" s="9"/>
      <c r="G3150" s="9"/>
      <c r="H3150" s="9"/>
    </row>
    <row r="3151" customFormat="false" ht="45.75" hidden="false" customHeight="true" outlineLevel="0" collapsed="false">
      <c r="A3151" s="11" t="s">
        <v>3091</v>
      </c>
      <c r="B3151" s="11"/>
      <c r="C3151" s="11"/>
      <c r="D3151" s="11"/>
      <c r="E3151" s="11"/>
      <c r="F3151" s="11"/>
      <c r="G3151" s="11"/>
      <c r="H3151" s="11"/>
    </row>
    <row r="3152" customFormat="false" ht="33.75" hidden="false" customHeight="true" outlineLevel="0" collapsed="false">
      <c r="A3152" s="12" t="s">
        <v>3092</v>
      </c>
      <c r="B3152" s="12"/>
      <c r="C3152" s="12"/>
      <c r="D3152" s="12"/>
      <c r="E3152" s="12" t="s">
        <v>3093</v>
      </c>
      <c r="F3152" s="12"/>
      <c r="G3152" s="12"/>
      <c r="H3152" s="12"/>
    </row>
    <row r="3153" customFormat="false" ht="33.75" hidden="false" customHeight="true" outlineLevel="0" collapsed="false">
      <c r="A3153" s="12" t="s">
        <v>3094</v>
      </c>
      <c r="B3153" s="12"/>
      <c r="C3153" s="12"/>
      <c r="D3153" s="12"/>
      <c r="E3153" s="12" t="s">
        <v>3095</v>
      </c>
      <c r="F3153" s="12"/>
      <c r="G3153" s="12"/>
      <c r="H3153" s="12"/>
    </row>
    <row r="3154" customFormat="false" ht="24" hidden="false" customHeight="true" outlineLevel="0" collapsed="false">
      <c r="A3154" s="13" t="s">
        <v>1383</v>
      </c>
      <c r="B3154" s="13"/>
      <c r="C3154" s="13"/>
      <c r="D3154" s="13"/>
      <c r="E3154" s="13"/>
      <c r="F3154" s="13"/>
      <c r="G3154" s="13"/>
      <c r="H3154" s="13"/>
    </row>
    <row r="3155" customFormat="false" ht="7.5" hidden="false" customHeight="true" outlineLevel="0" collapsed="false"/>
    <row r="3156" customFormat="false" ht="24" hidden="false" customHeight="true" outlineLevel="0" collapsed="false">
      <c r="A3156" s="9" t="s">
        <v>3096</v>
      </c>
      <c r="B3156" s="9"/>
      <c r="C3156" s="9"/>
      <c r="D3156" s="9"/>
      <c r="E3156" s="9"/>
      <c r="F3156" s="9"/>
      <c r="G3156" s="9"/>
      <c r="H3156" s="9"/>
    </row>
    <row r="3157" customFormat="false" ht="73.5" hidden="false" customHeight="true" outlineLevel="0" collapsed="false">
      <c r="A3157" s="10" t="s">
        <v>3097</v>
      </c>
      <c r="B3157" s="10"/>
      <c r="C3157" s="10"/>
      <c r="D3157" s="10"/>
      <c r="E3157" s="10"/>
      <c r="F3157" s="10"/>
      <c r="G3157" s="10"/>
      <c r="H3157" s="10"/>
    </row>
    <row r="3158" customFormat="false" ht="115.5" hidden="false" customHeight="true" outlineLevel="0" collapsed="false">
      <c r="A3158" s="11" t="s">
        <v>3098</v>
      </c>
      <c r="B3158" s="11"/>
      <c r="C3158" s="11"/>
      <c r="D3158" s="11"/>
      <c r="E3158" s="11"/>
      <c r="F3158" s="11"/>
      <c r="G3158" s="11"/>
      <c r="H3158" s="11"/>
    </row>
    <row r="3159" customFormat="false" ht="42" hidden="false" customHeight="true" outlineLevel="0" collapsed="false">
      <c r="A3159" s="12" t="s">
        <v>3099</v>
      </c>
      <c r="B3159" s="12"/>
      <c r="C3159" s="12"/>
      <c r="D3159" s="12"/>
      <c r="E3159" s="12" t="s">
        <v>3100</v>
      </c>
      <c r="F3159" s="12"/>
      <c r="G3159" s="12"/>
      <c r="H3159" s="12"/>
    </row>
    <row r="3160" customFormat="false" ht="42" hidden="false" customHeight="true" outlineLevel="0" collapsed="false">
      <c r="A3160" s="12" t="s">
        <v>3101</v>
      </c>
      <c r="B3160" s="12"/>
      <c r="C3160" s="12"/>
      <c r="D3160" s="12"/>
      <c r="E3160" s="12" t="s">
        <v>3102</v>
      </c>
      <c r="F3160" s="12"/>
      <c r="G3160" s="12"/>
      <c r="H3160" s="12"/>
    </row>
    <row r="3161" customFormat="false" ht="24" hidden="false" customHeight="true" outlineLevel="0" collapsed="false">
      <c r="A3161" s="13" t="s">
        <v>3103</v>
      </c>
      <c r="B3161" s="13"/>
      <c r="C3161" s="13"/>
      <c r="D3161" s="13"/>
      <c r="E3161" s="13"/>
      <c r="F3161" s="13"/>
      <c r="G3161" s="13"/>
      <c r="H3161" s="13"/>
    </row>
    <row r="3162" customFormat="false" ht="7.5" hidden="false" customHeight="true" outlineLevel="0" collapsed="false"/>
    <row r="3163" customFormat="false" ht="24" hidden="false" customHeight="true" outlineLevel="0" collapsed="false">
      <c r="A3163" s="9" t="s">
        <v>3104</v>
      </c>
      <c r="B3163" s="9"/>
      <c r="C3163" s="9"/>
      <c r="D3163" s="9"/>
      <c r="E3163" s="9"/>
      <c r="F3163" s="9"/>
      <c r="G3163" s="9"/>
      <c r="H3163" s="9"/>
    </row>
    <row r="3164" customFormat="false" ht="42" hidden="false" customHeight="true" outlineLevel="0" collapsed="false">
      <c r="A3164" s="11" t="s">
        <v>3105</v>
      </c>
      <c r="B3164" s="11"/>
      <c r="C3164" s="11"/>
      <c r="D3164" s="11"/>
      <c r="E3164" s="11"/>
      <c r="F3164" s="11"/>
      <c r="G3164" s="11"/>
      <c r="H3164" s="11"/>
    </row>
    <row r="3165" customFormat="false" ht="81" hidden="false" customHeight="true" outlineLevel="0" collapsed="false">
      <c r="A3165" s="12" t="s">
        <v>3106</v>
      </c>
      <c r="B3165" s="12"/>
      <c r="C3165" s="12"/>
      <c r="D3165" s="12"/>
      <c r="E3165" s="12" t="s">
        <v>3107</v>
      </c>
      <c r="F3165" s="12"/>
      <c r="G3165" s="12"/>
      <c r="H3165" s="12"/>
    </row>
    <row r="3166" customFormat="false" ht="67.5" hidden="false" customHeight="true" outlineLevel="0" collapsed="false">
      <c r="A3166" s="12" t="s">
        <v>3108</v>
      </c>
      <c r="B3166" s="12"/>
      <c r="C3166" s="12"/>
      <c r="D3166" s="12"/>
      <c r="E3166" s="12" t="s">
        <v>3109</v>
      </c>
      <c r="F3166" s="12"/>
      <c r="G3166" s="12"/>
      <c r="H3166" s="12"/>
    </row>
    <row r="3167" customFormat="false" ht="24" hidden="false" customHeight="true" outlineLevel="0" collapsed="false">
      <c r="A3167" s="13" t="s">
        <v>1721</v>
      </c>
      <c r="B3167" s="13"/>
      <c r="C3167" s="13"/>
      <c r="D3167" s="13"/>
      <c r="E3167" s="13"/>
      <c r="F3167" s="13"/>
      <c r="G3167" s="13"/>
      <c r="H3167" s="13"/>
    </row>
    <row r="3168" customFormat="false" ht="7.5" hidden="false" customHeight="true" outlineLevel="0" collapsed="false"/>
    <row r="3169" customFormat="false" ht="24" hidden="false" customHeight="true" outlineLevel="0" collapsed="false">
      <c r="A3169" s="9" t="s">
        <v>3110</v>
      </c>
      <c r="B3169" s="9"/>
      <c r="C3169" s="9"/>
      <c r="D3169" s="9"/>
      <c r="E3169" s="9"/>
      <c r="F3169" s="9"/>
      <c r="G3169" s="9"/>
      <c r="H3169" s="9"/>
    </row>
    <row r="3170" customFormat="false" ht="45.75" hidden="false" customHeight="true" outlineLevel="0" collapsed="false">
      <c r="A3170" s="11" t="s">
        <v>3111</v>
      </c>
      <c r="B3170" s="11"/>
      <c r="C3170" s="11"/>
      <c r="D3170" s="11"/>
      <c r="E3170" s="11"/>
      <c r="F3170" s="11"/>
      <c r="G3170" s="11"/>
      <c r="H3170" s="11"/>
    </row>
    <row r="3171" customFormat="false" ht="33.75" hidden="false" customHeight="true" outlineLevel="0" collapsed="false">
      <c r="A3171" s="12" t="s">
        <v>3112</v>
      </c>
      <c r="B3171" s="12"/>
      <c r="C3171" s="12"/>
      <c r="D3171" s="12"/>
      <c r="E3171" s="12" t="s">
        <v>3113</v>
      </c>
      <c r="F3171" s="12"/>
      <c r="G3171" s="12"/>
      <c r="H3171" s="12"/>
    </row>
    <row r="3172" customFormat="false" ht="33.75" hidden="false" customHeight="true" outlineLevel="0" collapsed="false">
      <c r="A3172" s="12" t="s">
        <v>3114</v>
      </c>
      <c r="B3172" s="12"/>
      <c r="C3172" s="12"/>
      <c r="D3172" s="12"/>
      <c r="E3172" s="12" t="s">
        <v>3115</v>
      </c>
      <c r="F3172" s="12"/>
      <c r="G3172" s="12"/>
      <c r="H3172" s="12"/>
    </row>
    <row r="3173" customFormat="false" ht="24" hidden="false" customHeight="true" outlineLevel="0" collapsed="false">
      <c r="A3173" s="13" t="s">
        <v>1340</v>
      </c>
      <c r="B3173" s="13"/>
      <c r="C3173" s="13"/>
      <c r="D3173" s="13"/>
      <c r="E3173" s="13"/>
      <c r="F3173" s="13"/>
      <c r="G3173" s="13"/>
      <c r="H3173" s="13"/>
    </row>
    <row r="3174" customFormat="false" ht="7.5" hidden="false" customHeight="true" outlineLevel="0" collapsed="false"/>
    <row r="3175" customFormat="false" ht="24" hidden="false" customHeight="true" outlineLevel="0" collapsed="false">
      <c r="A3175" s="9" t="s">
        <v>3116</v>
      </c>
      <c r="B3175" s="9"/>
      <c r="C3175" s="9"/>
      <c r="D3175" s="9"/>
      <c r="E3175" s="9"/>
      <c r="F3175" s="9"/>
      <c r="G3175" s="9"/>
      <c r="H3175" s="9"/>
    </row>
    <row r="3176" customFormat="false" ht="42" hidden="false" customHeight="true" outlineLevel="0" collapsed="false">
      <c r="A3176" s="11" t="s">
        <v>3117</v>
      </c>
      <c r="B3176" s="11"/>
      <c r="C3176" s="11"/>
      <c r="D3176" s="11"/>
      <c r="E3176" s="11"/>
      <c r="F3176" s="11"/>
      <c r="G3176" s="11"/>
      <c r="H3176" s="11"/>
    </row>
    <row r="3177" customFormat="false" ht="42" hidden="false" customHeight="true" outlineLevel="0" collapsed="false">
      <c r="A3177" s="12" t="s">
        <v>3118</v>
      </c>
      <c r="B3177" s="12"/>
      <c r="C3177" s="12"/>
      <c r="D3177" s="12"/>
      <c r="E3177" s="12" t="s">
        <v>3119</v>
      </c>
      <c r="F3177" s="12"/>
      <c r="G3177" s="12"/>
      <c r="H3177" s="12"/>
    </row>
    <row r="3178" customFormat="false" ht="54.75" hidden="false" customHeight="true" outlineLevel="0" collapsed="false">
      <c r="A3178" s="12" t="s">
        <v>3120</v>
      </c>
      <c r="B3178" s="12"/>
      <c r="C3178" s="12"/>
      <c r="D3178" s="12"/>
      <c r="E3178" s="12" t="s">
        <v>3121</v>
      </c>
      <c r="F3178" s="12"/>
      <c r="G3178" s="12"/>
      <c r="H3178" s="12"/>
    </row>
    <row r="3179" customFormat="false" ht="24" hidden="false" customHeight="true" outlineLevel="0" collapsed="false">
      <c r="A3179" s="13" t="s">
        <v>1369</v>
      </c>
      <c r="B3179" s="13"/>
      <c r="C3179" s="13"/>
      <c r="D3179" s="13"/>
      <c r="E3179" s="13"/>
      <c r="F3179" s="13"/>
      <c r="G3179" s="13"/>
      <c r="H3179" s="13"/>
    </row>
    <row r="3180" customFormat="false" ht="7.5" hidden="false" customHeight="true" outlineLevel="0" collapsed="false"/>
    <row r="3181" customFormat="false" ht="24" hidden="false" customHeight="true" outlineLevel="0" collapsed="false">
      <c r="A3181" s="9" t="s">
        <v>3122</v>
      </c>
      <c r="B3181" s="9"/>
      <c r="C3181" s="9"/>
      <c r="D3181" s="9"/>
      <c r="E3181" s="9"/>
      <c r="F3181" s="9"/>
      <c r="G3181" s="9"/>
      <c r="H3181" s="9"/>
    </row>
    <row r="3182" customFormat="false" ht="45.75" hidden="false" customHeight="true" outlineLevel="0" collapsed="false">
      <c r="A3182" s="11" t="s">
        <v>3123</v>
      </c>
      <c r="B3182" s="11"/>
      <c r="C3182" s="11"/>
      <c r="D3182" s="11"/>
      <c r="E3182" s="11"/>
      <c r="F3182" s="11"/>
      <c r="G3182" s="11"/>
      <c r="H3182" s="11"/>
    </row>
    <row r="3183" customFormat="false" ht="33.75" hidden="false" customHeight="true" outlineLevel="0" collapsed="false">
      <c r="A3183" s="12" t="s">
        <v>3124</v>
      </c>
      <c r="B3183" s="12"/>
      <c r="C3183" s="12"/>
      <c r="D3183" s="12"/>
      <c r="E3183" s="12" t="s">
        <v>3125</v>
      </c>
      <c r="F3183" s="12"/>
      <c r="G3183" s="12"/>
      <c r="H3183" s="12"/>
    </row>
    <row r="3184" customFormat="false" ht="42" hidden="false" customHeight="true" outlineLevel="0" collapsed="false">
      <c r="A3184" s="12" t="s">
        <v>3126</v>
      </c>
      <c r="B3184" s="12"/>
      <c r="C3184" s="12"/>
      <c r="D3184" s="12"/>
      <c r="E3184" s="12" t="s">
        <v>3127</v>
      </c>
      <c r="F3184" s="12"/>
      <c r="G3184" s="12"/>
      <c r="H3184" s="12"/>
    </row>
    <row r="3185" customFormat="false" ht="24" hidden="false" customHeight="true" outlineLevel="0" collapsed="false">
      <c r="A3185" s="13" t="s">
        <v>2559</v>
      </c>
      <c r="B3185" s="13"/>
      <c r="C3185" s="13"/>
      <c r="D3185" s="13"/>
      <c r="E3185" s="13"/>
      <c r="F3185" s="13"/>
      <c r="G3185" s="13"/>
      <c r="H3185" s="13"/>
    </row>
    <row r="3186" customFormat="false" ht="7.5" hidden="false" customHeight="true" outlineLevel="0" collapsed="false"/>
    <row r="3187" customFormat="false" ht="24" hidden="false" customHeight="true" outlineLevel="0" collapsed="false">
      <c r="A3187" s="9" t="s">
        <v>3128</v>
      </c>
      <c r="B3187" s="9"/>
      <c r="C3187" s="9"/>
      <c r="D3187" s="9"/>
      <c r="E3187" s="9"/>
      <c r="F3187" s="9"/>
      <c r="G3187" s="9"/>
      <c r="H3187" s="9"/>
    </row>
    <row r="3188" customFormat="false" ht="45.75" hidden="false" customHeight="true" outlineLevel="0" collapsed="false">
      <c r="A3188" s="11" t="s">
        <v>3129</v>
      </c>
      <c r="B3188" s="11"/>
      <c r="C3188" s="11"/>
      <c r="D3188" s="11"/>
      <c r="E3188" s="11"/>
      <c r="F3188" s="11"/>
      <c r="G3188" s="11"/>
      <c r="H3188" s="11"/>
    </row>
    <row r="3189" customFormat="false" ht="54.75" hidden="false" customHeight="true" outlineLevel="0" collapsed="false">
      <c r="A3189" s="12" t="s">
        <v>3130</v>
      </c>
      <c r="B3189" s="12"/>
      <c r="C3189" s="12"/>
      <c r="D3189" s="12"/>
      <c r="E3189" s="12" t="s">
        <v>3131</v>
      </c>
      <c r="F3189" s="12"/>
      <c r="G3189" s="12"/>
      <c r="H3189" s="12"/>
    </row>
    <row r="3190" customFormat="false" ht="42" hidden="false" customHeight="true" outlineLevel="0" collapsed="false">
      <c r="A3190" s="12" t="s">
        <v>3132</v>
      </c>
      <c r="B3190" s="12"/>
      <c r="C3190" s="12"/>
      <c r="D3190" s="12"/>
      <c r="E3190" s="12" t="s">
        <v>3133</v>
      </c>
      <c r="F3190" s="12"/>
      <c r="G3190" s="12"/>
      <c r="H3190" s="12"/>
    </row>
    <row r="3191" customFormat="false" ht="24" hidden="false" customHeight="true" outlineLevel="0" collapsed="false">
      <c r="A3191" s="13" t="s">
        <v>1905</v>
      </c>
      <c r="B3191" s="13"/>
      <c r="C3191" s="13"/>
      <c r="D3191" s="13"/>
      <c r="E3191" s="13"/>
      <c r="F3191" s="13"/>
      <c r="G3191" s="13"/>
      <c r="H3191" s="13"/>
    </row>
    <row r="3192" customFormat="false" ht="7.5" hidden="false" customHeight="true" outlineLevel="0" collapsed="false"/>
    <row r="3193" customFormat="false" ht="24" hidden="false" customHeight="true" outlineLevel="0" collapsed="false">
      <c r="A3193" s="9" t="s">
        <v>3134</v>
      </c>
      <c r="B3193" s="9"/>
      <c r="C3193" s="9"/>
      <c r="D3193" s="9"/>
      <c r="E3193" s="9"/>
      <c r="F3193" s="9"/>
      <c r="G3193" s="9"/>
      <c r="H3193" s="9"/>
    </row>
    <row r="3194" customFormat="false" ht="45.75" hidden="false" customHeight="true" outlineLevel="0" collapsed="false">
      <c r="A3194" s="11" t="s">
        <v>3135</v>
      </c>
      <c r="B3194" s="11"/>
      <c r="C3194" s="11"/>
      <c r="D3194" s="11"/>
      <c r="E3194" s="11"/>
      <c r="F3194" s="11"/>
      <c r="G3194" s="11"/>
      <c r="H3194" s="11"/>
    </row>
    <row r="3195" customFormat="false" ht="33.75" hidden="false" customHeight="true" outlineLevel="0" collapsed="false">
      <c r="A3195" s="12" t="s">
        <v>3136</v>
      </c>
      <c r="B3195" s="12"/>
      <c r="C3195" s="12"/>
      <c r="D3195" s="12"/>
      <c r="E3195" s="12" t="s">
        <v>3137</v>
      </c>
      <c r="F3195" s="12"/>
      <c r="G3195" s="12"/>
      <c r="H3195" s="12"/>
    </row>
    <row r="3196" customFormat="false" ht="33.75" hidden="false" customHeight="true" outlineLevel="0" collapsed="false">
      <c r="A3196" s="12" t="s">
        <v>3138</v>
      </c>
      <c r="B3196" s="12"/>
      <c r="C3196" s="12"/>
      <c r="D3196" s="12"/>
      <c r="E3196" s="12" t="s">
        <v>3139</v>
      </c>
      <c r="F3196" s="12"/>
      <c r="G3196" s="12"/>
      <c r="H3196" s="12"/>
    </row>
    <row r="3197" customFormat="false" ht="24" hidden="false" customHeight="true" outlineLevel="0" collapsed="false">
      <c r="A3197" s="13" t="s">
        <v>1327</v>
      </c>
      <c r="B3197" s="13"/>
      <c r="C3197" s="13"/>
      <c r="D3197" s="13"/>
      <c r="E3197" s="13"/>
      <c r="F3197" s="13"/>
      <c r="G3197" s="13"/>
      <c r="H3197" s="13"/>
    </row>
    <row r="3198" customFormat="false" ht="7.5" hidden="false" customHeight="true" outlineLevel="0" collapsed="false"/>
    <row r="3199" customFormat="false" ht="24" hidden="false" customHeight="true" outlineLevel="0" collapsed="false">
      <c r="A3199" s="9" t="s">
        <v>3140</v>
      </c>
      <c r="B3199" s="9"/>
      <c r="C3199" s="9"/>
      <c r="D3199" s="9"/>
      <c r="E3199" s="9"/>
      <c r="F3199" s="9"/>
      <c r="G3199" s="9"/>
      <c r="H3199" s="9"/>
    </row>
    <row r="3200" customFormat="false" ht="42" hidden="false" customHeight="true" outlineLevel="0" collapsed="false">
      <c r="A3200" s="11" t="s">
        <v>3141</v>
      </c>
      <c r="B3200" s="11"/>
      <c r="C3200" s="11"/>
      <c r="D3200" s="11"/>
      <c r="E3200" s="11"/>
      <c r="F3200" s="11"/>
      <c r="G3200" s="11"/>
      <c r="H3200" s="11"/>
    </row>
    <row r="3201" customFormat="false" ht="33.75" hidden="false" customHeight="true" outlineLevel="0" collapsed="false">
      <c r="A3201" s="12" t="s">
        <v>3142</v>
      </c>
      <c r="B3201" s="12"/>
      <c r="C3201" s="12"/>
      <c r="D3201" s="12"/>
      <c r="E3201" s="12" t="s">
        <v>3143</v>
      </c>
      <c r="F3201" s="12"/>
      <c r="G3201" s="12"/>
      <c r="H3201" s="12"/>
    </row>
    <row r="3202" customFormat="false" ht="33.75" hidden="false" customHeight="true" outlineLevel="0" collapsed="false">
      <c r="A3202" s="12" t="s">
        <v>3144</v>
      </c>
      <c r="B3202" s="12"/>
      <c r="C3202" s="12"/>
      <c r="D3202" s="12"/>
      <c r="E3202" s="12" t="s">
        <v>3145</v>
      </c>
      <c r="F3202" s="12"/>
      <c r="G3202" s="12"/>
      <c r="H3202" s="12"/>
    </row>
    <row r="3203" customFormat="false" ht="24" hidden="false" customHeight="true" outlineLevel="0" collapsed="false">
      <c r="A3203" s="13" t="s">
        <v>1276</v>
      </c>
      <c r="B3203" s="13"/>
      <c r="C3203" s="13"/>
      <c r="D3203" s="13"/>
      <c r="E3203" s="13"/>
      <c r="F3203" s="13"/>
      <c r="G3203" s="13"/>
      <c r="H3203" s="13"/>
    </row>
    <row r="3204" customFormat="false" ht="7.5" hidden="false" customHeight="true" outlineLevel="0" collapsed="false"/>
    <row r="3205" customFormat="false" ht="24" hidden="false" customHeight="true" outlineLevel="0" collapsed="false">
      <c r="A3205" s="9" t="s">
        <v>3146</v>
      </c>
      <c r="B3205" s="9"/>
      <c r="C3205" s="9"/>
      <c r="D3205" s="9"/>
      <c r="E3205" s="9"/>
      <c r="F3205" s="9"/>
      <c r="G3205" s="9"/>
      <c r="H3205" s="9"/>
    </row>
    <row r="3206" customFormat="false" ht="42" hidden="false" customHeight="true" outlineLevel="0" collapsed="false">
      <c r="A3206" s="11" t="s">
        <v>3147</v>
      </c>
      <c r="B3206" s="11"/>
      <c r="C3206" s="11"/>
      <c r="D3206" s="11"/>
      <c r="E3206" s="11"/>
      <c r="F3206" s="11"/>
      <c r="G3206" s="11"/>
      <c r="H3206" s="11"/>
    </row>
    <row r="3207" customFormat="false" ht="42" hidden="false" customHeight="true" outlineLevel="0" collapsed="false">
      <c r="A3207" s="12" t="s">
        <v>3148</v>
      </c>
      <c r="B3207" s="12"/>
      <c r="C3207" s="12"/>
      <c r="D3207" s="12"/>
      <c r="E3207" s="12" t="s">
        <v>3149</v>
      </c>
      <c r="F3207" s="12"/>
      <c r="G3207" s="12"/>
      <c r="H3207" s="12"/>
    </row>
    <row r="3208" customFormat="false" ht="42" hidden="false" customHeight="true" outlineLevel="0" collapsed="false">
      <c r="A3208" s="12" t="s">
        <v>3150</v>
      </c>
      <c r="B3208" s="12"/>
      <c r="C3208" s="12"/>
      <c r="D3208" s="12"/>
      <c r="E3208" s="12" t="s">
        <v>3151</v>
      </c>
      <c r="F3208" s="12"/>
      <c r="G3208" s="12"/>
      <c r="H3208" s="12"/>
    </row>
    <row r="3209" customFormat="false" ht="24" hidden="false" customHeight="true" outlineLevel="0" collapsed="false">
      <c r="A3209" s="13" t="s">
        <v>1596</v>
      </c>
      <c r="B3209" s="13"/>
      <c r="C3209" s="13"/>
      <c r="D3209" s="13"/>
      <c r="E3209" s="13"/>
      <c r="F3209" s="13"/>
      <c r="G3209" s="13"/>
      <c r="H3209" s="13"/>
    </row>
    <row r="3210" customFormat="false" ht="7.5" hidden="false" customHeight="true" outlineLevel="0" collapsed="false"/>
    <row r="3211" customFormat="false" ht="24" hidden="false" customHeight="true" outlineLevel="0" collapsed="false">
      <c r="A3211" s="9" t="s">
        <v>3152</v>
      </c>
      <c r="B3211" s="9"/>
      <c r="C3211" s="9"/>
      <c r="D3211" s="9"/>
      <c r="E3211" s="9"/>
      <c r="F3211" s="9"/>
      <c r="G3211" s="9"/>
      <c r="H3211" s="9"/>
    </row>
    <row r="3212" customFormat="false" ht="42" hidden="false" customHeight="true" outlineLevel="0" collapsed="false">
      <c r="A3212" s="11" t="s">
        <v>3153</v>
      </c>
      <c r="B3212" s="11"/>
      <c r="C3212" s="11"/>
      <c r="D3212" s="11"/>
      <c r="E3212" s="11"/>
      <c r="F3212" s="11"/>
      <c r="G3212" s="11"/>
      <c r="H3212" s="11"/>
    </row>
    <row r="3213" customFormat="false" ht="33.75" hidden="false" customHeight="true" outlineLevel="0" collapsed="false">
      <c r="A3213" s="12" t="s">
        <v>3154</v>
      </c>
      <c r="B3213" s="12"/>
      <c r="C3213" s="12"/>
      <c r="D3213" s="12"/>
      <c r="E3213" s="12" t="s">
        <v>3155</v>
      </c>
      <c r="F3213" s="12"/>
      <c r="G3213" s="12"/>
      <c r="H3213" s="12"/>
    </row>
    <row r="3214" customFormat="false" ht="33.75" hidden="false" customHeight="true" outlineLevel="0" collapsed="false">
      <c r="A3214" s="12" t="s">
        <v>3156</v>
      </c>
      <c r="B3214" s="12"/>
      <c r="C3214" s="12"/>
      <c r="D3214" s="12"/>
      <c r="E3214" s="12" t="s">
        <v>3157</v>
      </c>
      <c r="F3214" s="12"/>
      <c r="G3214" s="12"/>
      <c r="H3214" s="12"/>
    </row>
    <row r="3215" customFormat="false" ht="24" hidden="false" customHeight="true" outlineLevel="0" collapsed="false">
      <c r="A3215" s="13" t="s">
        <v>1297</v>
      </c>
      <c r="B3215" s="13"/>
      <c r="C3215" s="13"/>
      <c r="D3215" s="13"/>
      <c r="E3215" s="13"/>
      <c r="F3215" s="13"/>
      <c r="G3215" s="13"/>
      <c r="H3215" s="13"/>
    </row>
    <row r="3216" customFormat="false" ht="7.5" hidden="false" customHeight="true" outlineLevel="0" collapsed="false"/>
    <row r="3217" customFormat="false" ht="24" hidden="false" customHeight="true" outlineLevel="0" collapsed="false">
      <c r="A3217" s="9" t="s">
        <v>3158</v>
      </c>
      <c r="B3217" s="9"/>
      <c r="C3217" s="9"/>
      <c r="D3217" s="9"/>
      <c r="E3217" s="9"/>
      <c r="F3217" s="9"/>
      <c r="G3217" s="9"/>
      <c r="H3217" s="9"/>
    </row>
    <row r="3218" customFormat="false" ht="87" hidden="false" customHeight="true" outlineLevel="0" collapsed="false">
      <c r="A3218" s="10" t="s">
        <v>3159</v>
      </c>
      <c r="B3218" s="10"/>
      <c r="C3218" s="10"/>
      <c r="D3218" s="10"/>
      <c r="E3218" s="10"/>
      <c r="F3218" s="10"/>
      <c r="G3218" s="10"/>
      <c r="H3218" s="10"/>
    </row>
    <row r="3219" customFormat="false" ht="60" hidden="false" customHeight="true" outlineLevel="0" collapsed="false">
      <c r="A3219" s="11" t="s">
        <v>3160</v>
      </c>
      <c r="B3219" s="11"/>
      <c r="C3219" s="11"/>
      <c r="D3219" s="11"/>
      <c r="E3219" s="11"/>
      <c r="F3219" s="11"/>
      <c r="G3219" s="11"/>
      <c r="H3219" s="11"/>
    </row>
    <row r="3220" customFormat="false" ht="33.75" hidden="false" customHeight="true" outlineLevel="0" collapsed="false">
      <c r="A3220" s="12" t="s">
        <v>3161</v>
      </c>
      <c r="B3220" s="12"/>
      <c r="C3220" s="12"/>
      <c r="D3220" s="12"/>
      <c r="E3220" s="12" t="s">
        <v>3162</v>
      </c>
      <c r="F3220" s="12"/>
      <c r="G3220" s="12"/>
      <c r="H3220" s="12"/>
    </row>
    <row r="3221" customFormat="false" ht="33.75" hidden="false" customHeight="true" outlineLevel="0" collapsed="false">
      <c r="A3221" s="12" t="s">
        <v>3163</v>
      </c>
      <c r="B3221" s="12"/>
      <c r="C3221" s="12"/>
      <c r="D3221" s="12"/>
      <c r="E3221" s="12" t="s">
        <v>3164</v>
      </c>
      <c r="F3221" s="12"/>
      <c r="G3221" s="12"/>
      <c r="H3221" s="12"/>
    </row>
    <row r="3222" customFormat="false" ht="24" hidden="false" customHeight="true" outlineLevel="0" collapsed="false">
      <c r="A3222" s="13" t="s">
        <v>3165</v>
      </c>
      <c r="B3222" s="13"/>
      <c r="C3222" s="13"/>
      <c r="D3222" s="13"/>
      <c r="E3222" s="13"/>
      <c r="F3222" s="13"/>
      <c r="G3222" s="13"/>
      <c r="H3222" s="13"/>
    </row>
    <row r="3223" customFormat="false" ht="7.5" hidden="false" customHeight="true" outlineLevel="0" collapsed="false"/>
    <row r="3224" customFormat="false" ht="24" hidden="false" customHeight="true" outlineLevel="0" collapsed="false">
      <c r="A3224" s="9" t="s">
        <v>3166</v>
      </c>
      <c r="B3224" s="9"/>
      <c r="C3224" s="9"/>
      <c r="D3224" s="9"/>
      <c r="E3224" s="9"/>
      <c r="F3224" s="9"/>
      <c r="G3224" s="9"/>
      <c r="H3224" s="9"/>
    </row>
    <row r="3225" customFormat="false" ht="42" hidden="false" customHeight="true" outlineLevel="0" collapsed="false">
      <c r="A3225" s="11" t="s">
        <v>3167</v>
      </c>
      <c r="B3225" s="11"/>
      <c r="C3225" s="11"/>
      <c r="D3225" s="11"/>
      <c r="E3225" s="11"/>
      <c r="F3225" s="11"/>
      <c r="G3225" s="11"/>
      <c r="H3225" s="11"/>
    </row>
    <row r="3226" customFormat="false" ht="33.75" hidden="false" customHeight="true" outlineLevel="0" collapsed="false">
      <c r="A3226" s="12" t="s">
        <v>3168</v>
      </c>
      <c r="B3226" s="12"/>
      <c r="C3226" s="12"/>
      <c r="D3226" s="12"/>
      <c r="E3226" s="12" t="s">
        <v>3169</v>
      </c>
      <c r="F3226" s="12"/>
      <c r="G3226" s="12"/>
      <c r="H3226" s="12"/>
    </row>
    <row r="3227" customFormat="false" ht="33.75" hidden="false" customHeight="true" outlineLevel="0" collapsed="false">
      <c r="A3227" s="12" t="s">
        <v>3170</v>
      </c>
      <c r="B3227" s="12"/>
      <c r="C3227" s="12"/>
      <c r="D3227" s="12"/>
      <c r="E3227" s="12" t="s">
        <v>3171</v>
      </c>
      <c r="F3227" s="12"/>
      <c r="G3227" s="12"/>
      <c r="H3227" s="12"/>
    </row>
    <row r="3228" customFormat="false" ht="24" hidden="false" customHeight="true" outlineLevel="0" collapsed="false">
      <c r="A3228" s="13" t="s">
        <v>1311</v>
      </c>
      <c r="B3228" s="13"/>
      <c r="C3228" s="13"/>
      <c r="D3228" s="13"/>
      <c r="E3228" s="13"/>
      <c r="F3228" s="13"/>
      <c r="G3228" s="13"/>
      <c r="H3228" s="13"/>
    </row>
    <row r="3229" customFormat="false" ht="7.5" hidden="false" customHeight="true" outlineLevel="0" collapsed="false"/>
    <row r="3230" customFormat="false" ht="24" hidden="false" customHeight="true" outlineLevel="0" collapsed="false">
      <c r="A3230" s="9" t="s">
        <v>3172</v>
      </c>
      <c r="B3230" s="9"/>
      <c r="C3230" s="9"/>
      <c r="D3230" s="9"/>
      <c r="E3230" s="9"/>
      <c r="F3230" s="9"/>
      <c r="G3230" s="9"/>
      <c r="H3230" s="9"/>
    </row>
    <row r="3231" customFormat="false" ht="42" hidden="false" customHeight="true" outlineLevel="0" collapsed="false">
      <c r="A3231" s="11" t="s">
        <v>3173</v>
      </c>
      <c r="B3231" s="11"/>
      <c r="C3231" s="11"/>
      <c r="D3231" s="11"/>
      <c r="E3231" s="11"/>
      <c r="F3231" s="11"/>
      <c r="G3231" s="11"/>
      <c r="H3231" s="11"/>
    </row>
    <row r="3232" customFormat="false" ht="33.75" hidden="false" customHeight="true" outlineLevel="0" collapsed="false">
      <c r="A3232" s="12" t="s">
        <v>3174</v>
      </c>
      <c r="B3232" s="12"/>
      <c r="C3232" s="12"/>
      <c r="D3232" s="12"/>
      <c r="E3232" s="12" t="s">
        <v>3175</v>
      </c>
      <c r="F3232" s="12"/>
      <c r="G3232" s="12"/>
      <c r="H3232" s="12"/>
    </row>
    <row r="3233" customFormat="false" ht="33.75" hidden="false" customHeight="true" outlineLevel="0" collapsed="false">
      <c r="A3233" s="12" t="s">
        <v>3176</v>
      </c>
      <c r="B3233" s="12"/>
      <c r="C3233" s="12"/>
      <c r="D3233" s="12"/>
      <c r="E3233" s="12" t="s">
        <v>3177</v>
      </c>
      <c r="F3233" s="12"/>
      <c r="G3233" s="12"/>
      <c r="H3233" s="12"/>
    </row>
    <row r="3234" customFormat="false" ht="24" hidden="false" customHeight="true" outlineLevel="0" collapsed="false">
      <c r="A3234" s="13" t="s">
        <v>1396</v>
      </c>
      <c r="B3234" s="13"/>
      <c r="C3234" s="13"/>
      <c r="D3234" s="13"/>
      <c r="E3234" s="13"/>
      <c r="F3234" s="13"/>
      <c r="G3234" s="13"/>
      <c r="H3234" s="13"/>
    </row>
    <row r="3235" customFormat="false" ht="7.5" hidden="false" customHeight="true" outlineLevel="0" collapsed="false"/>
    <row r="3236" customFormat="false" ht="24" hidden="false" customHeight="true" outlineLevel="0" collapsed="false">
      <c r="A3236" s="9" t="s">
        <v>3178</v>
      </c>
      <c r="B3236" s="9"/>
      <c r="C3236" s="9"/>
      <c r="D3236" s="9"/>
      <c r="E3236" s="9"/>
      <c r="F3236" s="9"/>
      <c r="G3236" s="9"/>
      <c r="H3236" s="9"/>
    </row>
    <row r="3237" customFormat="false" ht="99.75" hidden="false" customHeight="true" outlineLevel="0" collapsed="false">
      <c r="A3237" s="10" t="s">
        <v>2171</v>
      </c>
      <c r="B3237" s="10"/>
      <c r="C3237" s="10"/>
      <c r="D3237" s="10"/>
      <c r="E3237" s="10"/>
      <c r="F3237" s="10"/>
      <c r="G3237" s="10"/>
      <c r="H3237" s="10"/>
    </row>
    <row r="3238" customFormat="false" ht="99.75" hidden="false" customHeight="true" outlineLevel="0" collapsed="false">
      <c r="A3238" s="10" t="s">
        <v>2172</v>
      </c>
      <c r="B3238" s="10"/>
      <c r="C3238" s="10"/>
      <c r="D3238" s="10"/>
      <c r="E3238" s="10"/>
      <c r="F3238" s="10"/>
      <c r="G3238" s="10"/>
      <c r="H3238" s="10"/>
    </row>
    <row r="3239" customFormat="false" ht="99.75" hidden="false" customHeight="true" outlineLevel="0" collapsed="false">
      <c r="A3239" s="10" t="s">
        <v>2173</v>
      </c>
      <c r="B3239" s="10"/>
      <c r="C3239" s="10"/>
      <c r="D3239" s="10"/>
      <c r="E3239" s="10"/>
      <c r="F3239" s="10"/>
      <c r="G3239" s="10"/>
      <c r="H3239" s="10"/>
    </row>
    <row r="3240" customFormat="false" ht="87" hidden="false" customHeight="true" outlineLevel="0" collapsed="false">
      <c r="A3240" s="10" t="s">
        <v>2174</v>
      </c>
      <c r="B3240" s="10"/>
      <c r="C3240" s="10"/>
      <c r="D3240" s="10"/>
      <c r="E3240" s="10"/>
      <c r="F3240" s="10"/>
      <c r="G3240" s="10"/>
      <c r="H3240" s="10"/>
    </row>
    <row r="3241" customFormat="false" ht="73.5" hidden="false" customHeight="true" outlineLevel="0" collapsed="false">
      <c r="A3241" s="11" t="s">
        <v>3179</v>
      </c>
      <c r="B3241" s="11"/>
      <c r="C3241" s="11"/>
      <c r="D3241" s="11"/>
      <c r="E3241" s="11"/>
      <c r="F3241" s="11"/>
      <c r="G3241" s="11"/>
      <c r="H3241" s="11"/>
    </row>
    <row r="3242" customFormat="false" ht="54.75" hidden="false" customHeight="true" outlineLevel="0" collapsed="false">
      <c r="A3242" s="12" t="s">
        <v>3180</v>
      </c>
      <c r="B3242" s="12"/>
      <c r="C3242" s="12"/>
      <c r="D3242" s="12"/>
      <c r="E3242" s="12" t="s">
        <v>3181</v>
      </c>
      <c r="F3242" s="12"/>
      <c r="G3242" s="12"/>
      <c r="H3242" s="12"/>
    </row>
    <row r="3243" customFormat="false" ht="42" hidden="false" customHeight="true" outlineLevel="0" collapsed="false">
      <c r="A3243" s="12" t="s">
        <v>3182</v>
      </c>
      <c r="B3243" s="12"/>
      <c r="C3243" s="12"/>
      <c r="D3243" s="12"/>
      <c r="E3243" s="12" t="s">
        <v>3183</v>
      </c>
      <c r="F3243" s="12"/>
      <c r="G3243" s="12"/>
      <c r="H3243" s="12"/>
    </row>
    <row r="3244" customFormat="false" ht="24" hidden="false" customHeight="true" outlineLevel="0" collapsed="false">
      <c r="A3244" s="13" t="s">
        <v>2180</v>
      </c>
      <c r="B3244" s="13"/>
      <c r="C3244" s="13"/>
      <c r="D3244" s="13"/>
      <c r="E3244" s="13"/>
      <c r="F3244" s="13"/>
      <c r="G3244" s="13"/>
      <c r="H3244" s="13"/>
    </row>
    <row r="3245" customFormat="false" ht="7.5" hidden="false" customHeight="true" outlineLevel="0" collapsed="false"/>
    <row r="3246" customFormat="false" ht="24" hidden="false" customHeight="true" outlineLevel="0" collapsed="false">
      <c r="A3246" s="9" t="s">
        <v>3184</v>
      </c>
      <c r="B3246" s="9"/>
      <c r="C3246" s="9"/>
      <c r="D3246" s="9"/>
      <c r="E3246" s="9"/>
      <c r="F3246" s="9"/>
      <c r="G3246" s="9"/>
      <c r="H3246" s="9"/>
    </row>
    <row r="3247" customFormat="false" ht="45.75" hidden="false" customHeight="true" outlineLevel="0" collapsed="false">
      <c r="A3247" s="11" t="s">
        <v>3185</v>
      </c>
      <c r="B3247" s="11"/>
      <c r="C3247" s="11"/>
      <c r="D3247" s="11"/>
      <c r="E3247" s="11"/>
      <c r="F3247" s="11"/>
      <c r="G3247" s="11"/>
      <c r="H3247" s="11"/>
    </row>
    <row r="3248" customFormat="false" ht="42" hidden="false" customHeight="true" outlineLevel="0" collapsed="false">
      <c r="A3248" s="12" t="s">
        <v>3186</v>
      </c>
      <c r="B3248" s="12"/>
      <c r="C3248" s="12"/>
      <c r="D3248" s="12"/>
      <c r="E3248" s="12" t="s">
        <v>3187</v>
      </c>
      <c r="F3248" s="12"/>
      <c r="G3248" s="12"/>
      <c r="H3248" s="12"/>
    </row>
    <row r="3249" customFormat="false" ht="42" hidden="false" customHeight="true" outlineLevel="0" collapsed="false">
      <c r="A3249" s="12" t="s">
        <v>3188</v>
      </c>
      <c r="B3249" s="12"/>
      <c r="C3249" s="12"/>
      <c r="D3249" s="12"/>
      <c r="E3249" s="12" t="s">
        <v>3189</v>
      </c>
      <c r="F3249" s="12"/>
      <c r="G3249" s="12"/>
      <c r="H3249" s="12"/>
    </row>
    <row r="3250" customFormat="false" ht="24" hidden="false" customHeight="true" outlineLevel="0" collapsed="false">
      <c r="A3250" s="13" t="s">
        <v>2559</v>
      </c>
      <c r="B3250" s="13"/>
      <c r="C3250" s="13"/>
      <c r="D3250" s="13"/>
      <c r="E3250" s="13"/>
      <c r="F3250" s="13"/>
      <c r="G3250" s="13"/>
      <c r="H3250" s="13"/>
    </row>
    <row r="3251" customFormat="false" ht="7.5" hidden="false" customHeight="true" outlineLevel="0" collapsed="false"/>
    <row r="3252" customFormat="false" ht="24" hidden="false" customHeight="true" outlineLevel="0" collapsed="false">
      <c r="A3252" s="9" t="s">
        <v>3190</v>
      </c>
      <c r="B3252" s="9"/>
      <c r="C3252" s="9"/>
      <c r="D3252" s="9"/>
      <c r="E3252" s="9"/>
      <c r="F3252" s="9"/>
      <c r="G3252" s="9"/>
      <c r="H3252" s="9"/>
    </row>
    <row r="3253" customFormat="false" ht="45.75" hidden="false" customHeight="true" outlineLevel="0" collapsed="false">
      <c r="A3253" s="11" t="s">
        <v>3191</v>
      </c>
      <c r="B3253" s="11"/>
      <c r="C3253" s="11"/>
      <c r="D3253" s="11"/>
      <c r="E3253" s="11"/>
      <c r="F3253" s="11"/>
      <c r="G3253" s="11"/>
      <c r="H3253" s="11"/>
    </row>
    <row r="3254" customFormat="false" ht="42" hidden="false" customHeight="true" outlineLevel="0" collapsed="false">
      <c r="A3254" s="12" t="s">
        <v>3192</v>
      </c>
      <c r="B3254" s="12"/>
      <c r="C3254" s="12"/>
      <c r="D3254" s="12"/>
      <c r="E3254" s="12" t="s">
        <v>3193</v>
      </c>
      <c r="F3254" s="12"/>
      <c r="G3254" s="12"/>
      <c r="H3254" s="12"/>
    </row>
    <row r="3255" customFormat="false" ht="54.75" hidden="false" customHeight="true" outlineLevel="0" collapsed="false">
      <c r="A3255" s="12" t="s">
        <v>3194</v>
      </c>
      <c r="B3255" s="12"/>
      <c r="C3255" s="12"/>
      <c r="D3255" s="12"/>
      <c r="E3255" s="12" t="s">
        <v>3195</v>
      </c>
      <c r="F3255" s="12"/>
      <c r="G3255" s="12"/>
      <c r="H3255" s="12"/>
    </row>
    <row r="3256" customFormat="false" ht="24" hidden="false" customHeight="true" outlineLevel="0" collapsed="false">
      <c r="A3256" s="13" t="s">
        <v>1502</v>
      </c>
      <c r="B3256" s="13"/>
      <c r="C3256" s="13"/>
      <c r="D3256" s="13"/>
      <c r="E3256" s="13"/>
      <c r="F3256" s="13"/>
      <c r="G3256" s="13"/>
      <c r="H3256" s="13"/>
    </row>
    <row r="3257" customFormat="false" ht="7.5" hidden="false" customHeight="true" outlineLevel="0" collapsed="false"/>
    <row r="3258" customFormat="false" ht="24" hidden="false" customHeight="true" outlineLevel="0" collapsed="false">
      <c r="A3258" s="9" t="s">
        <v>3196</v>
      </c>
      <c r="B3258" s="9"/>
      <c r="C3258" s="9"/>
      <c r="D3258" s="9"/>
      <c r="E3258" s="9"/>
      <c r="F3258" s="9"/>
      <c r="G3258" s="9"/>
      <c r="H3258" s="9"/>
    </row>
    <row r="3259" customFormat="false" ht="45.75" hidden="false" customHeight="true" outlineLevel="0" collapsed="false">
      <c r="A3259" s="11" t="s">
        <v>3197</v>
      </c>
      <c r="B3259" s="11"/>
      <c r="C3259" s="11"/>
      <c r="D3259" s="11"/>
      <c r="E3259" s="11"/>
      <c r="F3259" s="11"/>
      <c r="G3259" s="11"/>
      <c r="H3259" s="11"/>
    </row>
    <row r="3260" customFormat="false" ht="33.75" hidden="false" customHeight="true" outlineLevel="0" collapsed="false">
      <c r="A3260" s="12" t="s">
        <v>3198</v>
      </c>
      <c r="B3260" s="12"/>
      <c r="C3260" s="12"/>
      <c r="D3260" s="12"/>
      <c r="E3260" s="12" t="s">
        <v>3199</v>
      </c>
      <c r="F3260" s="12"/>
      <c r="G3260" s="12"/>
      <c r="H3260" s="12"/>
    </row>
    <row r="3261" customFormat="false" ht="33.75" hidden="false" customHeight="true" outlineLevel="0" collapsed="false">
      <c r="A3261" s="12" t="s">
        <v>3200</v>
      </c>
      <c r="B3261" s="12"/>
      <c r="C3261" s="12"/>
      <c r="D3261" s="12"/>
      <c r="E3261" s="12" t="s">
        <v>1473</v>
      </c>
      <c r="F3261" s="12"/>
      <c r="G3261" s="12"/>
      <c r="H3261" s="12"/>
    </row>
    <row r="3262" customFormat="false" ht="24" hidden="false" customHeight="true" outlineLevel="0" collapsed="false">
      <c r="A3262" s="13" t="s">
        <v>1569</v>
      </c>
      <c r="B3262" s="13"/>
      <c r="C3262" s="13"/>
      <c r="D3262" s="13"/>
      <c r="E3262" s="13"/>
      <c r="F3262" s="13"/>
      <c r="G3262" s="13"/>
      <c r="H3262" s="13"/>
    </row>
    <row r="3263" customFormat="false" ht="7.5" hidden="false" customHeight="true" outlineLevel="0" collapsed="false"/>
  </sheetData>
  <mergeCells count="3763">
    <mergeCell ref="A1:H1"/>
    <mergeCell ref="A2:H2"/>
    <mergeCell ref="A3:H3"/>
    <mergeCell ref="A4:H4"/>
    <mergeCell ref="A5:H5"/>
    <mergeCell ref="A6:D6"/>
    <mergeCell ref="E6:H6"/>
    <mergeCell ref="A7:D7"/>
    <mergeCell ref="E7:H7"/>
    <mergeCell ref="A8:H8"/>
    <mergeCell ref="A10:H10"/>
    <mergeCell ref="A11:H11"/>
    <mergeCell ref="A12:H12"/>
    <mergeCell ref="A13:D13"/>
    <mergeCell ref="E13:H13"/>
    <mergeCell ref="A14:D14"/>
    <mergeCell ref="E14:H14"/>
    <mergeCell ref="A15:H15"/>
    <mergeCell ref="A17:H17"/>
    <mergeCell ref="A18:H18"/>
    <mergeCell ref="A19:H19"/>
    <mergeCell ref="A20:D20"/>
    <mergeCell ref="E20:H20"/>
    <mergeCell ref="A21:D21"/>
    <mergeCell ref="E21:H21"/>
    <mergeCell ref="A22:H22"/>
    <mergeCell ref="A24:H24"/>
    <mergeCell ref="A25:H25"/>
    <mergeCell ref="A26:H26"/>
    <mergeCell ref="A27:D27"/>
    <mergeCell ref="E27:H27"/>
    <mergeCell ref="A28:D28"/>
    <mergeCell ref="E28:H28"/>
    <mergeCell ref="A29:H29"/>
    <mergeCell ref="A31:H31"/>
    <mergeCell ref="A32:H32"/>
    <mergeCell ref="A33:H33"/>
    <mergeCell ref="A34:D34"/>
    <mergeCell ref="E34:H34"/>
    <mergeCell ref="A35:D35"/>
    <mergeCell ref="E35:H35"/>
    <mergeCell ref="A36:H36"/>
    <mergeCell ref="A38:H38"/>
    <mergeCell ref="A39:H39"/>
    <mergeCell ref="A40:H40"/>
    <mergeCell ref="A41:D41"/>
    <mergeCell ref="E41:H41"/>
    <mergeCell ref="A42:D42"/>
    <mergeCell ref="E42:H42"/>
    <mergeCell ref="A43:H43"/>
    <mergeCell ref="A45:H45"/>
    <mergeCell ref="A46:H46"/>
    <mergeCell ref="A47:H47"/>
    <mergeCell ref="A48:D48"/>
    <mergeCell ref="E48:H48"/>
    <mergeCell ref="A49:D49"/>
    <mergeCell ref="E49:H49"/>
    <mergeCell ref="A50:H50"/>
    <mergeCell ref="A52:H52"/>
    <mergeCell ref="A53:H53"/>
    <mergeCell ref="A54:H54"/>
    <mergeCell ref="A55:D55"/>
    <mergeCell ref="E55:H55"/>
    <mergeCell ref="A56:D56"/>
    <mergeCell ref="E56:H56"/>
    <mergeCell ref="A57:H57"/>
    <mergeCell ref="A59:H59"/>
    <mergeCell ref="A60:H60"/>
    <mergeCell ref="A61:H61"/>
    <mergeCell ref="A62:D62"/>
    <mergeCell ref="E62:H62"/>
    <mergeCell ref="A63:D63"/>
    <mergeCell ref="E63:H63"/>
    <mergeCell ref="A64:H64"/>
    <mergeCell ref="A66:H66"/>
    <mergeCell ref="A67:H67"/>
    <mergeCell ref="A68:H68"/>
    <mergeCell ref="A69:D69"/>
    <mergeCell ref="E69:H69"/>
    <mergeCell ref="A70:D70"/>
    <mergeCell ref="E70:H70"/>
    <mergeCell ref="A71:H71"/>
    <mergeCell ref="A73:H73"/>
    <mergeCell ref="A74:H74"/>
    <mergeCell ref="A75:H75"/>
    <mergeCell ref="A76:D76"/>
    <mergeCell ref="E76:H76"/>
    <mergeCell ref="A77:D77"/>
    <mergeCell ref="E77:H77"/>
    <mergeCell ref="A78:H78"/>
    <mergeCell ref="A80:H80"/>
    <mergeCell ref="A81:H81"/>
    <mergeCell ref="A82:H82"/>
    <mergeCell ref="A83:D83"/>
    <mergeCell ref="E83:H83"/>
    <mergeCell ref="A84:D84"/>
    <mergeCell ref="E84:H84"/>
    <mergeCell ref="A85:H85"/>
    <mergeCell ref="A87:H87"/>
    <mergeCell ref="A88:H88"/>
    <mergeCell ref="A89:H89"/>
    <mergeCell ref="A90:D90"/>
    <mergeCell ref="E90:H90"/>
    <mergeCell ref="A91:D91"/>
    <mergeCell ref="E91:H91"/>
    <mergeCell ref="A92:H92"/>
    <mergeCell ref="A94:H94"/>
    <mergeCell ref="A95:H95"/>
    <mergeCell ref="A96:H96"/>
    <mergeCell ref="A97:D97"/>
    <mergeCell ref="E97:H97"/>
    <mergeCell ref="A98:D98"/>
    <mergeCell ref="E98:H98"/>
    <mergeCell ref="A99:H99"/>
    <mergeCell ref="A101:H101"/>
    <mergeCell ref="A102:H102"/>
    <mergeCell ref="A103:H103"/>
    <mergeCell ref="A104:D104"/>
    <mergeCell ref="E104:H104"/>
    <mergeCell ref="A105:D105"/>
    <mergeCell ref="E105:H105"/>
    <mergeCell ref="A106:H106"/>
    <mergeCell ref="A108:H108"/>
    <mergeCell ref="A109:H109"/>
    <mergeCell ref="A110:H110"/>
    <mergeCell ref="A111:D111"/>
    <mergeCell ref="E111:H111"/>
    <mergeCell ref="A112:D112"/>
    <mergeCell ref="E112:H112"/>
    <mergeCell ref="A113:H113"/>
    <mergeCell ref="A115:H115"/>
    <mergeCell ref="A116:H116"/>
    <mergeCell ref="A117:H117"/>
    <mergeCell ref="A118:D118"/>
    <mergeCell ref="E118:H118"/>
    <mergeCell ref="A119:D119"/>
    <mergeCell ref="E119:H119"/>
    <mergeCell ref="A120:H120"/>
    <mergeCell ref="A122:H122"/>
    <mergeCell ref="A123:H123"/>
    <mergeCell ref="A124:H124"/>
    <mergeCell ref="A125:D125"/>
    <mergeCell ref="E125:H125"/>
    <mergeCell ref="A126:D126"/>
    <mergeCell ref="E126:H126"/>
    <mergeCell ref="A127:H127"/>
    <mergeCell ref="A129:H129"/>
    <mergeCell ref="A130:H130"/>
    <mergeCell ref="A131:H131"/>
    <mergeCell ref="A132:D132"/>
    <mergeCell ref="E132:H132"/>
    <mergeCell ref="A133:D133"/>
    <mergeCell ref="E133:H133"/>
    <mergeCell ref="A134:H134"/>
    <mergeCell ref="A136:H136"/>
    <mergeCell ref="A137:H137"/>
    <mergeCell ref="A138:H138"/>
    <mergeCell ref="A139:D139"/>
    <mergeCell ref="E139:H139"/>
    <mergeCell ref="A140:D140"/>
    <mergeCell ref="E140:H140"/>
    <mergeCell ref="A141:H141"/>
    <mergeCell ref="A143:H143"/>
    <mergeCell ref="A144:H144"/>
    <mergeCell ref="A145:H145"/>
    <mergeCell ref="A146:D146"/>
    <mergeCell ref="E146:H146"/>
    <mergeCell ref="A147:D147"/>
    <mergeCell ref="E147:H147"/>
    <mergeCell ref="A148:H148"/>
    <mergeCell ref="A150:H150"/>
    <mergeCell ref="A151:H151"/>
    <mergeCell ref="A152:H152"/>
    <mergeCell ref="A153:D153"/>
    <mergeCell ref="E153:H153"/>
    <mergeCell ref="A154:D154"/>
    <mergeCell ref="E154:H154"/>
    <mergeCell ref="A155:H155"/>
    <mergeCell ref="A157:H157"/>
    <mergeCell ref="A158:H158"/>
    <mergeCell ref="A159:H159"/>
    <mergeCell ref="A160:D160"/>
    <mergeCell ref="E160:H160"/>
    <mergeCell ref="A161:D161"/>
    <mergeCell ref="E161:H161"/>
    <mergeCell ref="A162:H162"/>
    <mergeCell ref="A164:H164"/>
    <mergeCell ref="A165:H165"/>
    <mergeCell ref="A166:H166"/>
    <mergeCell ref="A167:H167"/>
    <mergeCell ref="A168:H168"/>
    <mergeCell ref="A169:D169"/>
    <mergeCell ref="E169:H169"/>
    <mergeCell ref="A170:D170"/>
    <mergeCell ref="E170:H170"/>
    <mergeCell ref="A171:H171"/>
    <mergeCell ref="A173:H173"/>
    <mergeCell ref="A174:H174"/>
    <mergeCell ref="A175:H175"/>
    <mergeCell ref="A176:D176"/>
    <mergeCell ref="E176:H176"/>
    <mergeCell ref="A177:D177"/>
    <mergeCell ref="E177:H177"/>
    <mergeCell ref="A178:H178"/>
    <mergeCell ref="A180:H180"/>
    <mergeCell ref="A181:H181"/>
    <mergeCell ref="A182:H182"/>
    <mergeCell ref="A183:D183"/>
    <mergeCell ref="E183:H183"/>
    <mergeCell ref="A184:D184"/>
    <mergeCell ref="E184:H184"/>
    <mergeCell ref="A185:H185"/>
    <mergeCell ref="A187:H187"/>
    <mergeCell ref="A188:H188"/>
    <mergeCell ref="A189:H189"/>
    <mergeCell ref="A190:D190"/>
    <mergeCell ref="E190:H190"/>
    <mergeCell ref="A191:D191"/>
    <mergeCell ref="E191:H191"/>
    <mergeCell ref="A192:H192"/>
    <mergeCell ref="A194:H194"/>
    <mergeCell ref="A195:H195"/>
    <mergeCell ref="A196:H196"/>
    <mergeCell ref="A197:D197"/>
    <mergeCell ref="E197:H197"/>
    <mergeCell ref="A198:D198"/>
    <mergeCell ref="E198:H198"/>
    <mergeCell ref="A199:H199"/>
    <mergeCell ref="A201:H201"/>
    <mergeCell ref="A202:H202"/>
    <mergeCell ref="A203:H203"/>
    <mergeCell ref="A204:D204"/>
    <mergeCell ref="E204:H204"/>
    <mergeCell ref="A205:D205"/>
    <mergeCell ref="E205:H205"/>
    <mergeCell ref="A206:H206"/>
    <mergeCell ref="A208:H208"/>
    <mergeCell ref="A209:H209"/>
    <mergeCell ref="A210:H210"/>
    <mergeCell ref="A211:D211"/>
    <mergeCell ref="E211:H211"/>
    <mergeCell ref="A212:D212"/>
    <mergeCell ref="E212:H212"/>
    <mergeCell ref="A213:H213"/>
    <mergeCell ref="A215:H215"/>
    <mergeCell ref="A216:H216"/>
    <mergeCell ref="A217:H217"/>
    <mergeCell ref="A218:D218"/>
    <mergeCell ref="E218:H218"/>
    <mergeCell ref="A219:D219"/>
    <mergeCell ref="E219:H219"/>
    <mergeCell ref="A220:H220"/>
    <mergeCell ref="A222:H222"/>
    <mergeCell ref="A223:H223"/>
    <mergeCell ref="A224:H224"/>
    <mergeCell ref="A225:D225"/>
    <mergeCell ref="E225:H225"/>
    <mergeCell ref="A226:D226"/>
    <mergeCell ref="E226:H226"/>
    <mergeCell ref="A227:H227"/>
    <mergeCell ref="A229:H229"/>
    <mergeCell ref="A230:H230"/>
    <mergeCell ref="A231:H231"/>
    <mergeCell ref="A232:D232"/>
    <mergeCell ref="E232:H232"/>
    <mergeCell ref="A233:D233"/>
    <mergeCell ref="E233:H233"/>
    <mergeCell ref="A234:H234"/>
    <mergeCell ref="A236:H236"/>
    <mergeCell ref="A237:H237"/>
    <mergeCell ref="A238:H238"/>
    <mergeCell ref="A239:D239"/>
    <mergeCell ref="E239:H239"/>
    <mergeCell ref="A240:D240"/>
    <mergeCell ref="E240:H240"/>
    <mergeCell ref="A241:H241"/>
    <mergeCell ref="A243:H243"/>
    <mergeCell ref="A244:H244"/>
    <mergeCell ref="A245:H245"/>
    <mergeCell ref="A246:D246"/>
    <mergeCell ref="E246:H246"/>
    <mergeCell ref="A247:D247"/>
    <mergeCell ref="E247:H247"/>
    <mergeCell ref="A248:H248"/>
    <mergeCell ref="A250:H250"/>
    <mergeCell ref="A251:H251"/>
    <mergeCell ref="A252:H252"/>
    <mergeCell ref="A253:D253"/>
    <mergeCell ref="E253:H253"/>
    <mergeCell ref="A254:D254"/>
    <mergeCell ref="E254:H254"/>
    <mergeCell ref="A255:H255"/>
    <mergeCell ref="A257:H257"/>
    <mergeCell ref="A258:H258"/>
    <mergeCell ref="A259:H259"/>
    <mergeCell ref="A260:D260"/>
    <mergeCell ref="E260:H260"/>
    <mergeCell ref="A261:D261"/>
    <mergeCell ref="E261:H261"/>
    <mergeCell ref="A262:H262"/>
    <mergeCell ref="A264:H264"/>
    <mergeCell ref="A265:H265"/>
    <mergeCell ref="A266:H266"/>
    <mergeCell ref="A267:D267"/>
    <mergeCell ref="E267:H267"/>
    <mergeCell ref="A268:D268"/>
    <mergeCell ref="E268:H268"/>
    <mergeCell ref="A269:H269"/>
    <mergeCell ref="A271:H271"/>
    <mergeCell ref="A272:H272"/>
    <mergeCell ref="A273:H273"/>
    <mergeCell ref="A274:D274"/>
    <mergeCell ref="E274:H274"/>
    <mergeCell ref="A275:D275"/>
    <mergeCell ref="E275:H275"/>
    <mergeCell ref="A276:H276"/>
    <mergeCell ref="A278:H278"/>
    <mergeCell ref="A279:H279"/>
    <mergeCell ref="A280:H280"/>
    <mergeCell ref="A281:D281"/>
    <mergeCell ref="E281:H281"/>
    <mergeCell ref="A282:D282"/>
    <mergeCell ref="E282:H282"/>
    <mergeCell ref="A283:H283"/>
    <mergeCell ref="A285:H285"/>
    <mergeCell ref="A286:H286"/>
    <mergeCell ref="A287:H287"/>
    <mergeCell ref="A288:D288"/>
    <mergeCell ref="E288:H288"/>
    <mergeCell ref="A289:D289"/>
    <mergeCell ref="E289:H289"/>
    <mergeCell ref="A290:H290"/>
    <mergeCell ref="A292:H292"/>
    <mergeCell ref="A293:H293"/>
    <mergeCell ref="A294:H294"/>
    <mergeCell ref="A295:D295"/>
    <mergeCell ref="E295:H295"/>
    <mergeCell ref="A296:D296"/>
    <mergeCell ref="E296:H296"/>
    <mergeCell ref="A297:H297"/>
    <mergeCell ref="A299:H299"/>
    <mergeCell ref="A300:H300"/>
    <mergeCell ref="A301:H301"/>
    <mergeCell ref="A302:D302"/>
    <mergeCell ref="E302:H302"/>
    <mergeCell ref="A303:D303"/>
    <mergeCell ref="E303:H303"/>
    <mergeCell ref="A304:H304"/>
    <mergeCell ref="A306:H306"/>
    <mergeCell ref="A307:H307"/>
    <mergeCell ref="A308:H308"/>
    <mergeCell ref="A309:D309"/>
    <mergeCell ref="E309:H309"/>
    <mergeCell ref="A310:D310"/>
    <mergeCell ref="E310:H310"/>
    <mergeCell ref="A311:H311"/>
    <mergeCell ref="A313:H313"/>
    <mergeCell ref="A314:H314"/>
    <mergeCell ref="A315:H315"/>
    <mergeCell ref="A316:D316"/>
    <mergeCell ref="E316:H316"/>
    <mergeCell ref="A317:D317"/>
    <mergeCell ref="E317:H317"/>
    <mergeCell ref="A318:H318"/>
    <mergeCell ref="A320:H320"/>
    <mergeCell ref="A321:H321"/>
    <mergeCell ref="A322:H322"/>
    <mergeCell ref="A323:D323"/>
    <mergeCell ref="E323:H323"/>
    <mergeCell ref="A324:D324"/>
    <mergeCell ref="E324:H324"/>
    <mergeCell ref="A325:H325"/>
    <mergeCell ref="A327:H327"/>
    <mergeCell ref="A328:H328"/>
    <mergeCell ref="A329:H329"/>
    <mergeCell ref="A330:H330"/>
    <mergeCell ref="A331:H331"/>
    <mergeCell ref="A332:D332"/>
    <mergeCell ref="E332:H332"/>
    <mergeCell ref="A333:D333"/>
    <mergeCell ref="E333:H333"/>
    <mergeCell ref="A334:H334"/>
    <mergeCell ref="A336:H336"/>
    <mergeCell ref="A337:H337"/>
    <mergeCell ref="A338:H338"/>
    <mergeCell ref="A339:D339"/>
    <mergeCell ref="E339:H339"/>
    <mergeCell ref="A340:D340"/>
    <mergeCell ref="E340:H340"/>
    <mergeCell ref="A341:H341"/>
    <mergeCell ref="A343:H343"/>
    <mergeCell ref="A344:H344"/>
    <mergeCell ref="A345:H345"/>
    <mergeCell ref="A346:D346"/>
    <mergeCell ref="E346:H346"/>
    <mergeCell ref="A347:D347"/>
    <mergeCell ref="E347:H347"/>
    <mergeCell ref="A348:H348"/>
    <mergeCell ref="A350:H350"/>
    <mergeCell ref="A351:H351"/>
    <mergeCell ref="A352:H352"/>
    <mergeCell ref="A353:D353"/>
    <mergeCell ref="E353:H353"/>
    <mergeCell ref="A354:D354"/>
    <mergeCell ref="E354:H354"/>
    <mergeCell ref="A355:H355"/>
    <mergeCell ref="A357:H357"/>
    <mergeCell ref="A358:H358"/>
    <mergeCell ref="A359:H359"/>
    <mergeCell ref="A360:D360"/>
    <mergeCell ref="E360:H360"/>
    <mergeCell ref="A361:D361"/>
    <mergeCell ref="E361:H361"/>
    <mergeCell ref="A362:H362"/>
    <mergeCell ref="A364:H364"/>
    <mergeCell ref="A365:H365"/>
    <mergeCell ref="A366:H366"/>
    <mergeCell ref="A367:D367"/>
    <mergeCell ref="E367:H367"/>
    <mergeCell ref="A368:D368"/>
    <mergeCell ref="E368:H368"/>
    <mergeCell ref="A369:H369"/>
    <mergeCell ref="A371:H371"/>
    <mergeCell ref="A372:H372"/>
    <mergeCell ref="A373:H373"/>
    <mergeCell ref="A374:D374"/>
    <mergeCell ref="E374:H374"/>
    <mergeCell ref="A375:D375"/>
    <mergeCell ref="E375:H375"/>
    <mergeCell ref="A376:H376"/>
    <mergeCell ref="A378:H378"/>
    <mergeCell ref="A379:H379"/>
    <mergeCell ref="A380:H380"/>
    <mergeCell ref="A381:D381"/>
    <mergeCell ref="E381:H381"/>
    <mergeCell ref="A382:D382"/>
    <mergeCell ref="E382:H382"/>
    <mergeCell ref="A383:H383"/>
    <mergeCell ref="A385:H385"/>
    <mergeCell ref="A386:H386"/>
    <mergeCell ref="A387:H387"/>
    <mergeCell ref="A388:D388"/>
    <mergeCell ref="E388:H388"/>
    <mergeCell ref="A389:D389"/>
    <mergeCell ref="E389:H389"/>
    <mergeCell ref="A390:H390"/>
    <mergeCell ref="A392:H392"/>
    <mergeCell ref="A393:H393"/>
    <mergeCell ref="A394:H394"/>
    <mergeCell ref="A395:D395"/>
    <mergeCell ref="E395:H395"/>
    <mergeCell ref="A396:D396"/>
    <mergeCell ref="E396:H396"/>
    <mergeCell ref="A397:H397"/>
    <mergeCell ref="A399:H399"/>
    <mergeCell ref="A400:H400"/>
    <mergeCell ref="A401:H401"/>
    <mergeCell ref="A402:D402"/>
    <mergeCell ref="E402:H402"/>
    <mergeCell ref="A403:D403"/>
    <mergeCell ref="E403:H403"/>
    <mergeCell ref="A404:H404"/>
    <mergeCell ref="A406:H406"/>
    <mergeCell ref="A407:H407"/>
    <mergeCell ref="A408:H408"/>
    <mergeCell ref="A409:D409"/>
    <mergeCell ref="E409:H409"/>
    <mergeCell ref="A410:D410"/>
    <mergeCell ref="E410:H410"/>
    <mergeCell ref="A411:H411"/>
    <mergeCell ref="A413:H413"/>
    <mergeCell ref="A414:H414"/>
    <mergeCell ref="A415:H415"/>
    <mergeCell ref="A416:D416"/>
    <mergeCell ref="E416:H416"/>
    <mergeCell ref="A417:D417"/>
    <mergeCell ref="E417:H417"/>
    <mergeCell ref="A418:H418"/>
    <mergeCell ref="A420:H420"/>
    <mergeCell ref="A421:H421"/>
    <mergeCell ref="A422:H422"/>
    <mergeCell ref="A423:D423"/>
    <mergeCell ref="E423:H423"/>
    <mergeCell ref="A424:D424"/>
    <mergeCell ref="E424:H424"/>
    <mergeCell ref="A425:H425"/>
    <mergeCell ref="A427:H427"/>
    <mergeCell ref="A428:H428"/>
    <mergeCell ref="A429:H429"/>
    <mergeCell ref="A430:D430"/>
    <mergeCell ref="E430:H430"/>
    <mergeCell ref="A431:D431"/>
    <mergeCell ref="E431:H431"/>
    <mergeCell ref="A432:H432"/>
    <mergeCell ref="A434:H434"/>
    <mergeCell ref="A435:H435"/>
    <mergeCell ref="A436:H436"/>
    <mergeCell ref="A437:D437"/>
    <mergeCell ref="E437:H437"/>
    <mergeCell ref="A438:D438"/>
    <mergeCell ref="E438:H438"/>
    <mergeCell ref="A439:H439"/>
    <mergeCell ref="A441:H441"/>
    <mergeCell ref="A442:H442"/>
    <mergeCell ref="A443:H443"/>
    <mergeCell ref="A444:D444"/>
    <mergeCell ref="E444:H444"/>
    <mergeCell ref="A445:D445"/>
    <mergeCell ref="E445:H445"/>
    <mergeCell ref="A446:H446"/>
    <mergeCell ref="A448:H448"/>
    <mergeCell ref="A449:H449"/>
    <mergeCell ref="A450:H450"/>
    <mergeCell ref="A451:D451"/>
    <mergeCell ref="E451:H451"/>
    <mergeCell ref="A452:D452"/>
    <mergeCell ref="E452:H452"/>
    <mergeCell ref="A453:H453"/>
    <mergeCell ref="A455:H455"/>
    <mergeCell ref="A456:H456"/>
    <mergeCell ref="A457:H457"/>
    <mergeCell ref="A458:D458"/>
    <mergeCell ref="E458:H458"/>
    <mergeCell ref="A459:D459"/>
    <mergeCell ref="E459:H459"/>
    <mergeCell ref="A460:H460"/>
    <mergeCell ref="A462:H462"/>
    <mergeCell ref="A463:H463"/>
    <mergeCell ref="A464:H464"/>
    <mergeCell ref="A465:D465"/>
    <mergeCell ref="E465:H465"/>
    <mergeCell ref="A466:D466"/>
    <mergeCell ref="E466:H466"/>
    <mergeCell ref="A467:H467"/>
    <mergeCell ref="A469:H469"/>
    <mergeCell ref="A470:H470"/>
    <mergeCell ref="A471:H471"/>
    <mergeCell ref="A472:D472"/>
    <mergeCell ref="E472:H472"/>
    <mergeCell ref="A473:D473"/>
    <mergeCell ref="E473:H473"/>
    <mergeCell ref="A474:H474"/>
    <mergeCell ref="A476:H476"/>
    <mergeCell ref="A477:H477"/>
    <mergeCell ref="A478:H478"/>
    <mergeCell ref="A479:D479"/>
    <mergeCell ref="E479:H479"/>
    <mergeCell ref="A480:D480"/>
    <mergeCell ref="E480:H480"/>
    <mergeCell ref="A481:H481"/>
    <mergeCell ref="A483:H483"/>
    <mergeCell ref="A484:H484"/>
    <mergeCell ref="A485:H485"/>
    <mergeCell ref="A486:D486"/>
    <mergeCell ref="E486:H486"/>
    <mergeCell ref="A487:D487"/>
    <mergeCell ref="E487:H487"/>
    <mergeCell ref="A488:H488"/>
    <mergeCell ref="A490:H490"/>
    <mergeCell ref="A491:H491"/>
    <mergeCell ref="A492:H492"/>
    <mergeCell ref="A493:D493"/>
    <mergeCell ref="E493:H493"/>
    <mergeCell ref="A494:D494"/>
    <mergeCell ref="E494:H494"/>
    <mergeCell ref="A495:H495"/>
    <mergeCell ref="A497:H497"/>
    <mergeCell ref="A498:H498"/>
    <mergeCell ref="A499:H499"/>
    <mergeCell ref="A500:H500"/>
    <mergeCell ref="A501:H501"/>
    <mergeCell ref="A502:H502"/>
    <mergeCell ref="A503:D503"/>
    <mergeCell ref="E503:H503"/>
    <mergeCell ref="A504:D504"/>
    <mergeCell ref="E504:H504"/>
    <mergeCell ref="A505:H505"/>
    <mergeCell ref="A507:H507"/>
    <mergeCell ref="A508:H508"/>
    <mergeCell ref="A509:H509"/>
    <mergeCell ref="A510:D510"/>
    <mergeCell ref="E510:H510"/>
    <mergeCell ref="A511:D511"/>
    <mergeCell ref="E511:H511"/>
    <mergeCell ref="A512:H512"/>
    <mergeCell ref="A514:H514"/>
    <mergeCell ref="A515:H515"/>
    <mergeCell ref="A516:H516"/>
    <mergeCell ref="A517:D517"/>
    <mergeCell ref="E517:H517"/>
    <mergeCell ref="A518:D518"/>
    <mergeCell ref="E518:H518"/>
    <mergeCell ref="A519:H519"/>
    <mergeCell ref="A521:H521"/>
    <mergeCell ref="A522:H522"/>
    <mergeCell ref="A523:H523"/>
    <mergeCell ref="A524:D524"/>
    <mergeCell ref="E524:H524"/>
    <mergeCell ref="A525:D525"/>
    <mergeCell ref="E525:H525"/>
    <mergeCell ref="A526:H526"/>
    <mergeCell ref="A528:H528"/>
    <mergeCell ref="A529:H529"/>
    <mergeCell ref="A530:H530"/>
    <mergeCell ref="A531:D531"/>
    <mergeCell ref="E531:H531"/>
    <mergeCell ref="A532:D532"/>
    <mergeCell ref="E532:H532"/>
    <mergeCell ref="A533:H533"/>
    <mergeCell ref="A535:H535"/>
    <mergeCell ref="A536:H536"/>
    <mergeCell ref="A537:H537"/>
    <mergeCell ref="A538:D538"/>
    <mergeCell ref="E538:H538"/>
    <mergeCell ref="A539:D539"/>
    <mergeCell ref="E539:H539"/>
    <mergeCell ref="A540:H540"/>
    <mergeCell ref="A542:H542"/>
    <mergeCell ref="A543:H543"/>
    <mergeCell ref="A544:H544"/>
    <mergeCell ref="A545:D545"/>
    <mergeCell ref="E545:H545"/>
    <mergeCell ref="A546:D546"/>
    <mergeCell ref="E546:H546"/>
    <mergeCell ref="A547:H547"/>
    <mergeCell ref="A549:H549"/>
    <mergeCell ref="A550:H550"/>
    <mergeCell ref="A551:H551"/>
    <mergeCell ref="A552:D552"/>
    <mergeCell ref="E552:H552"/>
    <mergeCell ref="A553:D553"/>
    <mergeCell ref="E553:H553"/>
    <mergeCell ref="A554:H554"/>
    <mergeCell ref="A556:H556"/>
    <mergeCell ref="A557:H557"/>
    <mergeCell ref="A558:H558"/>
    <mergeCell ref="A559:D559"/>
    <mergeCell ref="E559:H559"/>
    <mergeCell ref="A560:D560"/>
    <mergeCell ref="E560:H560"/>
    <mergeCell ref="A561:H561"/>
    <mergeCell ref="A563:H563"/>
    <mergeCell ref="A564:H564"/>
    <mergeCell ref="A565:H565"/>
    <mergeCell ref="A566:D566"/>
    <mergeCell ref="E566:H566"/>
    <mergeCell ref="A567:D567"/>
    <mergeCell ref="E567:H567"/>
    <mergeCell ref="A568:H568"/>
    <mergeCell ref="A570:H570"/>
    <mergeCell ref="A571:H571"/>
    <mergeCell ref="A572:H572"/>
    <mergeCell ref="A573:D573"/>
    <mergeCell ref="E573:H573"/>
    <mergeCell ref="A574:D574"/>
    <mergeCell ref="E574:H574"/>
    <mergeCell ref="A575:H575"/>
    <mergeCell ref="A577:H577"/>
    <mergeCell ref="A578:H578"/>
    <mergeCell ref="A579:H579"/>
    <mergeCell ref="A580:D580"/>
    <mergeCell ref="E580:H580"/>
    <mergeCell ref="A581:D581"/>
    <mergeCell ref="E581:H581"/>
    <mergeCell ref="A582:H582"/>
    <mergeCell ref="A584:H584"/>
    <mergeCell ref="A585:H585"/>
    <mergeCell ref="A586:H586"/>
    <mergeCell ref="A587:D587"/>
    <mergeCell ref="E587:H587"/>
    <mergeCell ref="A588:D588"/>
    <mergeCell ref="E588:H588"/>
    <mergeCell ref="A589:H589"/>
    <mergeCell ref="A591:H591"/>
    <mergeCell ref="A592:H592"/>
    <mergeCell ref="A593:H593"/>
    <mergeCell ref="A594:D594"/>
    <mergeCell ref="E594:H594"/>
    <mergeCell ref="A595:D595"/>
    <mergeCell ref="E595:H595"/>
    <mergeCell ref="A596:H596"/>
    <mergeCell ref="A598:H598"/>
    <mergeCell ref="A599:H599"/>
    <mergeCell ref="A600:H600"/>
    <mergeCell ref="A601:D601"/>
    <mergeCell ref="E601:H601"/>
    <mergeCell ref="A602:D602"/>
    <mergeCell ref="E602:H602"/>
    <mergeCell ref="A603:H603"/>
    <mergeCell ref="A605:H605"/>
    <mergeCell ref="A606:H606"/>
    <mergeCell ref="A607:H607"/>
    <mergeCell ref="A608:D608"/>
    <mergeCell ref="E608:H608"/>
    <mergeCell ref="A609:D609"/>
    <mergeCell ref="E609:H609"/>
    <mergeCell ref="A610:H610"/>
    <mergeCell ref="A612:H612"/>
    <mergeCell ref="A613:H613"/>
    <mergeCell ref="A614:H614"/>
    <mergeCell ref="A615:D615"/>
    <mergeCell ref="E615:H615"/>
    <mergeCell ref="A616:D616"/>
    <mergeCell ref="E616:H616"/>
    <mergeCell ref="A617:H617"/>
    <mergeCell ref="A619:H619"/>
    <mergeCell ref="A620:H620"/>
    <mergeCell ref="A621:H621"/>
    <mergeCell ref="A622:D622"/>
    <mergeCell ref="E622:H622"/>
    <mergeCell ref="A623:D623"/>
    <mergeCell ref="E623:H623"/>
    <mergeCell ref="A624:H624"/>
    <mergeCell ref="A626:H626"/>
    <mergeCell ref="A627:H627"/>
    <mergeCell ref="A628:H628"/>
    <mergeCell ref="A629:D629"/>
    <mergeCell ref="E629:H629"/>
    <mergeCell ref="A630:D630"/>
    <mergeCell ref="E630:H630"/>
    <mergeCell ref="A631:H631"/>
    <mergeCell ref="A633:H633"/>
    <mergeCell ref="A634:H634"/>
    <mergeCell ref="A635:H635"/>
    <mergeCell ref="A636:D636"/>
    <mergeCell ref="E636:H636"/>
    <mergeCell ref="A637:D637"/>
    <mergeCell ref="E637:H637"/>
    <mergeCell ref="A638:H638"/>
    <mergeCell ref="A640:H640"/>
    <mergeCell ref="A641:H641"/>
    <mergeCell ref="A642:H642"/>
    <mergeCell ref="A643:D643"/>
    <mergeCell ref="E643:H643"/>
    <mergeCell ref="A644:D644"/>
    <mergeCell ref="E644:H644"/>
    <mergeCell ref="A645:H645"/>
    <mergeCell ref="A647:H647"/>
    <mergeCell ref="A648:H648"/>
    <mergeCell ref="A649:H649"/>
    <mergeCell ref="A650:D650"/>
    <mergeCell ref="E650:H650"/>
    <mergeCell ref="A651:D651"/>
    <mergeCell ref="E651:H651"/>
    <mergeCell ref="A652:H652"/>
    <mergeCell ref="A654:H654"/>
    <mergeCell ref="A655:H655"/>
    <mergeCell ref="A656:H656"/>
    <mergeCell ref="A657:D657"/>
    <mergeCell ref="E657:H657"/>
    <mergeCell ref="A658:D658"/>
    <mergeCell ref="E658:H658"/>
    <mergeCell ref="A659:H659"/>
    <mergeCell ref="A661:H661"/>
    <mergeCell ref="A662:H662"/>
    <mergeCell ref="A663:H663"/>
    <mergeCell ref="A664:H664"/>
    <mergeCell ref="A665:D665"/>
    <mergeCell ref="E665:H665"/>
    <mergeCell ref="A666:D666"/>
    <mergeCell ref="E666:H666"/>
    <mergeCell ref="A667:H667"/>
    <mergeCell ref="A669:H669"/>
    <mergeCell ref="A670:H670"/>
    <mergeCell ref="A671:H671"/>
    <mergeCell ref="A672:D672"/>
    <mergeCell ref="E672:H672"/>
    <mergeCell ref="A673:D673"/>
    <mergeCell ref="E673:H673"/>
    <mergeCell ref="A674:H674"/>
    <mergeCell ref="A676:H676"/>
    <mergeCell ref="A677:H677"/>
    <mergeCell ref="A678:H678"/>
    <mergeCell ref="A679:D679"/>
    <mergeCell ref="E679:H679"/>
    <mergeCell ref="A680:D680"/>
    <mergeCell ref="E680:H680"/>
    <mergeCell ref="A681:H681"/>
    <mergeCell ref="A683:H683"/>
    <mergeCell ref="A684:H684"/>
    <mergeCell ref="A685:H685"/>
    <mergeCell ref="A686:D686"/>
    <mergeCell ref="E686:H686"/>
    <mergeCell ref="A687:D687"/>
    <mergeCell ref="E687:H687"/>
    <mergeCell ref="A688:H688"/>
    <mergeCell ref="A690:H690"/>
    <mergeCell ref="A691:H691"/>
    <mergeCell ref="A692:H692"/>
    <mergeCell ref="A693:D693"/>
    <mergeCell ref="E693:H693"/>
    <mergeCell ref="A694:D694"/>
    <mergeCell ref="E694:H694"/>
    <mergeCell ref="A695:H695"/>
    <mergeCell ref="A697:H697"/>
    <mergeCell ref="A698:H698"/>
    <mergeCell ref="A699:H699"/>
    <mergeCell ref="A700:H700"/>
    <mergeCell ref="A701:D701"/>
    <mergeCell ref="E701:H701"/>
    <mergeCell ref="A702:D702"/>
    <mergeCell ref="E702:H702"/>
    <mergeCell ref="A703:H703"/>
    <mergeCell ref="A705:H705"/>
    <mergeCell ref="A706:H706"/>
    <mergeCell ref="A707:H707"/>
    <mergeCell ref="A708:D708"/>
    <mergeCell ref="E708:H708"/>
    <mergeCell ref="A709:D709"/>
    <mergeCell ref="E709:H709"/>
    <mergeCell ref="A710:H710"/>
    <mergeCell ref="A712:H712"/>
    <mergeCell ref="A713:H713"/>
    <mergeCell ref="A714:H714"/>
    <mergeCell ref="A715:D715"/>
    <mergeCell ref="E715:H715"/>
    <mergeCell ref="A716:D716"/>
    <mergeCell ref="E716:H716"/>
    <mergeCell ref="A717:H717"/>
    <mergeCell ref="A719:H719"/>
    <mergeCell ref="A720:H720"/>
    <mergeCell ref="A721:H721"/>
    <mergeCell ref="A722:D722"/>
    <mergeCell ref="E722:H722"/>
    <mergeCell ref="A723:D723"/>
    <mergeCell ref="E723:H723"/>
    <mergeCell ref="A724:H724"/>
    <mergeCell ref="A726:H726"/>
    <mergeCell ref="A727:H727"/>
    <mergeCell ref="A728:H728"/>
    <mergeCell ref="A729:D729"/>
    <mergeCell ref="E729:H729"/>
    <mergeCell ref="A730:D730"/>
    <mergeCell ref="E730:H730"/>
    <mergeCell ref="A731:H731"/>
    <mergeCell ref="A733:H733"/>
    <mergeCell ref="A734:H734"/>
    <mergeCell ref="A735:H735"/>
    <mergeCell ref="A736:D736"/>
    <mergeCell ref="E736:H736"/>
    <mergeCell ref="A737:D737"/>
    <mergeCell ref="E737:H737"/>
    <mergeCell ref="A738:H738"/>
    <mergeCell ref="A740:H740"/>
    <mergeCell ref="A741:H741"/>
    <mergeCell ref="A742:H742"/>
    <mergeCell ref="A743:D743"/>
    <mergeCell ref="E743:H743"/>
    <mergeCell ref="A744:D744"/>
    <mergeCell ref="E744:H744"/>
    <mergeCell ref="A745:H745"/>
    <mergeCell ref="A747:H747"/>
    <mergeCell ref="A748:H748"/>
    <mergeCell ref="A749:H749"/>
    <mergeCell ref="A750:D750"/>
    <mergeCell ref="E750:H750"/>
    <mergeCell ref="A751:D751"/>
    <mergeCell ref="E751:H751"/>
    <mergeCell ref="A752:H752"/>
    <mergeCell ref="A754:H754"/>
    <mergeCell ref="A755:H755"/>
    <mergeCell ref="A756:H756"/>
    <mergeCell ref="A757:D757"/>
    <mergeCell ref="E757:H757"/>
    <mergeCell ref="A758:D758"/>
    <mergeCell ref="E758:H758"/>
    <mergeCell ref="A759:H759"/>
    <mergeCell ref="A761:H761"/>
    <mergeCell ref="A762:H762"/>
    <mergeCell ref="A763:H763"/>
    <mergeCell ref="A764:H764"/>
    <mergeCell ref="A765:D765"/>
    <mergeCell ref="E765:H765"/>
    <mergeCell ref="A766:D766"/>
    <mergeCell ref="E766:H766"/>
    <mergeCell ref="A767:H767"/>
    <mergeCell ref="A769:H769"/>
    <mergeCell ref="A770:H770"/>
    <mergeCell ref="A771:H771"/>
    <mergeCell ref="A772:D772"/>
    <mergeCell ref="E772:H772"/>
    <mergeCell ref="A773:D773"/>
    <mergeCell ref="E773:H773"/>
    <mergeCell ref="A774:H774"/>
    <mergeCell ref="A776:H776"/>
    <mergeCell ref="A777:H777"/>
    <mergeCell ref="A778:H778"/>
    <mergeCell ref="A779:D779"/>
    <mergeCell ref="E779:H779"/>
    <mergeCell ref="A780:D780"/>
    <mergeCell ref="E780:H780"/>
    <mergeCell ref="A781:H781"/>
    <mergeCell ref="A783:H783"/>
    <mergeCell ref="A784:H784"/>
    <mergeCell ref="A785:H785"/>
    <mergeCell ref="A786:D786"/>
    <mergeCell ref="E786:H786"/>
    <mergeCell ref="A787:D787"/>
    <mergeCell ref="E787:H787"/>
    <mergeCell ref="A788:H788"/>
    <mergeCell ref="A790:H790"/>
    <mergeCell ref="A791:H791"/>
    <mergeCell ref="A792:H792"/>
    <mergeCell ref="A793:D793"/>
    <mergeCell ref="E793:H793"/>
    <mergeCell ref="A794:D794"/>
    <mergeCell ref="E794:H794"/>
    <mergeCell ref="A795:H795"/>
    <mergeCell ref="A797:H797"/>
    <mergeCell ref="A798:H798"/>
    <mergeCell ref="A799:H799"/>
    <mergeCell ref="A800:D800"/>
    <mergeCell ref="E800:H800"/>
    <mergeCell ref="A801:D801"/>
    <mergeCell ref="E801:H801"/>
    <mergeCell ref="A802:H802"/>
    <mergeCell ref="A804:H804"/>
    <mergeCell ref="A805:H805"/>
    <mergeCell ref="A806:H806"/>
    <mergeCell ref="A807:D807"/>
    <mergeCell ref="E807:H807"/>
    <mergeCell ref="A808:D808"/>
    <mergeCell ref="E808:H808"/>
    <mergeCell ref="A809:H809"/>
    <mergeCell ref="A811:H811"/>
    <mergeCell ref="A812:H812"/>
    <mergeCell ref="A813:H813"/>
    <mergeCell ref="A814:D814"/>
    <mergeCell ref="E814:H814"/>
    <mergeCell ref="A815:D815"/>
    <mergeCell ref="E815:H815"/>
    <mergeCell ref="A816:H816"/>
    <mergeCell ref="A818:H818"/>
    <mergeCell ref="A819:H819"/>
    <mergeCell ref="A820:H820"/>
    <mergeCell ref="A821:D821"/>
    <mergeCell ref="E821:H821"/>
    <mergeCell ref="A822:D822"/>
    <mergeCell ref="E822:H822"/>
    <mergeCell ref="A823:H823"/>
    <mergeCell ref="A825:H825"/>
    <mergeCell ref="A826:H826"/>
    <mergeCell ref="A827:H827"/>
    <mergeCell ref="A828:D828"/>
    <mergeCell ref="E828:H828"/>
    <mergeCell ref="A829:D829"/>
    <mergeCell ref="E829:H829"/>
    <mergeCell ref="A830:H830"/>
    <mergeCell ref="A832:H832"/>
    <mergeCell ref="A833:H833"/>
    <mergeCell ref="A834:H834"/>
    <mergeCell ref="A835:H835"/>
    <mergeCell ref="A836:H836"/>
    <mergeCell ref="A837:H837"/>
    <mergeCell ref="A838:H838"/>
    <mergeCell ref="A839:D839"/>
    <mergeCell ref="E839:H839"/>
    <mergeCell ref="A840:D840"/>
    <mergeCell ref="E840:H840"/>
    <mergeCell ref="A841:H841"/>
    <mergeCell ref="A843:H843"/>
    <mergeCell ref="A844:H844"/>
    <mergeCell ref="A845:H845"/>
    <mergeCell ref="A846:D846"/>
    <mergeCell ref="E846:H846"/>
    <mergeCell ref="A847:D847"/>
    <mergeCell ref="E847:H847"/>
    <mergeCell ref="A848:H848"/>
    <mergeCell ref="A850:H850"/>
    <mergeCell ref="A851:H851"/>
    <mergeCell ref="A852:H852"/>
    <mergeCell ref="A853:D853"/>
    <mergeCell ref="E853:H853"/>
    <mergeCell ref="A854:D854"/>
    <mergeCell ref="E854:H854"/>
    <mergeCell ref="A855:H855"/>
    <mergeCell ref="A857:H857"/>
    <mergeCell ref="A858:H858"/>
    <mergeCell ref="A859:H859"/>
    <mergeCell ref="A860:D860"/>
    <mergeCell ref="E860:H860"/>
    <mergeCell ref="A861:D861"/>
    <mergeCell ref="E861:H861"/>
    <mergeCell ref="A862:H862"/>
    <mergeCell ref="A864:H864"/>
    <mergeCell ref="A865:H865"/>
    <mergeCell ref="A866:H866"/>
    <mergeCell ref="A867:D867"/>
    <mergeCell ref="E867:H867"/>
    <mergeCell ref="A868:D868"/>
    <mergeCell ref="E868:H868"/>
    <mergeCell ref="A869:H869"/>
    <mergeCell ref="A871:H871"/>
    <mergeCell ref="A872:H872"/>
    <mergeCell ref="A873:H873"/>
    <mergeCell ref="A874:D874"/>
    <mergeCell ref="E874:H874"/>
    <mergeCell ref="A875:D875"/>
    <mergeCell ref="E875:H875"/>
    <mergeCell ref="A876:H876"/>
    <mergeCell ref="A878:H878"/>
    <mergeCell ref="A879:H879"/>
    <mergeCell ref="A880:H880"/>
    <mergeCell ref="A881:D881"/>
    <mergeCell ref="E881:H881"/>
    <mergeCell ref="A882:D882"/>
    <mergeCell ref="E882:H882"/>
    <mergeCell ref="A883:H883"/>
    <mergeCell ref="A885:H885"/>
    <mergeCell ref="A886:H886"/>
    <mergeCell ref="A887:H887"/>
    <mergeCell ref="A888:D888"/>
    <mergeCell ref="E888:H888"/>
    <mergeCell ref="A889:D889"/>
    <mergeCell ref="E889:H889"/>
    <mergeCell ref="A890:H890"/>
    <mergeCell ref="A892:H892"/>
    <mergeCell ref="A893:H893"/>
    <mergeCell ref="A894:H894"/>
    <mergeCell ref="A895:D895"/>
    <mergeCell ref="E895:H895"/>
    <mergeCell ref="A896:D896"/>
    <mergeCell ref="E896:H896"/>
    <mergeCell ref="A897:H897"/>
    <mergeCell ref="A899:H899"/>
    <mergeCell ref="A900:H900"/>
    <mergeCell ref="A901:H901"/>
    <mergeCell ref="A902:D902"/>
    <mergeCell ref="E902:H902"/>
    <mergeCell ref="A903:D903"/>
    <mergeCell ref="E903:H903"/>
    <mergeCell ref="A904:H904"/>
    <mergeCell ref="A906:H906"/>
    <mergeCell ref="A907:H907"/>
    <mergeCell ref="A908:H908"/>
    <mergeCell ref="A909:D909"/>
    <mergeCell ref="E909:H909"/>
    <mergeCell ref="A910:D910"/>
    <mergeCell ref="E910:H910"/>
    <mergeCell ref="A911:H911"/>
    <mergeCell ref="A913:H913"/>
    <mergeCell ref="A914:H914"/>
    <mergeCell ref="A915:H915"/>
    <mergeCell ref="A916:D916"/>
    <mergeCell ref="E916:H916"/>
    <mergeCell ref="A917:D917"/>
    <mergeCell ref="E917:H917"/>
    <mergeCell ref="A918:H918"/>
    <mergeCell ref="A920:H920"/>
    <mergeCell ref="A921:H921"/>
    <mergeCell ref="A922:H922"/>
    <mergeCell ref="A923:D923"/>
    <mergeCell ref="E923:H923"/>
    <mergeCell ref="A924:D924"/>
    <mergeCell ref="E924:H924"/>
    <mergeCell ref="A925:H925"/>
    <mergeCell ref="A927:H927"/>
    <mergeCell ref="A928:H928"/>
    <mergeCell ref="A929:H929"/>
    <mergeCell ref="A930:D930"/>
    <mergeCell ref="E930:H930"/>
    <mergeCell ref="A931:D931"/>
    <mergeCell ref="E931:H931"/>
    <mergeCell ref="A932:H932"/>
    <mergeCell ref="A934:H934"/>
    <mergeCell ref="A935:H935"/>
    <mergeCell ref="A936:H936"/>
    <mergeCell ref="A937:D937"/>
    <mergeCell ref="E937:H937"/>
    <mergeCell ref="A938:D938"/>
    <mergeCell ref="E938:H938"/>
    <mergeCell ref="A939:H939"/>
    <mergeCell ref="A941:H941"/>
    <mergeCell ref="A942:H942"/>
    <mergeCell ref="A943:H943"/>
    <mergeCell ref="A944:D944"/>
    <mergeCell ref="E944:H944"/>
    <mergeCell ref="A945:D945"/>
    <mergeCell ref="E945:H945"/>
    <mergeCell ref="A946:H946"/>
    <mergeCell ref="A948:H948"/>
    <mergeCell ref="A949:H949"/>
    <mergeCell ref="A950:H950"/>
    <mergeCell ref="A951:D951"/>
    <mergeCell ref="E951:H951"/>
    <mergeCell ref="A952:D952"/>
    <mergeCell ref="E952:H952"/>
    <mergeCell ref="A953:H953"/>
    <mergeCell ref="A955:H955"/>
    <mergeCell ref="A956:H956"/>
    <mergeCell ref="A957:H957"/>
    <mergeCell ref="A958:D958"/>
    <mergeCell ref="E958:H958"/>
    <mergeCell ref="A959:D959"/>
    <mergeCell ref="E959:H959"/>
    <mergeCell ref="A960:H960"/>
    <mergeCell ref="A962:H962"/>
    <mergeCell ref="A963:H963"/>
    <mergeCell ref="A964:H964"/>
    <mergeCell ref="A965:D965"/>
    <mergeCell ref="E965:H965"/>
    <mergeCell ref="A966:D966"/>
    <mergeCell ref="E966:H966"/>
    <mergeCell ref="A967:H967"/>
    <mergeCell ref="A969:H969"/>
    <mergeCell ref="A970:H970"/>
    <mergeCell ref="A971:H971"/>
    <mergeCell ref="A972:H972"/>
    <mergeCell ref="A973:D973"/>
    <mergeCell ref="E973:H973"/>
    <mergeCell ref="A974:D974"/>
    <mergeCell ref="E974:H974"/>
    <mergeCell ref="A975:H975"/>
    <mergeCell ref="A977:H977"/>
    <mergeCell ref="A978:H978"/>
    <mergeCell ref="A979:H979"/>
    <mergeCell ref="A980:D980"/>
    <mergeCell ref="E980:H980"/>
    <mergeCell ref="A981:D981"/>
    <mergeCell ref="E981:H981"/>
    <mergeCell ref="A982:H982"/>
    <mergeCell ref="A984:H984"/>
    <mergeCell ref="A985:H985"/>
    <mergeCell ref="A986:H986"/>
    <mergeCell ref="A987:D987"/>
    <mergeCell ref="E987:H987"/>
    <mergeCell ref="A988:D988"/>
    <mergeCell ref="E988:H988"/>
    <mergeCell ref="A989:H989"/>
    <mergeCell ref="A991:H991"/>
    <mergeCell ref="A992:H992"/>
    <mergeCell ref="A993:H993"/>
    <mergeCell ref="A994:H994"/>
    <mergeCell ref="A995:H995"/>
    <mergeCell ref="A996:D996"/>
    <mergeCell ref="E996:H996"/>
    <mergeCell ref="A997:D997"/>
    <mergeCell ref="E997:H997"/>
    <mergeCell ref="A998:H998"/>
    <mergeCell ref="A1000:H1000"/>
    <mergeCell ref="A1001:H1001"/>
    <mergeCell ref="A1002:H1002"/>
    <mergeCell ref="A1003:D1003"/>
    <mergeCell ref="E1003:H1003"/>
    <mergeCell ref="A1004:D1004"/>
    <mergeCell ref="E1004:H1004"/>
    <mergeCell ref="A1005:H1005"/>
    <mergeCell ref="A1007:H1007"/>
    <mergeCell ref="A1008:H1008"/>
    <mergeCell ref="A1009:H1009"/>
    <mergeCell ref="A1010:H1010"/>
    <mergeCell ref="A1011:H1011"/>
    <mergeCell ref="A1012:H1012"/>
    <mergeCell ref="A1013:H1013"/>
    <mergeCell ref="A1014:H1014"/>
    <mergeCell ref="A1015:H1015"/>
    <mergeCell ref="A1016:H1016"/>
    <mergeCell ref="A1017:H1017"/>
    <mergeCell ref="A1018:H1018"/>
    <mergeCell ref="A1019:H1019"/>
    <mergeCell ref="A1020:H1020"/>
    <mergeCell ref="A1021:D1021"/>
    <mergeCell ref="E1021:H1021"/>
    <mergeCell ref="A1022:D1022"/>
    <mergeCell ref="E1022:H1022"/>
    <mergeCell ref="A1023:H1023"/>
    <mergeCell ref="A1025:H1025"/>
    <mergeCell ref="A1026:H1026"/>
    <mergeCell ref="A1027:H1027"/>
    <mergeCell ref="A1028:D1028"/>
    <mergeCell ref="E1028:H1028"/>
    <mergeCell ref="A1029:D1029"/>
    <mergeCell ref="E1029:H1029"/>
    <mergeCell ref="A1030:H1030"/>
    <mergeCell ref="A1032:H1032"/>
    <mergeCell ref="A1033:H1033"/>
    <mergeCell ref="A1034:H1034"/>
    <mergeCell ref="A1035:D1035"/>
    <mergeCell ref="E1035:H1035"/>
    <mergeCell ref="A1036:D1036"/>
    <mergeCell ref="E1036:H1036"/>
    <mergeCell ref="A1037:H1037"/>
    <mergeCell ref="A1039:H1039"/>
    <mergeCell ref="A1040:H1040"/>
    <mergeCell ref="A1041:H1041"/>
    <mergeCell ref="A1042:D1042"/>
    <mergeCell ref="E1042:H1042"/>
    <mergeCell ref="A1043:D1043"/>
    <mergeCell ref="E1043:H1043"/>
    <mergeCell ref="A1044:H1044"/>
    <mergeCell ref="A1046:H1046"/>
    <mergeCell ref="A1047:H1047"/>
    <mergeCell ref="A1048:H1048"/>
    <mergeCell ref="A1049:D1049"/>
    <mergeCell ref="E1049:H1049"/>
    <mergeCell ref="A1050:D1050"/>
    <mergeCell ref="E1050:H1050"/>
    <mergeCell ref="A1051:H1051"/>
    <mergeCell ref="A1053:H1053"/>
    <mergeCell ref="A1054:H1054"/>
    <mergeCell ref="A1055:H1055"/>
    <mergeCell ref="A1056:D1056"/>
    <mergeCell ref="E1056:H1056"/>
    <mergeCell ref="A1057:D1057"/>
    <mergeCell ref="E1057:H1057"/>
    <mergeCell ref="A1058:H1058"/>
    <mergeCell ref="A1060:H1060"/>
    <mergeCell ref="A1061:H1061"/>
    <mergeCell ref="A1062:H1062"/>
    <mergeCell ref="A1063:D1063"/>
    <mergeCell ref="E1063:H1063"/>
    <mergeCell ref="A1064:D1064"/>
    <mergeCell ref="E1064:H1064"/>
    <mergeCell ref="A1065:H1065"/>
    <mergeCell ref="A1067:H1067"/>
    <mergeCell ref="A1068:H1068"/>
    <mergeCell ref="A1069:H1069"/>
    <mergeCell ref="A1070:D1070"/>
    <mergeCell ref="E1070:H1070"/>
    <mergeCell ref="A1071:D1071"/>
    <mergeCell ref="E1071:H1071"/>
    <mergeCell ref="A1072:H1072"/>
    <mergeCell ref="A1074:H1074"/>
    <mergeCell ref="A1075:H1075"/>
    <mergeCell ref="A1076:H1076"/>
    <mergeCell ref="A1077:D1077"/>
    <mergeCell ref="E1077:H1077"/>
    <mergeCell ref="A1078:D1078"/>
    <mergeCell ref="E1078:H1078"/>
    <mergeCell ref="A1079:H1079"/>
    <mergeCell ref="A1081:H1081"/>
    <mergeCell ref="A1082:H1082"/>
    <mergeCell ref="A1083:H1083"/>
    <mergeCell ref="A1084:D1084"/>
    <mergeCell ref="E1084:H1084"/>
    <mergeCell ref="A1085:D1085"/>
    <mergeCell ref="E1085:H1085"/>
    <mergeCell ref="A1086:H1086"/>
    <mergeCell ref="A1088:H1088"/>
    <mergeCell ref="A1089:H1089"/>
    <mergeCell ref="A1090:H1090"/>
    <mergeCell ref="A1091:D1091"/>
    <mergeCell ref="E1091:H1091"/>
    <mergeCell ref="A1092:D1092"/>
    <mergeCell ref="E1092:H1092"/>
    <mergeCell ref="A1093:H1093"/>
    <mergeCell ref="A1095:H1095"/>
    <mergeCell ref="A1096:H1096"/>
    <mergeCell ref="A1097:H1097"/>
    <mergeCell ref="A1098:D1098"/>
    <mergeCell ref="E1098:H1098"/>
    <mergeCell ref="A1099:D1099"/>
    <mergeCell ref="E1099:H1099"/>
    <mergeCell ref="A1100:H1100"/>
    <mergeCell ref="A1102:H1102"/>
    <mergeCell ref="A1103:H1103"/>
    <mergeCell ref="A1104:H1104"/>
    <mergeCell ref="A1105:D1105"/>
    <mergeCell ref="E1105:H1105"/>
    <mergeCell ref="A1106:D1106"/>
    <mergeCell ref="E1106:H1106"/>
    <mergeCell ref="A1107:H1107"/>
    <mergeCell ref="A1109:H1109"/>
    <mergeCell ref="A1110:H1110"/>
    <mergeCell ref="A1111:H1111"/>
    <mergeCell ref="A1112:D1112"/>
    <mergeCell ref="E1112:H1112"/>
    <mergeCell ref="A1113:D1113"/>
    <mergeCell ref="E1113:H1113"/>
    <mergeCell ref="A1114:H1114"/>
    <mergeCell ref="A1116:H1116"/>
    <mergeCell ref="A1117:H1117"/>
    <mergeCell ref="A1118:H1118"/>
    <mergeCell ref="A1119:D1119"/>
    <mergeCell ref="E1119:H1119"/>
    <mergeCell ref="A1120:D1120"/>
    <mergeCell ref="E1120:H1120"/>
    <mergeCell ref="A1121:H1121"/>
    <mergeCell ref="A1123:H1123"/>
    <mergeCell ref="A1124:H1124"/>
    <mergeCell ref="A1125:H1125"/>
    <mergeCell ref="A1126:D1126"/>
    <mergeCell ref="E1126:H1126"/>
    <mergeCell ref="A1127:D1127"/>
    <mergeCell ref="E1127:H1127"/>
    <mergeCell ref="A1128:H1128"/>
    <mergeCell ref="A1130:H1130"/>
    <mergeCell ref="A1131:H1131"/>
    <mergeCell ref="A1132:H1132"/>
    <mergeCell ref="A1133:D1133"/>
    <mergeCell ref="E1133:H1133"/>
    <mergeCell ref="A1134:D1134"/>
    <mergeCell ref="E1134:H1134"/>
    <mergeCell ref="A1135:H1135"/>
    <mergeCell ref="A1137:H1137"/>
    <mergeCell ref="A1138:H1138"/>
    <mergeCell ref="A1139:H1139"/>
    <mergeCell ref="A1140:D1140"/>
    <mergeCell ref="E1140:H1140"/>
    <mergeCell ref="A1141:D1141"/>
    <mergeCell ref="E1141:H1141"/>
    <mergeCell ref="A1142:H1142"/>
    <mergeCell ref="A1144:H1144"/>
    <mergeCell ref="A1145:H1145"/>
    <mergeCell ref="A1146:H1146"/>
    <mergeCell ref="A1147:D1147"/>
    <mergeCell ref="E1147:H1147"/>
    <mergeCell ref="A1148:D1148"/>
    <mergeCell ref="E1148:H1148"/>
    <mergeCell ref="A1149:H1149"/>
    <mergeCell ref="A1151:H1151"/>
    <mergeCell ref="A1152:H1152"/>
    <mergeCell ref="A1153:H1153"/>
    <mergeCell ref="A1154:D1154"/>
    <mergeCell ref="E1154:H1154"/>
    <mergeCell ref="A1155:D1155"/>
    <mergeCell ref="E1155:H1155"/>
    <mergeCell ref="A1156:H1156"/>
    <mergeCell ref="A1158:H1158"/>
    <mergeCell ref="A1159:H1159"/>
    <mergeCell ref="A1160:H1160"/>
    <mergeCell ref="A1161:D1161"/>
    <mergeCell ref="E1161:H1161"/>
    <mergeCell ref="A1162:D1162"/>
    <mergeCell ref="E1162:H1162"/>
    <mergeCell ref="A1163:H1163"/>
    <mergeCell ref="A1165:H1165"/>
    <mergeCell ref="A1166:H1166"/>
    <mergeCell ref="A1167:H1167"/>
    <mergeCell ref="A1168:D1168"/>
    <mergeCell ref="E1168:H1168"/>
    <mergeCell ref="A1169:D1169"/>
    <mergeCell ref="E1169:H1169"/>
    <mergeCell ref="A1170:H1170"/>
    <mergeCell ref="A1172:H1172"/>
    <mergeCell ref="A1173:H1173"/>
    <mergeCell ref="A1174:H1174"/>
    <mergeCell ref="A1175:D1175"/>
    <mergeCell ref="E1175:H1175"/>
    <mergeCell ref="A1176:D1176"/>
    <mergeCell ref="E1176:H1176"/>
    <mergeCell ref="A1177:H1177"/>
    <mergeCell ref="A1179:H1179"/>
    <mergeCell ref="A1180:H1180"/>
    <mergeCell ref="A1181:H1181"/>
    <mergeCell ref="A1182:D1182"/>
    <mergeCell ref="E1182:H1182"/>
    <mergeCell ref="A1183:D1183"/>
    <mergeCell ref="E1183:H1183"/>
    <mergeCell ref="A1184:H1184"/>
    <mergeCell ref="A1186:H1186"/>
    <mergeCell ref="A1187:H1187"/>
    <mergeCell ref="A1188:H1188"/>
    <mergeCell ref="A1189:H1189"/>
    <mergeCell ref="A1190:D1190"/>
    <mergeCell ref="E1190:H1190"/>
    <mergeCell ref="A1191:D1191"/>
    <mergeCell ref="E1191:H1191"/>
    <mergeCell ref="A1192:H1192"/>
    <mergeCell ref="A1194:H1194"/>
    <mergeCell ref="A1195:H1195"/>
    <mergeCell ref="A1196:H1196"/>
    <mergeCell ref="A1197:D1197"/>
    <mergeCell ref="E1197:H1197"/>
    <mergeCell ref="A1198:D1198"/>
    <mergeCell ref="E1198:H1198"/>
    <mergeCell ref="A1199:H1199"/>
    <mergeCell ref="A1201:H1201"/>
    <mergeCell ref="A1202:H1202"/>
    <mergeCell ref="A1203:H1203"/>
    <mergeCell ref="A1204:D1204"/>
    <mergeCell ref="E1204:H1204"/>
    <mergeCell ref="A1205:D1205"/>
    <mergeCell ref="E1205:H1205"/>
    <mergeCell ref="A1206:H1206"/>
    <mergeCell ref="A1208:H1208"/>
    <mergeCell ref="A1209:H1209"/>
    <mergeCell ref="A1210:H1210"/>
    <mergeCell ref="A1211:D1211"/>
    <mergeCell ref="E1211:H1211"/>
    <mergeCell ref="A1212:D1212"/>
    <mergeCell ref="E1212:H1212"/>
    <mergeCell ref="A1213:H1213"/>
    <mergeCell ref="A1215:H1215"/>
    <mergeCell ref="A1216:H1216"/>
    <mergeCell ref="A1217:H1217"/>
    <mergeCell ref="A1218:D1218"/>
    <mergeCell ref="E1218:H1218"/>
    <mergeCell ref="A1219:D1219"/>
    <mergeCell ref="E1219:H1219"/>
    <mergeCell ref="A1220:H1220"/>
    <mergeCell ref="A1222:H1222"/>
    <mergeCell ref="A1223:H1223"/>
    <mergeCell ref="A1224:H1224"/>
    <mergeCell ref="A1225:D1225"/>
    <mergeCell ref="E1225:H1225"/>
    <mergeCell ref="A1226:D1226"/>
    <mergeCell ref="E1226:H1226"/>
    <mergeCell ref="A1227:H1227"/>
    <mergeCell ref="A1229:H1229"/>
    <mergeCell ref="A1230:H1230"/>
    <mergeCell ref="A1231:H1231"/>
    <mergeCell ref="A1232:D1232"/>
    <mergeCell ref="E1232:H1232"/>
    <mergeCell ref="A1233:D1233"/>
    <mergeCell ref="E1233:H1233"/>
    <mergeCell ref="A1234:H1234"/>
    <mergeCell ref="A1236:H1236"/>
    <mergeCell ref="A1237:H1237"/>
    <mergeCell ref="A1238:H1238"/>
    <mergeCell ref="A1239:D1239"/>
    <mergeCell ref="E1239:H1239"/>
    <mergeCell ref="A1240:D1240"/>
    <mergeCell ref="E1240:H1240"/>
    <mergeCell ref="A1241:H1241"/>
    <mergeCell ref="A1243:H1243"/>
    <mergeCell ref="A1244:H1244"/>
    <mergeCell ref="A1245:H1245"/>
    <mergeCell ref="A1246:D1246"/>
    <mergeCell ref="E1246:H1246"/>
    <mergeCell ref="A1247:D1247"/>
    <mergeCell ref="E1247:H1247"/>
    <mergeCell ref="A1248:H1248"/>
    <mergeCell ref="A1250:H1250"/>
    <mergeCell ref="A1251:H1251"/>
    <mergeCell ref="A1252:H1252"/>
    <mergeCell ref="A1253:D1253"/>
    <mergeCell ref="E1253:H1253"/>
    <mergeCell ref="A1254:D1254"/>
    <mergeCell ref="E1254:H1254"/>
    <mergeCell ref="A1255:H1255"/>
    <mergeCell ref="A1257:H1257"/>
    <mergeCell ref="A1258:H1258"/>
    <mergeCell ref="A1259:H1259"/>
    <mergeCell ref="A1260:D1260"/>
    <mergeCell ref="E1260:H1260"/>
    <mergeCell ref="A1261:D1261"/>
    <mergeCell ref="E1261:H1261"/>
    <mergeCell ref="A1262:H1262"/>
    <mergeCell ref="A1264:H1264"/>
    <mergeCell ref="A1265:H1265"/>
    <mergeCell ref="A1266:H1266"/>
    <mergeCell ref="A1267:D1267"/>
    <mergeCell ref="E1267:H1267"/>
    <mergeCell ref="A1268:D1268"/>
    <mergeCell ref="E1268:H1268"/>
    <mergeCell ref="A1269:H1269"/>
    <mergeCell ref="A1271:H1271"/>
    <mergeCell ref="A1272:H1272"/>
    <mergeCell ref="A1273:H1273"/>
    <mergeCell ref="A1274:H1274"/>
    <mergeCell ref="A1275:H1275"/>
    <mergeCell ref="A1276:D1276"/>
    <mergeCell ref="E1276:H1276"/>
    <mergeCell ref="A1277:D1277"/>
    <mergeCell ref="E1277:H1277"/>
    <mergeCell ref="A1278:H1278"/>
    <mergeCell ref="A1280:H1280"/>
    <mergeCell ref="A1281:H1281"/>
    <mergeCell ref="A1282:H1282"/>
    <mergeCell ref="A1283:D1283"/>
    <mergeCell ref="E1283:H1283"/>
    <mergeCell ref="A1284:D1284"/>
    <mergeCell ref="E1284:H1284"/>
    <mergeCell ref="A1285:H1285"/>
    <mergeCell ref="A1287:H1287"/>
    <mergeCell ref="A1288:H1288"/>
    <mergeCell ref="A1289:H1289"/>
    <mergeCell ref="A1290:D1290"/>
    <mergeCell ref="E1290:H1290"/>
    <mergeCell ref="A1291:D1291"/>
    <mergeCell ref="E1291:H1291"/>
    <mergeCell ref="A1292:H1292"/>
    <mergeCell ref="A1294:H1294"/>
    <mergeCell ref="A1295:H1295"/>
    <mergeCell ref="A1296:H1296"/>
    <mergeCell ref="A1297:D1297"/>
    <mergeCell ref="E1297:H1297"/>
    <mergeCell ref="A1298:D1298"/>
    <mergeCell ref="E1298:H1298"/>
    <mergeCell ref="A1299:H1299"/>
    <mergeCell ref="A1301:H1301"/>
    <mergeCell ref="A1302:H1302"/>
    <mergeCell ref="A1303:H1303"/>
    <mergeCell ref="A1304:D1304"/>
    <mergeCell ref="E1304:H1304"/>
    <mergeCell ref="A1305:D1305"/>
    <mergeCell ref="E1305:H1305"/>
    <mergeCell ref="A1306:H1306"/>
    <mergeCell ref="A1308:H1308"/>
    <mergeCell ref="A1309:H1309"/>
    <mergeCell ref="A1310:H1310"/>
    <mergeCell ref="A1311:D1311"/>
    <mergeCell ref="E1311:H1311"/>
    <mergeCell ref="A1312:D1312"/>
    <mergeCell ref="E1312:H1312"/>
    <mergeCell ref="A1313:H1313"/>
    <mergeCell ref="A1315:H1315"/>
    <mergeCell ref="A1316:H1316"/>
    <mergeCell ref="A1317:H1317"/>
    <mergeCell ref="A1318:H1318"/>
    <mergeCell ref="A1319:D1319"/>
    <mergeCell ref="E1319:H1319"/>
    <mergeCell ref="A1320:D1320"/>
    <mergeCell ref="E1320:H1320"/>
    <mergeCell ref="A1321:H1321"/>
    <mergeCell ref="A1323:H1323"/>
    <mergeCell ref="A1324:H1324"/>
    <mergeCell ref="A1325:H1325"/>
    <mergeCell ref="A1326:D1326"/>
    <mergeCell ref="E1326:H1326"/>
    <mergeCell ref="A1327:D1327"/>
    <mergeCell ref="E1327:H1327"/>
    <mergeCell ref="A1328:H1328"/>
    <mergeCell ref="A1330:H1330"/>
    <mergeCell ref="A1331:H1331"/>
    <mergeCell ref="A1332:H1332"/>
    <mergeCell ref="A1333:H1333"/>
    <mergeCell ref="A1334:H1334"/>
    <mergeCell ref="A1335:D1335"/>
    <mergeCell ref="E1335:H1335"/>
    <mergeCell ref="A1336:D1336"/>
    <mergeCell ref="E1336:H1336"/>
    <mergeCell ref="A1337:H1337"/>
    <mergeCell ref="A1339:H1339"/>
    <mergeCell ref="A1340:H1340"/>
    <mergeCell ref="A1341:D1341"/>
    <mergeCell ref="E1341:H1341"/>
    <mergeCell ref="A1342:D1342"/>
    <mergeCell ref="E1342:H1342"/>
    <mergeCell ref="A1343:H1343"/>
    <mergeCell ref="A1345:H1345"/>
    <mergeCell ref="A1346:H1346"/>
    <mergeCell ref="A1347:D1347"/>
    <mergeCell ref="E1347:H1347"/>
    <mergeCell ref="A1348:D1348"/>
    <mergeCell ref="E1348:H1348"/>
    <mergeCell ref="A1349:H1349"/>
    <mergeCell ref="A1351:H1351"/>
    <mergeCell ref="A1352:H1352"/>
    <mergeCell ref="A1353:D1353"/>
    <mergeCell ref="E1353:H1353"/>
    <mergeCell ref="A1354:D1354"/>
    <mergeCell ref="E1354:H1354"/>
    <mergeCell ref="A1355:H1355"/>
    <mergeCell ref="A1357:H1357"/>
    <mergeCell ref="A1358:H1358"/>
    <mergeCell ref="A1359:D1359"/>
    <mergeCell ref="E1359:H1359"/>
    <mergeCell ref="A1360:D1360"/>
    <mergeCell ref="E1360:H1360"/>
    <mergeCell ref="A1361:H1361"/>
    <mergeCell ref="A1363:H1363"/>
    <mergeCell ref="A1364:H1364"/>
    <mergeCell ref="A1365:D1365"/>
    <mergeCell ref="E1365:H1365"/>
    <mergeCell ref="A1366:D1366"/>
    <mergeCell ref="E1366:H1366"/>
    <mergeCell ref="A1367:H1367"/>
    <mergeCell ref="A1369:H1369"/>
    <mergeCell ref="A1370:H1370"/>
    <mergeCell ref="A1371:D1371"/>
    <mergeCell ref="E1371:H1371"/>
    <mergeCell ref="A1372:D1372"/>
    <mergeCell ref="E1372:H1372"/>
    <mergeCell ref="A1373:H1373"/>
    <mergeCell ref="A1375:H1375"/>
    <mergeCell ref="A1376:H1376"/>
    <mergeCell ref="A1377:H1377"/>
    <mergeCell ref="A1378:H1378"/>
    <mergeCell ref="A1379:D1379"/>
    <mergeCell ref="E1379:H1379"/>
    <mergeCell ref="A1380:D1380"/>
    <mergeCell ref="E1380:H1380"/>
    <mergeCell ref="A1381:H1381"/>
    <mergeCell ref="A1383:H1383"/>
    <mergeCell ref="A1384:H1384"/>
    <mergeCell ref="A1385:D1385"/>
    <mergeCell ref="E1385:H1385"/>
    <mergeCell ref="A1386:D1386"/>
    <mergeCell ref="E1386:H1386"/>
    <mergeCell ref="A1387:H1387"/>
    <mergeCell ref="A1389:H1389"/>
    <mergeCell ref="A1390:H1390"/>
    <mergeCell ref="A1391:D1391"/>
    <mergeCell ref="E1391:H1391"/>
    <mergeCell ref="A1392:D1392"/>
    <mergeCell ref="E1392:H1392"/>
    <mergeCell ref="A1393:H1393"/>
    <mergeCell ref="A1395:H1395"/>
    <mergeCell ref="A1396:H1396"/>
    <mergeCell ref="A1397:D1397"/>
    <mergeCell ref="E1397:H1397"/>
    <mergeCell ref="A1398:D1398"/>
    <mergeCell ref="E1398:H1398"/>
    <mergeCell ref="A1399:H1399"/>
    <mergeCell ref="A1401:H1401"/>
    <mergeCell ref="A1402:H1402"/>
    <mergeCell ref="A1403:D1403"/>
    <mergeCell ref="E1403:H1403"/>
    <mergeCell ref="A1404:D1404"/>
    <mergeCell ref="E1404:H1404"/>
    <mergeCell ref="A1405:H1405"/>
    <mergeCell ref="A1407:H1407"/>
    <mergeCell ref="A1408:H1408"/>
    <mergeCell ref="A1409:D1409"/>
    <mergeCell ref="E1409:H1409"/>
    <mergeCell ref="A1410:D1410"/>
    <mergeCell ref="E1410:H1410"/>
    <mergeCell ref="A1411:H1411"/>
    <mergeCell ref="A1413:H1413"/>
    <mergeCell ref="A1414:H1414"/>
    <mergeCell ref="A1415:H1415"/>
    <mergeCell ref="A1416:H1416"/>
    <mergeCell ref="A1417:H1417"/>
    <mergeCell ref="A1418:D1418"/>
    <mergeCell ref="E1418:H1418"/>
    <mergeCell ref="A1419:D1419"/>
    <mergeCell ref="E1419:H1419"/>
    <mergeCell ref="A1420:H1420"/>
    <mergeCell ref="A1422:H1422"/>
    <mergeCell ref="A1423:H1423"/>
    <mergeCell ref="A1424:D1424"/>
    <mergeCell ref="E1424:H1424"/>
    <mergeCell ref="A1425:D1425"/>
    <mergeCell ref="E1425:H1425"/>
    <mergeCell ref="A1426:H1426"/>
    <mergeCell ref="A1428:H1428"/>
    <mergeCell ref="A1429:H1429"/>
    <mergeCell ref="A1430:D1430"/>
    <mergeCell ref="E1430:H1430"/>
    <mergeCell ref="A1431:D1431"/>
    <mergeCell ref="E1431:H1431"/>
    <mergeCell ref="A1432:H1432"/>
    <mergeCell ref="A1434:H1434"/>
    <mergeCell ref="A1435:H1435"/>
    <mergeCell ref="A1436:D1436"/>
    <mergeCell ref="E1436:H1436"/>
    <mergeCell ref="A1437:D1437"/>
    <mergeCell ref="E1437:H1437"/>
    <mergeCell ref="A1438:H1438"/>
    <mergeCell ref="A1440:H1440"/>
    <mergeCell ref="A1441:H1441"/>
    <mergeCell ref="A1442:D1442"/>
    <mergeCell ref="E1442:H1442"/>
    <mergeCell ref="A1443:D1443"/>
    <mergeCell ref="E1443:H1443"/>
    <mergeCell ref="A1444:H1444"/>
    <mergeCell ref="A1446:H1446"/>
    <mergeCell ref="A1447:H1447"/>
    <mergeCell ref="A1448:D1448"/>
    <mergeCell ref="E1448:H1448"/>
    <mergeCell ref="A1449:D1449"/>
    <mergeCell ref="E1449:H1449"/>
    <mergeCell ref="A1450:H1450"/>
    <mergeCell ref="A1452:H1452"/>
    <mergeCell ref="A1453:H1453"/>
    <mergeCell ref="A1454:D1454"/>
    <mergeCell ref="E1454:H1454"/>
    <mergeCell ref="A1455:D1455"/>
    <mergeCell ref="E1455:H1455"/>
    <mergeCell ref="A1456:H1456"/>
    <mergeCell ref="A1458:H1458"/>
    <mergeCell ref="A1459:H1459"/>
    <mergeCell ref="A1460:D1460"/>
    <mergeCell ref="E1460:H1460"/>
    <mergeCell ref="A1461:D1461"/>
    <mergeCell ref="E1461:H1461"/>
    <mergeCell ref="A1462:H1462"/>
    <mergeCell ref="A1464:H1464"/>
    <mergeCell ref="A1465:H1465"/>
    <mergeCell ref="A1466:D1466"/>
    <mergeCell ref="E1466:H1466"/>
    <mergeCell ref="A1467:D1467"/>
    <mergeCell ref="E1467:H1467"/>
    <mergeCell ref="A1468:H1468"/>
    <mergeCell ref="A1470:H1470"/>
    <mergeCell ref="A1471:H1471"/>
    <mergeCell ref="A1472:D1472"/>
    <mergeCell ref="E1472:H1472"/>
    <mergeCell ref="A1473:D1473"/>
    <mergeCell ref="E1473:H1473"/>
    <mergeCell ref="A1474:H1474"/>
    <mergeCell ref="A1476:H1476"/>
    <mergeCell ref="A1477:H1477"/>
    <mergeCell ref="A1478:D1478"/>
    <mergeCell ref="E1478:H1478"/>
    <mergeCell ref="A1479:D1479"/>
    <mergeCell ref="E1479:H1479"/>
    <mergeCell ref="A1480:H1480"/>
    <mergeCell ref="A1482:H1482"/>
    <mergeCell ref="A1483:H1483"/>
    <mergeCell ref="A1484:D1484"/>
    <mergeCell ref="E1484:H1484"/>
    <mergeCell ref="A1485:D1485"/>
    <mergeCell ref="E1485:H1485"/>
    <mergeCell ref="A1486:H1486"/>
    <mergeCell ref="A1488:H1488"/>
    <mergeCell ref="A1489:H1489"/>
    <mergeCell ref="A1490:D1490"/>
    <mergeCell ref="E1490:H1490"/>
    <mergeCell ref="A1491:D1491"/>
    <mergeCell ref="E1491:H1491"/>
    <mergeCell ref="A1492:H1492"/>
    <mergeCell ref="A1494:H1494"/>
    <mergeCell ref="A1495:H1495"/>
    <mergeCell ref="A1496:D1496"/>
    <mergeCell ref="E1496:H1496"/>
    <mergeCell ref="A1497:D1497"/>
    <mergeCell ref="E1497:H1497"/>
    <mergeCell ref="A1498:H1498"/>
    <mergeCell ref="A1500:H1500"/>
    <mergeCell ref="A1501:H1501"/>
    <mergeCell ref="A1502:D1502"/>
    <mergeCell ref="E1502:H1502"/>
    <mergeCell ref="A1503:D1503"/>
    <mergeCell ref="E1503:H1503"/>
    <mergeCell ref="A1504:H1504"/>
    <mergeCell ref="A1506:H1506"/>
    <mergeCell ref="A1507:H1507"/>
    <mergeCell ref="A1508:D1508"/>
    <mergeCell ref="E1508:H1508"/>
    <mergeCell ref="A1509:D1509"/>
    <mergeCell ref="E1509:H1509"/>
    <mergeCell ref="A1510:H1510"/>
    <mergeCell ref="A1512:H1512"/>
    <mergeCell ref="A1513:H1513"/>
    <mergeCell ref="A1514:D1514"/>
    <mergeCell ref="E1514:H1514"/>
    <mergeCell ref="A1515:D1515"/>
    <mergeCell ref="E1515:H1515"/>
    <mergeCell ref="A1516:H1516"/>
    <mergeCell ref="A1518:H1518"/>
    <mergeCell ref="A1519:H1519"/>
    <mergeCell ref="A1520:D1520"/>
    <mergeCell ref="E1520:H1520"/>
    <mergeCell ref="A1521:D1521"/>
    <mergeCell ref="E1521:H1521"/>
    <mergeCell ref="A1522:H1522"/>
    <mergeCell ref="A1524:H1524"/>
    <mergeCell ref="A1525:H1525"/>
    <mergeCell ref="A1526:H1526"/>
    <mergeCell ref="A1527:H1527"/>
    <mergeCell ref="A1528:D1528"/>
    <mergeCell ref="E1528:H1528"/>
    <mergeCell ref="A1529:D1529"/>
    <mergeCell ref="E1529:H1529"/>
    <mergeCell ref="A1530:H1530"/>
    <mergeCell ref="A1532:H1532"/>
    <mergeCell ref="A1533:H1533"/>
    <mergeCell ref="A1534:D1534"/>
    <mergeCell ref="E1534:H1534"/>
    <mergeCell ref="A1535:D1535"/>
    <mergeCell ref="E1535:H1535"/>
    <mergeCell ref="A1536:H1536"/>
    <mergeCell ref="A1538:H1538"/>
    <mergeCell ref="A1539:H1539"/>
    <mergeCell ref="A1540:D1540"/>
    <mergeCell ref="E1540:H1540"/>
    <mergeCell ref="A1541:D1541"/>
    <mergeCell ref="E1541:H1541"/>
    <mergeCell ref="A1542:H1542"/>
    <mergeCell ref="A1544:H1544"/>
    <mergeCell ref="A1545:H1545"/>
    <mergeCell ref="A1546:D1546"/>
    <mergeCell ref="E1546:H1546"/>
    <mergeCell ref="A1547:D1547"/>
    <mergeCell ref="E1547:H1547"/>
    <mergeCell ref="A1548:H1548"/>
    <mergeCell ref="A1550:H1550"/>
    <mergeCell ref="A1551:H1551"/>
    <mergeCell ref="A1552:D1552"/>
    <mergeCell ref="E1552:H1552"/>
    <mergeCell ref="A1553:D1553"/>
    <mergeCell ref="E1553:H1553"/>
    <mergeCell ref="A1554:H1554"/>
    <mergeCell ref="A1556:H1556"/>
    <mergeCell ref="A1557:H1557"/>
    <mergeCell ref="A1558:D1558"/>
    <mergeCell ref="E1558:H1558"/>
    <mergeCell ref="A1559:D1559"/>
    <mergeCell ref="E1559:H1559"/>
    <mergeCell ref="A1560:H1560"/>
    <mergeCell ref="A1562:H1562"/>
    <mergeCell ref="A1563:H1563"/>
    <mergeCell ref="A1564:D1564"/>
    <mergeCell ref="E1564:H1564"/>
    <mergeCell ref="A1565:D1565"/>
    <mergeCell ref="E1565:H1565"/>
    <mergeCell ref="A1566:H1566"/>
    <mergeCell ref="A1568:H1568"/>
    <mergeCell ref="A1569:H1569"/>
    <mergeCell ref="A1570:D1570"/>
    <mergeCell ref="E1570:H1570"/>
    <mergeCell ref="A1571:D1571"/>
    <mergeCell ref="E1571:H1571"/>
    <mergeCell ref="A1572:H1572"/>
    <mergeCell ref="A1574:H1574"/>
    <mergeCell ref="A1575:H1575"/>
    <mergeCell ref="A1576:D1576"/>
    <mergeCell ref="E1576:H1576"/>
    <mergeCell ref="A1577:D1577"/>
    <mergeCell ref="E1577:H1577"/>
    <mergeCell ref="A1578:H1578"/>
    <mergeCell ref="A1580:H1580"/>
    <mergeCell ref="A1581:H1581"/>
    <mergeCell ref="A1582:D1582"/>
    <mergeCell ref="E1582:H1582"/>
    <mergeCell ref="A1583:D1583"/>
    <mergeCell ref="E1583:H1583"/>
    <mergeCell ref="A1584:H1584"/>
    <mergeCell ref="A1586:H1586"/>
    <mergeCell ref="A1587:H1587"/>
    <mergeCell ref="A1588:D1588"/>
    <mergeCell ref="E1588:H1588"/>
    <mergeCell ref="A1589:D1589"/>
    <mergeCell ref="E1589:H1589"/>
    <mergeCell ref="A1590:H1590"/>
    <mergeCell ref="A1592:H1592"/>
    <mergeCell ref="A1593:H1593"/>
    <mergeCell ref="A1594:H1594"/>
    <mergeCell ref="A1595:H1595"/>
    <mergeCell ref="A1596:H1596"/>
    <mergeCell ref="A1597:D1597"/>
    <mergeCell ref="E1597:H1597"/>
    <mergeCell ref="A1598:D1598"/>
    <mergeCell ref="E1598:H1598"/>
    <mergeCell ref="A1599:H1599"/>
    <mergeCell ref="A1601:H1601"/>
    <mergeCell ref="A1602:H1602"/>
    <mergeCell ref="A1603:D1603"/>
    <mergeCell ref="E1603:H1603"/>
    <mergeCell ref="A1604:D1604"/>
    <mergeCell ref="E1604:H1604"/>
    <mergeCell ref="A1605:H1605"/>
    <mergeCell ref="A1607:H1607"/>
    <mergeCell ref="A1608:H1608"/>
    <mergeCell ref="A1609:D1609"/>
    <mergeCell ref="E1609:H1609"/>
    <mergeCell ref="A1610:D1610"/>
    <mergeCell ref="E1610:H1610"/>
    <mergeCell ref="A1611:H1611"/>
    <mergeCell ref="A1613:H1613"/>
    <mergeCell ref="A1614:H1614"/>
    <mergeCell ref="A1615:D1615"/>
    <mergeCell ref="E1615:H1615"/>
    <mergeCell ref="A1616:D1616"/>
    <mergeCell ref="E1616:H1616"/>
    <mergeCell ref="A1617:H1617"/>
    <mergeCell ref="A1619:H1619"/>
    <mergeCell ref="A1620:H1620"/>
    <mergeCell ref="A1621:D1621"/>
    <mergeCell ref="E1621:H1621"/>
    <mergeCell ref="A1622:D1622"/>
    <mergeCell ref="E1622:H1622"/>
    <mergeCell ref="A1623:H1623"/>
    <mergeCell ref="A1625:H1625"/>
    <mergeCell ref="A1626:H1626"/>
    <mergeCell ref="A1627:D1627"/>
    <mergeCell ref="E1627:H1627"/>
    <mergeCell ref="A1628:D1628"/>
    <mergeCell ref="E1628:H1628"/>
    <mergeCell ref="A1629:H1629"/>
    <mergeCell ref="A1631:H1631"/>
    <mergeCell ref="A1632:H1632"/>
    <mergeCell ref="A1633:D1633"/>
    <mergeCell ref="E1633:H1633"/>
    <mergeCell ref="A1634:D1634"/>
    <mergeCell ref="E1634:H1634"/>
    <mergeCell ref="A1635:H1635"/>
    <mergeCell ref="A1637:H1637"/>
    <mergeCell ref="A1638:H1638"/>
    <mergeCell ref="A1639:D1639"/>
    <mergeCell ref="E1639:H1639"/>
    <mergeCell ref="A1640:D1640"/>
    <mergeCell ref="E1640:H1640"/>
    <mergeCell ref="A1641:H1641"/>
    <mergeCell ref="A1643:H1643"/>
    <mergeCell ref="A1644:H1644"/>
    <mergeCell ref="A1645:D1645"/>
    <mergeCell ref="E1645:H1645"/>
    <mergeCell ref="A1646:D1646"/>
    <mergeCell ref="E1646:H1646"/>
    <mergeCell ref="A1647:H1647"/>
    <mergeCell ref="A1649:H1649"/>
    <mergeCell ref="A1650:H1650"/>
    <mergeCell ref="A1651:D1651"/>
    <mergeCell ref="E1651:H1651"/>
    <mergeCell ref="A1652:D1652"/>
    <mergeCell ref="E1652:H1652"/>
    <mergeCell ref="A1653:H1653"/>
    <mergeCell ref="A1655:H1655"/>
    <mergeCell ref="A1656:H1656"/>
    <mergeCell ref="A1657:D1657"/>
    <mergeCell ref="E1657:H1657"/>
    <mergeCell ref="A1658:D1658"/>
    <mergeCell ref="E1658:H1658"/>
    <mergeCell ref="A1659:H1659"/>
    <mergeCell ref="A1661:H1661"/>
    <mergeCell ref="A1662:H1662"/>
    <mergeCell ref="A1663:D1663"/>
    <mergeCell ref="E1663:H1663"/>
    <mergeCell ref="A1664:D1664"/>
    <mergeCell ref="E1664:H1664"/>
    <mergeCell ref="A1665:H1665"/>
    <mergeCell ref="A1667:H1667"/>
    <mergeCell ref="A1668:H1668"/>
    <mergeCell ref="A1669:H1669"/>
    <mergeCell ref="A1670:D1670"/>
    <mergeCell ref="E1670:H1670"/>
    <mergeCell ref="A1671:D1671"/>
    <mergeCell ref="E1671:H1671"/>
    <mergeCell ref="A1672:H1672"/>
    <mergeCell ref="A1674:H1674"/>
    <mergeCell ref="A1675:H1675"/>
    <mergeCell ref="A1676:D1676"/>
    <mergeCell ref="E1676:H1676"/>
    <mergeCell ref="A1677:D1677"/>
    <mergeCell ref="E1677:H1677"/>
    <mergeCell ref="A1678:H1678"/>
    <mergeCell ref="A1680:H1680"/>
    <mergeCell ref="A1681:H1681"/>
    <mergeCell ref="A1682:D1682"/>
    <mergeCell ref="E1682:H1682"/>
    <mergeCell ref="A1683:D1683"/>
    <mergeCell ref="E1683:H1683"/>
    <mergeCell ref="A1684:H1684"/>
    <mergeCell ref="A1686:H1686"/>
    <mergeCell ref="A1687:H1687"/>
    <mergeCell ref="A1688:D1688"/>
    <mergeCell ref="E1688:H1688"/>
    <mergeCell ref="A1689:D1689"/>
    <mergeCell ref="E1689:H1689"/>
    <mergeCell ref="A1690:H1690"/>
    <mergeCell ref="A1692:H1692"/>
    <mergeCell ref="A1693:H1693"/>
    <mergeCell ref="A1694:D1694"/>
    <mergeCell ref="E1694:H1694"/>
    <mergeCell ref="A1695:D1695"/>
    <mergeCell ref="E1695:H1695"/>
    <mergeCell ref="A1696:H1696"/>
    <mergeCell ref="A1698:H1698"/>
    <mergeCell ref="A1699:H1699"/>
    <mergeCell ref="A1700:D1700"/>
    <mergeCell ref="E1700:H1700"/>
    <mergeCell ref="A1701:D1701"/>
    <mergeCell ref="E1701:H1701"/>
    <mergeCell ref="A1702:H1702"/>
    <mergeCell ref="A1704:H1704"/>
    <mergeCell ref="A1705:H1705"/>
    <mergeCell ref="A1706:D1706"/>
    <mergeCell ref="E1706:H1706"/>
    <mergeCell ref="A1707:D1707"/>
    <mergeCell ref="E1707:H1707"/>
    <mergeCell ref="A1708:H1708"/>
    <mergeCell ref="A1710:H1710"/>
    <mergeCell ref="A1711:H1711"/>
    <mergeCell ref="A1712:D1712"/>
    <mergeCell ref="E1712:H1712"/>
    <mergeCell ref="A1713:D1713"/>
    <mergeCell ref="E1713:H1713"/>
    <mergeCell ref="A1714:H1714"/>
    <mergeCell ref="A1716:H1716"/>
    <mergeCell ref="A1717:H1717"/>
    <mergeCell ref="A1718:D1718"/>
    <mergeCell ref="E1718:H1718"/>
    <mergeCell ref="A1719:D1719"/>
    <mergeCell ref="E1719:H1719"/>
    <mergeCell ref="A1720:H1720"/>
    <mergeCell ref="A1722:H1722"/>
    <mergeCell ref="A1723:H1723"/>
    <mergeCell ref="A1724:D1724"/>
    <mergeCell ref="E1724:H1724"/>
    <mergeCell ref="A1725:D1725"/>
    <mergeCell ref="E1725:H1725"/>
    <mergeCell ref="A1726:H1726"/>
    <mergeCell ref="A1728:H1728"/>
    <mergeCell ref="A1729:H1729"/>
    <mergeCell ref="A1730:D1730"/>
    <mergeCell ref="E1730:H1730"/>
    <mergeCell ref="A1731:D1731"/>
    <mergeCell ref="E1731:H1731"/>
    <mergeCell ref="A1732:H1732"/>
    <mergeCell ref="A1734:H1734"/>
    <mergeCell ref="A1735:H1735"/>
    <mergeCell ref="A1736:D1736"/>
    <mergeCell ref="E1736:H1736"/>
    <mergeCell ref="A1737:D1737"/>
    <mergeCell ref="E1737:H1737"/>
    <mergeCell ref="A1738:H1738"/>
    <mergeCell ref="A1740:H1740"/>
    <mergeCell ref="A1741:H1741"/>
    <mergeCell ref="A1742:D1742"/>
    <mergeCell ref="E1742:H1742"/>
    <mergeCell ref="A1743:D1743"/>
    <mergeCell ref="E1743:H1743"/>
    <mergeCell ref="A1744:H1744"/>
    <mergeCell ref="A1746:H1746"/>
    <mergeCell ref="A1747:H1747"/>
    <mergeCell ref="A1748:D1748"/>
    <mergeCell ref="E1748:H1748"/>
    <mergeCell ref="A1749:D1749"/>
    <mergeCell ref="E1749:H1749"/>
    <mergeCell ref="A1750:H1750"/>
    <mergeCell ref="A1752:H1752"/>
    <mergeCell ref="A1753:H1753"/>
    <mergeCell ref="A1754:D1754"/>
    <mergeCell ref="E1754:H1754"/>
    <mergeCell ref="A1755:D1755"/>
    <mergeCell ref="E1755:H1755"/>
    <mergeCell ref="A1756:H1756"/>
    <mergeCell ref="A1758:H1758"/>
    <mergeCell ref="A1759:H1759"/>
    <mergeCell ref="A1760:D1760"/>
    <mergeCell ref="E1760:H1760"/>
    <mergeCell ref="A1761:D1761"/>
    <mergeCell ref="E1761:H1761"/>
    <mergeCell ref="A1762:H1762"/>
    <mergeCell ref="A1764:H1764"/>
    <mergeCell ref="A1765:H1765"/>
    <mergeCell ref="A1766:D1766"/>
    <mergeCell ref="E1766:H1766"/>
    <mergeCell ref="A1767:D1767"/>
    <mergeCell ref="E1767:H1767"/>
    <mergeCell ref="A1768:H1768"/>
    <mergeCell ref="A1770:H1770"/>
    <mergeCell ref="A1771:H1771"/>
    <mergeCell ref="A1772:D1772"/>
    <mergeCell ref="E1772:H1772"/>
    <mergeCell ref="A1773:D1773"/>
    <mergeCell ref="E1773:H1773"/>
    <mergeCell ref="A1774:H1774"/>
    <mergeCell ref="A1776:H1776"/>
    <mergeCell ref="A1777:H1777"/>
    <mergeCell ref="A1778:H1778"/>
    <mergeCell ref="A1779:H1779"/>
    <mergeCell ref="A1780:H1780"/>
    <mergeCell ref="A1781:D1781"/>
    <mergeCell ref="E1781:H1781"/>
    <mergeCell ref="A1782:D1782"/>
    <mergeCell ref="E1782:H1782"/>
    <mergeCell ref="A1783:H1783"/>
    <mergeCell ref="A1785:H1785"/>
    <mergeCell ref="A1786:H1786"/>
    <mergeCell ref="A1787:D1787"/>
    <mergeCell ref="E1787:H1787"/>
    <mergeCell ref="A1788:D1788"/>
    <mergeCell ref="E1788:H1788"/>
    <mergeCell ref="A1789:H1789"/>
    <mergeCell ref="A1791:H1791"/>
    <mergeCell ref="A1792:H1792"/>
    <mergeCell ref="A1793:D1793"/>
    <mergeCell ref="E1793:H1793"/>
    <mergeCell ref="A1794:D1794"/>
    <mergeCell ref="E1794:H1794"/>
    <mergeCell ref="A1795:H1795"/>
    <mergeCell ref="A1797:H1797"/>
    <mergeCell ref="A1798:H1798"/>
    <mergeCell ref="A1799:D1799"/>
    <mergeCell ref="E1799:H1799"/>
    <mergeCell ref="A1800:D1800"/>
    <mergeCell ref="E1800:H1800"/>
    <mergeCell ref="A1801:H1801"/>
    <mergeCell ref="A1803:H1803"/>
    <mergeCell ref="A1804:H1804"/>
    <mergeCell ref="A1805:D1805"/>
    <mergeCell ref="E1805:H1805"/>
    <mergeCell ref="A1806:D1806"/>
    <mergeCell ref="E1806:H1806"/>
    <mergeCell ref="A1807:H1807"/>
    <mergeCell ref="A1809:H1809"/>
    <mergeCell ref="A1810:H1810"/>
    <mergeCell ref="A1811:D1811"/>
    <mergeCell ref="E1811:H1811"/>
    <mergeCell ref="A1812:D1812"/>
    <mergeCell ref="E1812:H1812"/>
    <mergeCell ref="A1813:H1813"/>
    <mergeCell ref="A1815:H1815"/>
    <mergeCell ref="A1816:H1816"/>
    <mergeCell ref="A1817:D1817"/>
    <mergeCell ref="E1817:H1817"/>
    <mergeCell ref="A1818:D1818"/>
    <mergeCell ref="E1818:H1818"/>
    <mergeCell ref="A1819:H1819"/>
    <mergeCell ref="A1821:H1821"/>
    <mergeCell ref="A1822:H1822"/>
    <mergeCell ref="A1823:D1823"/>
    <mergeCell ref="E1823:H1823"/>
    <mergeCell ref="A1824:D1824"/>
    <mergeCell ref="E1824:H1824"/>
    <mergeCell ref="A1825:H1825"/>
    <mergeCell ref="A1827:H1827"/>
    <mergeCell ref="A1828:H1828"/>
    <mergeCell ref="A1829:D1829"/>
    <mergeCell ref="E1829:H1829"/>
    <mergeCell ref="A1830:D1830"/>
    <mergeCell ref="E1830:H1830"/>
    <mergeCell ref="A1831:H1831"/>
    <mergeCell ref="A1833:H1833"/>
    <mergeCell ref="A1834:H1834"/>
    <mergeCell ref="A1835:D1835"/>
    <mergeCell ref="E1835:H1835"/>
    <mergeCell ref="A1836:D1836"/>
    <mergeCell ref="E1836:H1836"/>
    <mergeCell ref="A1837:H1837"/>
    <mergeCell ref="A1839:H1839"/>
    <mergeCell ref="A1840:H1840"/>
    <mergeCell ref="A1841:D1841"/>
    <mergeCell ref="E1841:H1841"/>
    <mergeCell ref="A1842:D1842"/>
    <mergeCell ref="E1842:H1842"/>
    <mergeCell ref="A1843:H1843"/>
    <mergeCell ref="A1845:H1845"/>
    <mergeCell ref="A1846:H1846"/>
    <mergeCell ref="A1847:D1847"/>
    <mergeCell ref="E1847:H1847"/>
    <mergeCell ref="A1848:D1848"/>
    <mergeCell ref="E1848:H1848"/>
    <mergeCell ref="A1849:H1849"/>
    <mergeCell ref="A1851:H1851"/>
    <mergeCell ref="A1852:H1852"/>
    <mergeCell ref="A1853:D1853"/>
    <mergeCell ref="E1853:H1853"/>
    <mergeCell ref="A1854:D1854"/>
    <mergeCell ref="E1854:H1854"/>
    <mergeCell ref="A1855:H1855"/>
    <mergeCell ref="A1857:H1857"/>
    <mergeCell ref="A1858:H1858"/>
    <mergeCell ref="A1859:H1859"/>
    <mergeCell ref="A1860:H1860"/>
    <mergeCell ref="A1861:D1861"/>
    <mergeCell ref="E1861:H1861"/>
    <mergeCell ref="A1862:D1862"/>
    <mergeCell ref="E1862:H1862"/>
    <mergeCell ref="A1863:H1863"/>
    <mergeCell ref="A1865:H1865"/>
    <mergeCell ref="A1866:H1866"/>
    <mergeCell ref="A1867:D1867"/>
    <mergeCell ref="E1867:H1867"/>
    <mergeCell ref="A1868:D1868"/>
    <mergeCell ref="E1868:H1868"/>
    <mergeCell ref="A1869:H1869"/>
    <mergeCell ref="A1871:H1871"/>
    <mergeCell ref="A1872:H1872"/>
    <mergeCell ref="A1873:D1873"/>
    <mergeCell ref="E1873:H1873"/>
    <mergeCell ref="A1874:D1874"/>
    <mergeCell ref="E1874:H1874"/>
    <mergeCell ref="A1875:H1875"/>
    <mergeCell ref="A1877:H1877"/>
    <mergeCell ref="A1878:H1878"/>
    <mergeCell ref="A1879:D1879"/>
    <mergeCell ref="E1879:H1879"/>
    <mergeCell ref="A1880:D1880"/>
    <mergeCell ref="E1880:H1880"/>
    <mergeCell ref="A1881:H1881"/>
    <mergeCell ref="A1883:H1883"/>
    <mergeCell ref="A1884:H1884"/>
    <mergeCell ref="A1885:D1885"/>
    <mergeCell ref="E1885:H1885"/>
    <mergeCell ref="A1886:D1886"/>
    <mergeCell ref="E1886:H1886"/>
    <mergeCell ref="A1887:H1887"/>
    <mergeCell ref="A1889:H1889"/>
    <mergeCell ref="A1890:H1890"/>
    <mergeCell ref="A1891:D1891"/>
    <mergeCell ref="E1891:H1891"/>
    <mergeCell ref="A1892:D1892"/>
    <mergeCell ref="E1892:H1892"/>
    <mergeCell ref="A1893:H1893"/>
    <mergeCell ref="A1895:H1895"/>
    <mergeCell ref="A1896:H1896"/>
    <mergeCell ref="A1897:D1897"/>
    <mergeCell ref="E1897:H1897"/>
    <mergeCell ref="A1898:D1898"/>
    <mergeCell ref="E1898:H1898"/>
    <mergeCell ref="A1899:H1899"/>
    <mergeCell ref="A1901:H1901"/>
    <mergeCell ref="A1902:H1902"/>
    <mergeCell ref="A1903:D1903"/>
    <mergeCell ref="E1903:H1903"/>
    <mergeCell ref="A1904:D1904"/>
    <mergeCell ref="E1904:H1904"/>
    <mergeCell ref="A1905:H1905"/>
    <mergeCell ref="A1907:H1907"/>
    <mergeCell ref="A1908:H1908"/>
    <mergeCell ref="A1909:D1909"/>
    <mergeCell ref="E1909:H1909"/>
    <mergeCell ref="A1910:D1910"/>
    <mergeCell ref="E1910:H1910"/>
    <mergeCell ref="A1911:H1911"/>
    <mergeCell ref="A1913:H1913"/>
    <mergeCell ref="A1914:H1914"/>
    <mergeCell ref="A1915:D1915"/>
    <mergeCell ref="E1915:H1915"/>
    <mergeCell ref="A1916:D1916"/>
    <mergeCell ref="E1916:H1916"/>
    <mergeCell ref="A1917:H1917"/>
    <mergeCell ref="A1919:H1919"/>
    <mergeCell ref="A1920:H1920"/>
    <mergeCell ref="A1921:D1921"/>
    <mergeCell ref="E1921:H1921"/>
    <mergeCell ref="A1922:D1922"/>
    <mergeCell ref="E1922:H1922"/>
    <mergeCell ref="A1923:H1923"/>
    <mergeCell ref="A1925:H1925"/>
    <mergeCell ref="A1926:H1926"/>
    <mergeCell ref="A1927:D1927"/>
    <mergeCell ref="E1927:H1927"/>
    <mergeCell ref="A1928:D1928"/>
    <mergeCell ref="E1928:H1928"/>
    <mergeCell ref="A1929:H1929"/>
    <mergeCell ref="A1931:H1931"/>
    <mergeCell ref="A1932:H1932"/>
    <mergeCell ref="A1933:D1933"/>
    <mergeCell ref="E1933:H1933"/>
    <mergeCell ref="A1934:D1934"/>
    <mergeCell ref="E1934:H1934"/>
    <mergeCell ref="A1935:H1935"/>
    <mergeCell ref="A1937:H1937"/>
    <mergeCell ref="A1938:H1938"/>
    <mergeCell ref="A1939:D1939"/>
    <mergeCell ref="E1939:H1939"/>
    <mergeCell ref="A1940:D1940"/>
    <mergeCell ref="E1940:H1940"/>
    <mergeCell ref="A1941:H1941"/>
    <mergeCell ref="A1943:H1943"/>
    <mergeCell ref="A1944:H1944"/>
    <mergeCell ref="A1945:D1945"/>
    <mergeCell ref="E1945:H1945"/>
    <mergeCell ref="A1946:D1946"/>
    <mergeCell ref="E1946:H1946"/>
    <mergeCell ref="A1947:H1947"/>
    <mergeCell ref="A1949:H1949"/>
    <mergeCell ref="A1950:H1950"/>
    <mergeCell ref="A1951:D1951"/>
    <mergeCell ref="E1951:H1951"/>
    <mergeCell ref="A1952:D1952"/>
    <mergeCell ref="E1952:H1952"/>
    <mergeCell ref="A1953:H1953"/>
    <mergeCell ref="A1955:H1955"/>
    <mergeCell ref="A1956:H1956"/>
    <mergeCell ref="A1957:D1957"/>
    <mergeCell ref="E1957:H1957"/>
    <mergeCell ref="A1958:D1958"/>
    <mergeCell ref="E1958:H1958"/>
    <mergeCell ref="A1959:H1959"/>
    <mergeCell ref="A1961:H1961"/>
    <mergeCell ref="A1962:H1962"/>
    <mergeCell ref="A1963:D1963"/>
    <mergeCell ref="E1963:H1963"/>
    <mergeCell ref="A1964:D1964"/>
    <mergeCell ref="E1964:H1964"/>
    <mergeCell ref="A1965:H1965"/>
    <mergeCell ref="A1967:H1967"/>
    <mergeCell ref="A1968:H1968"/>
    <mergeCell ref="A1969:D1969"/>
    <mergeCell ref="E1969:H1969"/>
    <mergeCell ref="A1970:D1970"/>
    <mergeCell ref="E1970:H1970"/>
    <mergeCell ref="A1971:H1971"/>
    <mergeCell ref="A1973:H1973"/>
    <mergeCell ref="A1974:H1974"/>
    <mergeCell ref="A1975:D1975"/>
    <mergeCell ref="E1975:H1975"/>
    <mergeCell ref="A1976:D1976"/>
    <mergeCell ref="E1976:H1976"/>
    <mergeCell ref="A1977:H1977"/>
    <mergeCell ref="A1979:H1979"/>
    <mergeCell ref="A1980:H1980"/>
    <mergeCell ref="A1981:D1981"/>
    <mergeCell ref="E1981:H1981"/>
    <mergeCell ref="A1982:D1982"/>
    <mergeCell ref="E1982:H1982"/>
    <mergeCell ref="A1983:H1983"/>
    <mergeCell ref="A1985:H1985"/>
    <mergeCell ref="A1986:H1986"/>
    <mergeCell ref="A1987:D1987"/>
    <mergeCell ref="E1987:H1987"/>
    <mergeCell ref="A1988:D1988"/>
    <mergeCell ref="E1988:H1988"/>
    <mergeCell ref="A1989:H1989"/>
    <mergeCell ref="A1991:H1991"/>
    <mergeCell ref="A1992:H1992"/>
    <mergeCell ref="A1993:D1993"/>
    <mergeCell ref="E1993:H1993"/>
    <mergeCell ref="A1994:D1994"/>
    <mergeCell ref="E1994:H1994"/>
    <mergeCell ref="A1995:H1995"/>
    <mergeCell ref="A1997:H1997"/>
    <mergeCell ref="A1998:H1998"/>
    <mergeCell ref="A1999:D1999"/>
    <mergeCell ref="E1999:H1999"/>
    <mergeCell ref="A2000:D2000"/>
    <mergeCell ref="E2000:H2000"/>
    <mergeCell ref="A2001:H2001"/>
    <mergeCell ref="A2003:H2003"/>
    <mergeCell ref="A2004:H2004"/>
    <mergeCell ref="A2005:D2005"/>
    <mergeCell ref="E2005:H2005"/>
    <mergeCell ref="A2006:D2006"/>
    <mergeCell ref="E2006:H2006"/>
    <mergeCell ref="A2007:H2007"/>
    <mergeCell ref="A2009:H2009"/>
    <mergeCell ref="A2010:H2010"/>
    <mergeCell ref="A2011:D2011"/>
    <mergeCell ref="E2011:H2011"/>
    <mergeCell ref="A2012:D2012"/>
    <mergeCell ref="E2012:H2012"/>
    <mergeCell ref="A2013:H2013"/>
    <mergeCell ref="A2015:H2015"/>
    <mergeCell ref="A2016:H2016"/>
    <mergeCell ref="A2017:D2017"/>
    <mergeCell ref="E2017:H2017"/>
    <mergeCell ref="A2018:D2018"/>
    <mergeCell ref="E2018:H2018"/>
    <mergeCell ref="A2019:H2019"/>
    <mergeCell ref="A2021:H2021"/>
    <mergeCell ref="A2022:H2022"/>
    <mergeCell ref="A2023:D2023"/>
    <mergeCell ref="E2023:H2023"/>
    <mergeCell ref="A2024:D2024"/>
    <mergeCell ref="E2024:H2024"/>
    <mergeCell ref="A2025:H2025"/>
    <mergeCell ref="A2027:H2027"/>
    <mergeCell ref="A2028:H2028"/>
    <mergeCell ref="A2029:D2029"/>
    <mergeCell ref="E2029:H2029"/>
    <mergeCell ref="A2030:D2030"/>
    <mergeCell ref="E2030:H2030"/>
    <mergeCell ref="A2031:H2031"/>
    <mergeCell ref="A2033:H2033"/>
    <mergeCell ref="A2034:H2034"/>
    <mergeCell ref="A2035:D2035"/>
    <mergeCell ref="E2035:H2035"/>
    <mergeCell ref="A2036:D2036"/>
    <mergeCell ref="E2036:H2036"/>
    <mergeCell ref="A2037:H2037"/>
    <mergeCell ref="A2039:H2039"/>
    <mergeCell ref="A2040:H2040"/>
    <mergeCell ref="A2041:D2041"/>
    <mergeCell ref="E2041:H2041"/>
    <mergeCell ref="A2042:D2042"/>
    <mergeCell ref="E2042:H2042"/>
    <mergeCell ref="A2043:H2043"/>
    <mergeCell ref="A2045:H2045"/>
    <mergeCell ref="A2046:H2046"/>
    <mergeCell ref="A2047:D2047"/>
    <mergeCell ref="E2047:H2047"/>
    <mergeCell ref="A2048:D2048"/>
    <mergeCell ref="E2048:H2048"/>
    <mergeCell ref="A2049:H2049"/>
    <mergeCell ref="A2051:H2051"/>
    <mergeCell ref="A2052:H2052"/>
    <mergeCell ref="A2053:D2053"/>
    <mergeCell ref="E2053:H2053"/>
    <mergeCell ref="A2054:D2054"/>
    <mergeCell ref="E2054:H2054"/>
    <mergeCell ref="A2055:H2055"/>
    <mergeCell ref="A2057:H2057"/>
    <mergeCell ref="A2058:H2058"/>
    <mergeCell ref="A2059:D2059"/>
    <mergeCell ref="E2059:H2059"/>
    <mergeCell ref="A2060:D2060"/>
    <mergeCell ref="E2060:H2060"/>
    <mergeCell ref="A2061:H2061"/>
    <mergeCell ref="A2063:H2063"/>
    <mergeCell ref="A2064:H2064"/>
    <mergeCell ref="A2065:D2065"/>
    <mergeCell ref="E2065:H2065"/>
    <mergeCell ref="A2066:D2066"/>
    <mergeCell ref="E2066:H2066"/>
    <mergeCell ref="A2067:H2067"/>
    <mergeCell ref="A2069:H2069"/>
    <mergeCell ref="A2070:H2070"/>
    <mergeCell ref="A2071:D2071"/>
    <mergeCell ref="E2071:H2071"/>
    <mergeCell ref="A2072:D2072"/>
    <mergeCell ref="E2072:H2072"/>
    <mergeCell ref="A2073:H2073"/>
    <mergeCell ref="A2075:H2075"/>
    <mergeCell ref="A2076:H2076"/>
    <mergeCell ref="A2077:D2077"/>
    <mergeCell ref="E2077:H2077"/>
    <mergeCell ref="A2078:D2078"/>
    <mergeCell ref="E2078:H2078"/>
    <mergeCell ref="A2079:H2079"/>
    <mergeCell ref="A2081:H2081"/>
    <mergeCell ref="A2082:H2082"/>
    <mergeCell ref="A2083:D2083"/>
    <mergeCell ref="E2083:H2083"/>
    <mergeCell ref="A2084:D2084"/>
    <mergeCell ref="E2084:H2084"/>
    <mergeCell ref="A2085:H2085"/>
    <mergeCell ref="A2087:H2087"/>
    <mergeCell ref="A2088:H2088"/>
    <mergeCell ref="A2089:D2089"/>
    <mergeCell ref="E2089:H2089"/>
    <mergeCell ref="A2090:D2090"/>
    <mergeCell ref="E2090:H2090"/>
    <mergeCell ref="A2091:H2091"/>
    <mergeCell ref="A2093:H2093"/>
    <mergeCell ref="A2094:H2094"/>
    <mergeCell ref="A2095:D2095"/>
    <mergeCell ref="E2095:H2095"/>
    <mergeCell ref="A2096:D2096"/>
    <mergeCell ref="E2096:H2096"/>
    <mergeCell ref="A2097:H2097"/>
    <mergeCell ref="A2099:H2099"/>
    <mergeCell ref="A2100:H2100"/>
    <mergeCell ref="A2101:D2101"/>
    <mergeCell ref="E2101:H2101"/>
    <mergeCell ref="A2102:D2102"/>
    <mergeCell ref="E2102:H2102"/>
    <mergeCell ref="A2103:H2103"/>
    <mergeCell ref="A2105:H2105"/>
    <mergeCell ref="A2106:H2106"/>
    <mergeCell ref="A2107:D2107"/>
    <mergeCell ref="E2107:H2107"/>
    <mergeCell ref="A2108:D2108"/>
    <mergeCell ref="E2108:H2108"/>
    <mergeCell ref="A2109:H2109"/>
    <mergeCell ref="A2111:H2111"/>
    <mergeCell ref="A2112:H2112"/>
    <mergeCell ref="A2113:D2113"/>
    <mergeCell ref="E2113:H2113"/>
    <mergeCell ref="A2114:D2114"/>
    <mergeCell ref="E2114:H2114"/>
    <mergeCell ref="A2115:H2115"/>
    <mergeCell ref="A2117:H2117"/>
    <mergeCell ref="A2118:H2118"/>
    <mergeCell ref="A2119:D2119"/>
    <mergeCell ref="E2119:H2119"/>
    <mergeCell ref="A2120:D2120"/>
    <mergeCell ref="E2120:H2120"/>
    <mergeCell ref="A2121:H2121"/>
    <mergeCell ref="A2123:H2123"/>
    <mergeCell ref="A2124:H2124"/>
    <mergeCell ref="A2125:D2125"/>
    <mergeCell ref="E2125:H2125"/>
    <mergeCell ref="A2126:D2126"/>
    <mergeCell ref="E2126:H2126"/>
    <mergeCell ref="A2127:H2127"/>
    <mergeCell ref="A2129:H2129"/>
    <mergeCell ref="A2130:H2130"/>
    <mergeCell ref="A2131:D2131"/>
    <mergeCell ref="E2131:H2131"/>
    <mergeCell ref="A2132:D2132"/>
    <mergeCell ref="E2132:H2132"/>
    <mergeCell ref="A2133:H2133"/>
    <mergeCell ref="A2135:H2135"/>
    <mergeCell ref="A2136:H2136"/>
    <mergeCell ref="A2137:D2137"/>
    <mergeCell ref="E2137:H2137"/>
    <mergeCell ref="A2138:D2138"/>
    <mergeCell ref="E2138:H2138"/>
    <mergeCell ref="A2139:H2139"/>
    <mergeCell ref="A2141:H2141"/>
    <mergeCell ref="A2142:H2142"/>
    <mergeCell ref="A2143:D2143"/>
    <mergeCell ref="E2143:H2143"/>
    <mergeCell ref="A2144:D2144"/>
    <mergeCell ref="E2144:H2144"/>
    <mergeCell ref="A2145:H2145"/>
    <mergeCell ref="A2147:H2147"/>
    <mergeCell ref="A2148:H2148"/>
    <mergeCell ref="A2149:D2149"/>
    <mergeCell ref="E2149:H2149"/>
    <mergeCell ref="A2150:D2150"/>
    <mergeCell ref="E2150:H2150"/>
    <mergeCell ref="A2151:H2151"/>
    <mergeCell ref="A2153:H2153"/>
    <mergeCell ref="A2154:H2154"/>
    <mergeCell ref="A2155:D2155"/>
    <mergeCell ref="E2155:H2155"/>
    <mergeCell ref="A2156:D2156"/>
    <mergeCell ref="E2156:H2156"/>
    <mergeCell ref="A2157:H2157"/>
    <mergeCell ref="A2159:H2159"/>
    <mergeCell ref="A2160:H2160"/>
    <mergeCell ref="A2161:D2161"/>
    <mergeCell ref="E2161:H2161"/>
    <mergeCell ref="A2162:D2162"/>
    <mergeCell ref="E2162:H2162"/>
    <mergeCell ref="A2163:H2163"/>
    <mergeCell ref="A2165:H2165"/>
    <mergeCell ref="A2166:H2166"/>
    <mergeCell ref="A2167:D2167"/>
    <mergeCell ref="E2167:H2167"/>
    <mergeCell ref="A2168:D2168"/>
    <mergeCell ref="E2168:H2168"/>
    <mergeCell ref="A2169:H2169"/>
    <mergeCell ref="A2171:H2171"/>
    <mergeCell ref="A2172:H2172"/>
    <mergeCell ref="A2173:D2173"/>
    <mergeCell ref="E2173:H2173"/>
    <mergeCell ref="A2174:D2174"/>
    <mergeCell ref="E2174:H2174"/>
    <mergeCell ref="A2175:H2175"/>
    <mergeCell ref="A2177:H2177"/>
    <mergeCell ref="A2178:H2178"/>
    <mergeCell ref="A2179:D2179"/>
    <mergeCell ref="E2179:H2179"/>
    <mergeCell ref="A2180:D2180"/>
    <mergeCell ref="E2180:H2180"/>
    <mergeCell ref="A2181:H2181"/>
    <mergeCell ref="A2183:H2183"/>
    <mergeCell ref="A2184:H2184"/>
    <mergeCell ref="A2185:D2185"/>
    <mergeCell ref="E2185:H2185"/>
    <mergeCell ref="A2186:D2186"/>
    <mergeCell ref="E2186:H2186"/>
    <mergeCell ref="A2187:H2187"/>
    <mergeCell ref="A2189:H2189"/>
    <mergeCell ref="A2190:H2190"/>
    <mergeCell ref="A2191:D2191"/>
    <mergeCell ref="E2191:H2191"/>
    <mergeCell ref="A2192:D2192"/>
    <mergeCell ref="E2192:H2192"/>
    <mergeCell ref="A2193:H2193"/>
    <mergeCell ref="A2195:H2195"/>
    <mergeCell ref="A2196:H2196"/>
    <mergeCell ref="A2197:H2197"/>
    <mergeCell ref="A2198:H2198"/>
    <mergeCell ref="A2199:D2199"/>
    <mergeCell ref="E2199:H2199"/>
    <mergeCell ref="A2200:D2200"/>
    <mergeCell ref="E2200:H2200"/>
    <mergeCell ref="A2201:H2201"/>
    <mergeCell ref="A2203:H2203"/>
    <mergeCell ref="A2204:H2204"/>
    <mergeCell ref="A2205:D2205"/>
    <mergeCell ref="E2205:H2205"/>
    <mergeCell ref="A2206:D2206"/>
    <mergeCell ref="E2206:H2206"/>
    <mergeCell ref="A2207:H2207"/>
    <mergeCell ref="A2209:H2209"/>
    <mergeCell ref="A2210:H2210"/>
    <mergeCell ref="A2211:H2211"/>
    <mergeCell ref="A2212:H2212"/>
    <mergeCell ref="A2213:H2213"/>
    <mergeCell ref="A2214:H2214"/>
    <mergeCell ref="A2215:D2215"/>
    <mergeCell ref="E2215:H2215"/>
    <mergeCell ref="A2216:D2216"/>
    <mergeCell ref="E2216:H2216"/>
    <mergeCell ref="A2217:H2217"/>
    <mergeCell ref="A2219:H2219"/>
    <mergeCell ref="A2220:H2220"/>
    <mergeCell ref="A2221:D2221"/>
    <mergeCell ref="E2221:H2221"/>
    <mergeCell ref="A2222:D2222"/>
    <mergeCell ref="E2222:H2222"/>
    <mergeCell ref="A2223:H2223"/>
    <mergeCell ref="A2225:H2225"/>
    <mergeCell ref="A2226:H2226"/>
    <mergeCell ref="A2227:D2227"/>
    <mergeCell ref="E2227:H2227"/>
    <mergeCell ref="A2228:D2228"/>
    <mergeCell ref="E2228:H2228"/>
    <mergeCell ref="A2229:H2229"/>
    <mergeCell ref="A2231:H2231"/>
    <mergeCell ref="A2232:H2232"/>
    <mergeCell ref="A2233:D2233"/>
    <mergeCell ref="E2233:H2233"/>
    <mergeCell ref="A2234:D2234"/>
    <mergeCell ref="E2234:H2234"/>
    <mergeCell ref="A2235:H2235"/>
    <mergeCell ref="A2237:H2237"/>
    <mergeCell ref="A2238:H2238"/>
    <mergeCell ref="A2239:D2239"/>
    <mergeCell ref="E2239:H2239"/>
    <mergeCell ref="A2240:D2240"/>
    <mergeCell ref="E2240:H2240"/>
    <mergeCell ref="A2241:H2241"/>
    <mergeCell ref="A2243:H2243"/>
    <mergeCell ref="A2244:H2244"/>
    <mergeCell ref="A2245:D2245"/>
    <mergeCell ref="E2245:H2245"/>
    <mergeCell ref="A2246:D2246"/>
    <mergeCell ref="E2246:H2246"/>
    <mergeCell ref="A2247:H2247"/>
    <mergeCell ref="A2249:H2249"/>
    <mergeCell ref="A2250:H2250"/>
    <mergeCell ref="A2251:H2251"/>
    <mergeCell ref="A2252:H2252"/>
    <mergeCell ref="A2253:H2253"/>
    <mergeCell ref="A2254:D2254"/>
    <mergeCell ref="E2254:H2254"/>
    <mergeCell ref="A2255:D2255"/>
    <mergeCell ref="E2255:H2255"/>
    <mergeCell ref="A2256:H2256"/>
    <mergeCell ref="A2258:H2258"/>
    <mergeCell ref="A2259:H2259"/>
    <mergeCell ref="A2260:D2260"/>
    <mergeCell ref="E2260:H2260"/>
    <mergeCell ref="A2261:D2261"/>
    <mergeCell ref="E2261:H2261"/>
    <mergeCell ref="A2262:H2262"/>
    <mergeCell ref="A2264:H2264"/>
    <mergeCell ref="A2265:H2265"/>
    <mergeCell ref="A2266:D2266"/>
    <mergeCell ref="E2266:H2266"/>
    <mergeCell ref="A2267:D2267"/>
    <mergeCell ref="E2267:H2267"/>
    <mergeCell ref="A2268:H2268"/>
    <mergeCell ref="A2270:H2270"/>
    <mergeCell ref="A2271:H2271"/>
    <mergeCell ref="A2272:D2272"/>
    <mergeCell ref="E2272:H2272"/>
    <mergeCell ref="A2273:D2273"/>
    <mergeCell ref="E2273:H2273"/>
    <mergeCell ref="A2274:H2274"/>
    <mergeCell ref="A2276:H2276"/>
    <mergeCell ref="A2277:H2277"/>
    <mergeCell ref="A2278:D2278"/>
    <mergeCell ref="E2278:H2278"/>
    <mergeCell ref="A2279:D2279"/>
    <mergeCell ref="E2279:H2279"/>
    <mergeCell ref="A2280:H2280"/>
    <mergeCell ref="A2282:H2282"/>
    <mergeCell ref="A2283:H2283"/>
    <mergeCell ref="A2284:D2284"/>
    <mergeCell ref="E2284:H2284"/>
    <mergeCell ref="A2285:D2285"/>
    <mergeCell ref="E2285:H2285"/>
    <mergeCell ref="A2286:H2286"/>
    <mergeCell ref="A2288:H2288"/>
    <mergeCell ref="A2289:H2289"/>
    <mergeCell ref="A2290:D2290"/>
    <mergeCell ref="E2290:H2290"/>
    <mergeCell ref="A2291:D2291"/>
    <mergeCell ref="E2291:H2291"/>
    <mergeCell ref="A2292:H2292"/>
    <mergeCell ref="A2294:H2294"/>
    <mergeCell ref="A2295:H2295"/>
    <mergeCell ref="A2296:H2296"/>
    <mergeCell ref="A2297:H2297"/>
    <mergeCell ref="A2298:H2298"/>
    <mergeCell ref="A2299:D2299"/>
    <mergeCell ref="E2299:H2299"/>
    <mergeCell ref="A2300:D2300"/>
    <mergeCell ref="E2300:H2300"/>
    <mergeCell ref="A2301:H2301"/>
    <mergeCell ref="A2303:H2303"/>
    <mergeCell ref="A2304:H2304"/>
    <mergeCell ref="A2305:D2305"/>
    <mergeCell ref="E2305:H2305"/>
    <mergeCell ref="A2306:D2306"/>
    <mergeCell ref="E2306:H2306"/>
    <mergeCell ref="A2307:H2307"/>
    <mergeCell ref="A2309:H2309"/>
    <mergeCell ref="A2310:H2310"/>
    <mergeCell ref="A2311:D2311"/>
    <mergeCell ref="E2311:H2311"/>
    <mergeCell ref="A2312:D2312"/>
    <mergeCell ref="E2312:H2312"/>
    <mergeCell ref="A2313:H2313"/>
    <mergeCell ref="A2315:H2315"/>
    <mergeCell ref="A2316:H2316"/>
    <mergeCell ref="A2317:D2317"/>
    <mergeCell ref="E2317:H2317"/>
    <mergeCell ref="A2318:D2318"/>
    <mergeCell ref="E2318:H2318"/>
    <mergeCell ref="A2319:H2319"/>
    <mergeCell ref="A2321:H2321"/>
    <mergeCell ref="A2322:H2322"/>
    <mergeCell ref="A2323:D2323"/>
    <mergeCell ref="E2323:H2323"/>
    <mergeCell ref="A2324:D2324"/>
    <mergeCell ref="E2324:H2324"/>
    <mergeCell ref="A2325:H2325"/>
    <mergeCell ref="A2327:H2327"/>
    <mergeCell ref="A2328:H2328"/>
    <mergeCell ref="A2329:D2329"/>
    <mergeCell ref="E2329:H2329"/>
    <mergeCell ref="A2330:D2330"/>
    <mergeCell ref="E2330:H2330"/>
    <mergeCell ref="A2331:H2331"/>
    <mergeCell ref="A2333:H2333"/>
    <mergeCell ref="A2334:H2334"/>
    <mergeCell ref="A2335:D2335"/>
    <mergeCell ref="E2335:H2335"/>
    <mergeCell ref="A2336:D2336"/>
    <mergeCell ref="E2336:H2336"/>
    <mergeCell ref="A2337:H2337"/>
    <mergeCell ref="A2339:H2339"/>
    <mergeCell ref="A2340:H2340"/>
    <mergeCell ref="A2341:D2341"/>
    <mergeCell ref="E2341:H2341"/>
    <mergeCell ref="A2342:D2342"/>
    <mergeCell ref="E2342:H2342"/>
    <mergeCell ref="A2343:H2343"/>
    <mergeCell ref="A2345:H2345"/>
    <mergeCell ref="A2346:H2346"/>
    <mergeCell ref="A2347:D2347"/>
    <mergeCell ref="E2347:H2347"/>
    <mergeCell ref="A2348:D2348"/>
    <mergeCell ref="E2348:H2348"/>
    <mergeCell ref="A2349:H2349"/>
    <mergeCell ref="A2351:H2351"/>
    <mergeCell ref="A2352:H2352"/>
    <mergeCell ref="A2353:D2353"/>
    <mergeCell ref="E2353:H2353"/>
    <mergeCell ref="A2354:D2354"/>
    <mergeCell ref="E2354:H2354"/>
    <mergeCell ref="A2355:H2355"/>
    <mergeCell ref="A2357:H2357"/>
    <mergeCell ref="A2358:H2358"/>
    <mergeCell ref="A2359:D2359"/>
    <mergeCell ref="E2359:H2359"/>
    <mergeCell ref="A2360:D2360"/>
    <mergeCell ref="E2360:H2360"/>
    <mergeCell ref="A2361:H2361"/>
    <mergeCell ref="A2363:H2363"/>
    <mergeCell ref="A2364:H2364"/>
    <mergeCell ref="A2365:D2365"/>
    <mergeCell ref="E2365:H2365"/>
    <mergeCell ref="A2366:D2366"/>
    <mergeCell ref="E2366:H2366"/>
    <mergeCell ref="A2367:H2367"/>
    <mergeCell ref="A2369:H2369"/>
    <mergeCell ref="A2370:H2370"/>
    <mergeCell ref="A2371:D2371"/>
    <mergeCell ref="E2371:H2371"/>
    <mergeCell ref="A2372:D2372"/>
    <mergeCell ref="E2372:H2372"/>
    <mergeCell ref="A2373:H2373"/>
    <mergeCell ref="A2375:H2375"/>
    <mergeCell ref="A2376:H2376"/>
    <mergeCell ref="A2377:D2377"/>
    <mergeCell ref="E2377:H2377"/>
    <mergeCell ref="A2378:D2378"/>
    <mergeCell ref="E2378:H2378"/>
    <mergeCell ref="A2379:H2379"/>
    <mergeCell ref="A2381:H2381"/>
    <mergeCell ref="A2382:H2382"/>
    <mergeCell ref="A2383:D2383"/>
    <mergeCell ref="E2383:H2383"/>
    <mergeCell ref="A2384:D2384"/>
    <mergeCell ref="E2384:H2384"/>
    <mergeCell ref="A2385:H2385"/>
    <mergeCell ref="A2387:H2387"/>
    <mergeCell ref="A2388:H2388"/>
    <mergeCell ref="A2389:D2389"/>
    <mergeCell ref="E2389:H2389"/>
    <mergeCell ref="A2390:D2390"/>
    <mergeCell ref="E2390:H2390"/>
    <mergeCell ref="A2391:H2391"/>
    <mergeCell ref="A2393:H2393"/>
    <mergeCell ref="A2394:H2394"/>
    <mergeCell ref="A2395:D2395"/>
    <mergeCell ref="E2395:H2395"/>
    <mergeCell ref="A2396:D2396"/>
    <mergeCell ref="E2396:H2396"/>
    <mergeCell ref="A2397:H2397"/>
    <mergeCell ref="A2399:H2399"/>
    <mergeCell ref="A2400:H2400"/>
    <mergeCell ref="A2401:D2401"/>
    <mergeCell ref="E2401:H2401"/>
    <mergeCell ref="A2402:D2402"/>
    <mergeCell ref="E2402:H2402"/>
    <mergeCell ref="A2403:H2403"/>
    <mergeCell ref="A2405:H2405"/>
    <mergeCell ref="A2406:H2406"/>
    <mergeCell ref="A2407:D2407"/>
    <mergeCell ref="E2407:H2407"/>
    <mergeCell ref="A2408:D2408"/>
    <mergeCell ref="E2408:H2408"/>
    <mergeCell ref="A2409:H2409"/>
    <mergeCell ref="A2411:H2411"/>
    <mergeCell ref="A2412:H2412"/>
    <mergeCell ref="A2413:D2413"/>
    <mergeCell ref="E2413:H2413"/>
    <mergeCell ref="A2414:D2414"/>
    <mergeCell ref="E2414:H2414"/>
    <mergeCell ref="A2415:H2415"/>
    <mergeCell ref="A2417:H2417"/>
    <mergeCell ref="A2418:H2418"/>
    <mergeCell ref="A2419:D2419"/>
    <mergeCell ref="E2419:H2419"/>
    <mergeCell ref="A2420:D2420"/>
    <mergeCell ref="E2420:H2420"/>
    <mergeCell ref="A2421:H2421"/>
    <mergeCell ref="A2423:H2423"/>
    <mergeCell ref="A2424:H2424"/>
    <mergeCell ref="A2425:D2425"/>
    <mergeCell ref="E2425:H2425"/>
    <mergeCell ref="A2426:D2426"/>
    <mergeCell ref="E2426:H2426"/>
    <mergeCell ref="A2427:H2427"/>
    <mergeCell ref="A2429:H2429"/>
    <mergeCell ref="A2430:H2430"/>
    <mergeCell ref="A2431:D2431"/>
    <mergeCell ref="E2431:H2431"/>
    <mergeCell ref="A2432:D2432"/>
    <mergeCell ref="E2432:H2432"/>
    <mergeCell ref="A2433:H2433"/>
    <mergeCell ref="A2435:H2435"/>
    <mergeCell ref="A2436:H2436"/>
    <mergeCell ref="A2437:D2437"/>
    <mergeCell ref="E2437:H2437"/>
    <mergeCell ref="A2438:D2438"/>
    <mergeCell ref="E2438:H2438"/>
    <mergeCell ref="A2439:H2439"/>
    <mergeCell ref="A2441:H2441"/>
    <mergeCell ref="A2442:H2442"/>
    <mergeCell ref="A2443:D2443"/>
    <mergeCell ref="E2443:H2443"/>
    <mergeCell ref="A2444:D2444"/>
    <mergeCell ref="E2444:H2444"/>
    <mergeCell ref="A2445:H2445"/>
    <mergeCell ref="A2447:H2447"/>
    <mergeCell ref="A2448:H2448"/>
    <mergeCell ref="A2449:D2449"/>
    <mergeCell ref="E2449:H2449"/>
    <mergeCell ref="A2450:D2450"/>
    <mergeCell ref="E2450:H2450"/>
    <mergeCell ref="A2451:H2451"/>
    <mergeCell ref="A2453:H2453"/>
    <mergeCell ref="A2454:H2454"/>
    <mergeCell ref="A2455:D2455"/>
    <mergeCell ref="E2455:H2455"/>
    <mergeCell ref="A2456:D2456"/>
    <mergeCell ref="E2456:H2456"/>
    <mergeCell ref="A2457:H2457"/>
    <mergeCell ref="A2459:H2459"/>
    <mergeCell ref="A2460:H2460"/>
    <mergeCell ref="A2461:D2461"/>
    <mergeCell ref="E2461:H2461"/>
    <mergeCell ref="A2462:D2462"/>
    <mergeCell ref="E2462:H2462"/>
    <mergeCell ref="A2463:H2463"/>
    <mergeCell ref="A2465:H2465"/>
    <mergeCell ref="A2466:H2466"/>
    <mergeCell ref="A2467:D2467"/>
    <mergeCell ref="E2467:H2467"/>
    <mergeCell ref="A2468:D2468"/>
    <mergeCell ref="E2468:H2468"/>
    <mergeCell ref="A2469:H2469"/>
    <mergeCell ref="A2471:H2471"/>
    <mergeCell ref="A2472:H2472"/>
    <mergeCell ref="A2473:D2473"/>
    <mergeCell ref="E2473:H2473"/>
    <mergeCell ref="A2474:D2474"/>
    <mergeCell ref="E2474:H2474"/>
    <mergeCell ref="A2475:H2475"/>
    <mergeCell ref="A2477:H2477"/>
    <mergeCell ref="A2478:H2478"/>
    <mergeCell ref="A2479:D2479"/>
    <mergeCell ref="E2479:H2479"/>
    <mergeCell ref="A2480:D2480"/>
    <mergeCell ref="E2480:H2480"/>
    <mergeCell ref="A2481:H2481"/>
    <mergeCell ref="A2483:H2483"/>
    <mergeCell ref="A2484:H2484"/>
    <mergeCell ref="A2485:D2485"/>
    <mergeCell ref="E2485:H2485"/>
    <mergeCell ref="A2486:D2486"/>
    <mergeCell ref="E2486:H2486"/>
    <mergeCell ref="A2487:H2487"/>
    <mergeCell ref="A2489:H2489"/>
    <mergeCell ref="A2490:H2490"/>
    <mergeCell ref="A2491:D2491"/>
    <mergeCell ref="E2491:H2491"/>
    <mergeCell ref="A2492:D2492"/>
    <mergeCell ref="E2492:H2492"/>
    <mergeCell ref="A2493:H2493"/>
    <mergeCell ref="A2495:H2495"/>
    <mergeCell ref="A2496:H2496"/>
    <mergeCell ref="A2497:D2497"/>
    <mergeCell ref="E2497:H2497"/>
    <mergeCell ref="A2498:D2498"/>
    <mergeCell ref="E2498:H2498"/>
    <mergeCell ref="A2499:H2499"/>
    <mergeCell ref="A2501:H2501"/>
    <mergeCell ref="A2502:H2502"/>
    <mergeCell ref="A2503:D2503"/>
    <mergeCell ref="E2503:H2503"/>
    <mergeCell ref="A2504:D2504"/>
    <mergeCell ref="E2504:H2504"/>
    <mergeCell ref="A2505:H2505"/>
    <mergeCell ref="A2507:H2507"/>
    <mergeCell ref="A2508:H2508"/>
    <mergeCell ref="A2509:D2509"/>
    <mergeCell ref="E2509:H2509"/>
    <mergeCell ref="A2510:D2510"/>
    <mergeCell ref="E2510:H2510"/>
    <mergeCell ref="A2511:H2511"/>
    <mergeCell ref="A2513:H2513"/>
    <mergeCell ref="A2514:H2514"/>
    <mergeCell ref="A2515:D2515"/>
    <mergeCell ref="E2515:H2515"/>
    <mergeCell ref="A2516:D2516"/>
    <mergeCell ref="E2516:H2516"/>
    <mergeCell ref="A2517:H2517"/>
    <mergeCell ref="A2519:H2519"/>
    <mergeCell ref="A2520:H2520"/>
    <mergeCell ref="A2521:H2521"/>
    <mergeCell ref="A2522:H2522"/>
    <mergeCell ref="A2523:D2523"/>
    <mergeCell ref="E2523:H2523"/>
    <mergeCell ref="A2524:D2524"/>
    <mergeCell ref="E2524:H2524"/>
    <mergeCell ref="A2525:H2525"/>
    <mergeCell ref="A2527:H2527"/>
    <mergeCell ref="A2528:H2528"/>
    <mergeCell ref="A2529:D2529"/>
    <mergeCell ref="E2529:H2529"/>
    <mergeCell ref="A2530:D2530"/>
    <mergeCell ref="E2530:H2530"/>
    <mergeCell ref="A2531:H2531"/>
    <mergeCell ref="A2533:H2533"/>
    <mergeCell ref="A2534:H2534"/>
    <mergeCell ref="A2535:D2535"/>
    <mergeCell ref="E2535:H2535"/>
    <mergeCell ref="A2536:D2536"/>
    <mergeCell ref="E2536:H2536"/>
    <mergeCell ref="A2537:H2537"/>
    <mergeCell ref="A2539:H2539"/>
    <mergeCell ref="A2540:H2540"/>
    <mergeCell ref="A2541:D2541"/>
    <mergeCell ref="E2541:H2541"/>
    <mergeCell ref="A2542:D2542"/>
    <mergeCell ref="E2542:H2542"/>
    <mergeCell ref="A2543:H2543"/>
    <mergeCell ref="A2545:H2545"/>
    <mergeCell ref="A2546:H2546"/>
    <mergeCell ref="A2547:D2547"/>
    <mergeCell ref="E2547:H2547"/>
    <mergeCell ref="A2548:D2548"/>
    <mergeCell ref="E2548:H2548"/>
    <mergeCell ref="A2549:H2549"/>
    <mergeCell ref="A2551:H2551"/>
    <mergeCell ref="A2552:H2552"/>
    <mergeCell ref="A2553:D2553"/>
    <mergeCell ref="E2553:H2553"/>
    <mergeCell ref="A2554:D2554"/>
    <mergeCell ref="E2554:H2554"/>
    <mergeCell ref="A2555:H2555"/>
    <mergeCell ref="A2557:H2557"/>
    <mergeCell ref="A2558:H2558"/>
    <mergeCell ref="A2559:D2559"/>
    <mergeCell ref="E2559:H2559"/>
    <mergeCell ref="A2560:D2560"/>
    <mergeCell ref="E2560:H2560"/>
    <mergeCell ref="A2561:H2561"/>
    <mergeCell ref="A2563:H2563"/>
    <mergeCell ref="A2564:H2564"/>
    <mergeCell ref="A2565:D2565"/>
    <mergeCell ref="E2565:H2565"/>
    <mergeCell ref="A2566:D2566"/>
    <mergeCell ref="E2566:H2566"/>
    <mergeCell ref="A2567:H2567"/>
    <mergeCell ref="A2569:H2569"/>
    <mergeCell ref="A2570:H2570"/>
    <mergeCell ref="A2571:D2571"/>
    <mergeCell ref="E2571:H2571"/>
    <mergeCell ref="A2572:D2572"/>
    <mergeCell ref="E2572:H2572"/>
    <mergeCell ref="A2573:H2573"/>
    <mergeCell ref="A2575:H2575"/>
    <mergeCell ref="A2576:H2576"/>
    <mergeCell ref="A2577:D2577"/>
    <mergeCell ref="E2577:H2577"/>
    <mergeCell ref="A2578:D2578"/>
    <mergeCell ref="E2578:H2578"/>
    <mergeCell ref="A2579:H2579"/>
    <mergeCell ref="A2581:H2581"/>
    <mergeCell ref="A2582:H2582"/>
    <mergeCell ref="A2583:D2583"/>
    <mergeCell ref="E2583:H2583"/>
    <mergeCell ref="A2584:D2584"/>
    <mergeCell ref="E2584:H2584"/>
    <mergeCell ref="A2585:H2585"/>
    <mergeCell ref="A2587:H2587"/>
    <mergeCell ref="A2588:H2588"/>
    <mergeCell ref="A2589:D2589"/>
    <mergeCell ref="E2589:H2589"/>
    <mergeCell ref="A2590:D2590"/>
    <mergeCell ref="E2590:H2590"/>
    <mergeCell ref="A2591:H2591"/>
    <mergeCell ref="A2593:H2593"/>
    <mergeCell ref="A2594:H2594"/>
    <mergeCell ref="A2595:D2595"/>
    <mergeCell ref="E2595:H2595"/>
    <mergeCell ref="A2596:D2596"/>
    <mergeCell ref="E2596:H2596"/>
    <mergeCell ref="A2597:H2597"/>
    <mergeCell ref="A2599:H2599"/>
    <mergeCell ref="A2600:H2600"/>
    <mergeCell ref="A2601:D2601"/>
    <mergeCell ref="E2601:H2601"/>
    <mergeCell ref="A2602:D2602"/>
    <mergeCell ref="E2602:H2602"/>
    <mergeCell ref="A2603:H2603"/>
    <mergeCell ref="A2605:H2605"/>
    <mergeCell ref="A2606:H2606"/>
    <mergeCell ref="A2607:D2607"/>
    <mergeCell ref="E2607:H2607"/>
    <mergeCell ref="A2608:D2608"/>
    <mergeCell ref="E2608:H2608"/>
    <mergeCell ref="A2609:H2609"/>
    <mergeCell ref="A2611:H2611"/>
    <mergeCell ref="A2612:H2612"/>
    <mergeCell ref="A2613:D2613"/>
    <mergeCell ref="E2613:H2613"/>
    <mergeCell ref="A2614:D2614"/>
    <mergeCell ref="E2614:H2614"/>
    <mergeCell ref="A2615:H2615"/>
    <mergeCell ref="A2617:H2617"/>
    <mergeCell ref="A2618:H2618"/>
    <mergeCell ref="A2619:D2619"/>
    <mergeCell ref="E2619:H2619"/>
    <mergeCell ref="A2620:D2620"/>
    <mergeCell ref="E2620:H2620"/>
    <mergeCell ref="A2621:H2621"/>
    <mergeCell ref="A2623:H2623"/>
    <mergeCell ref="A2624:H2624"/>
    <mergeCell ref="A2625:D2625"/>
    <mergeCell ref="E2625:H2625"/>
    <mergeCell ref="A2626:D2626"/>
    <mergeCell ref="E2626:H2626"/>
    <mergeCell ref="A2627:H2627"/>
    <mergeCell ref="A2629:H2629"/>
    <mergeCell ref="A2630:H2630"/>
    <mergeCell ref="A2631:D2631"/>
    <mergeCell ref="E2631:H2631"/>
    <mergeCell ref="A2632:D2632"/>
    <mergeCell ref="E2632:H2632"/>
    <mergeCell ref="A2633:H2633"/>
    <mergeCell ref="A2635:H2635"/>
    <mergeCell ref="A2636:H2636"/>
    <mergeCell ref="A2637:D2637"/>
    <mergeCell ref="E2637:H2637"/>
    <mergeCell ref="A2638:D2638"/>
    <mergeCell ref="E2638:H2638"/>
    <mergeCell ref="A2639:H2639"/>
    <mergeCell ref="A2641:H2641"/>
    <mergeCell ref="A2642:H2642"/>
    <mergeCell ref="A2643:D2643"/>
    <mergeCell ref="E2643:H2643"/>
    <mergeCell ref="A2644:D2644"/>
    <mergeCell ref="E2644:H2644"/>
    <mergeCell ref="A2645:H2645"/>
    <mergeCell ref="A2647:H2647"/>
    <mergeCell ref="A2648:H2648"/>
    <mergeCell ref="A2649:D2649"/>
    <mergeCell ref="E2649:H2649"/>
    <mergeCell ref="A2650:D2650"/>
    <mergeCell ref="E2650:H2650"/>
    <mergeCell ref="A2651:H2651"/>
    <mergeCell ref="A2653:H2653"/>
    <mergeCell ref="A2654:H2654"/>
    <mergeCell ref="A2655:D2655"/>
    <mergeCell ref="E2655:H2655"/>
    <mergeCell ref="A2656:D2656"/>
    <mergeCell ref="E2656:H2656"/>
    <mergeCell ref="A2657:H2657"/>
    <mergeCell ref="A2659:H2659"/>
    <mergeCell ref="A2660:H2660"/>
    <mergeCell ref="A2661:D2661"/>
    <mergeCell ref="E2661:H2661"/>
    <mergeCell ref="A2662:D2662"/>
    <mergeCell ref="E2662:H2662"/>
    <mergeCell ref="A2663:H2663"/>
    <mergeCell ref="A2665:H2665"/>
    <mergeCell ref="A2666:H2666"/>
    <mergeCell ref="A2667:D2667"/>
    <mergeCell ref="E2667:H2667"/>
    <mergeCell ref="A2668:D2668"/>
    <mergeCell ref="E2668:H2668"/>
    <mergeCell ref="A2669:H2669"/>
    <mergeCell ref="A2671:H2671"/>
    <mergeCell ref="A2672:H2672"/>
    <mergeCell ref="A2673:D2673"/>
    <mergeCell ref="E2673:H2673"/>
    <mergeCell ref="A2674:D2674"/>
    <mergeCell ref="E2674:H2674"/>
    <mergeCell ref="A2675:H2675"/>
    <mergeCell ref="A2677:H2677"/>
    <mergeCell ref="A2678:H2678"/>
    <mergeCell ref="A2679:D2679"/>
    <mergeCell ref="E2679:H2679"/>
    <mergeCell ref="A2680:D2680"/>
    <mergeCell ref="E2680:H2680"/>
    <mergeCell ref="A2681:H2681"/>
    <mergeCell ref="A2683:H2683"/>
    <mergeCell ref="A2684:H2684"/>
    <mergeCell ref="A2685:D2685"/>
    <mergeCell ref="E2685:H2685"/>
    <mergeCell ref="A2686:D2686"/>
    <mergeCell ref="E2686:H2686"/>
    <mergeCell ref="A2687:H2687"/>
    <mergeCell ref="A2689:H2689"/>
    <mergeCell ref="A2690:H2690"/>
    <mergeCell ref="A2691:D2691"/>
    <mergeCell ref="E2691:H2691"/>
    <mergeCell ref="A2692:D2692"/>
    <mergeCell ref="E2692:H2692"/>
    <mergeCell ref="A2693:H2693"/>
    <mergeCell ref="A2695:H2695"/>
    <mergeCell ref="A2696:H2696"/>
    <mergeCell ref="A2697:D2697"/>
    <mergeCell ref="E2697:H2697"/>
    <mergeCell ref="A2698:D2698"/>
    <mergeCell ref="E2698:H2698"/>
    <mergeCell ref="A2699:H2699"/>
    <mergeCell ref="A2701:H2701"/>
    <mergeCell ref="A2702:H2702"/>
    <mergeCell ref="A2703:D2703"/>
    <mergeCell ref="E2703:H2703"/>
    <mergeCell ref="A2704:D2704"/>
    <mergeCell ref="E2704:H2704"/>
    <mergeCell ref="A2705:H2705"/>
    <mergeCell ref="A2707:H2707"/>
    <mergeCell ref="A2708:H2708"/>
    <mergeCell ref="A2709:D2709"/>
    <mergeCell ref="E2709:H2709"/>
    <mergeCell ref="A2710:D2710"/>
    <mergeCell ref="E2710:H2710"/>
    <mergeCell ref="A2711:H2711"/>
    <mergeCell ref="A2713:H2713"/>
    <mergeCell ref="A2714:H2714"/>
    <mergeCell ref="A2715:D2715"/>
    <mergeCell ref="E2715:H2715"/>
    <mergeCell ref="A2716:D2716"/>
    <mergeCell ref="E2716:H2716"/>
    <mergeCell ref="A2717:H2717"/>
    <mergeCell ref="A2719:H2719"/>
    <mergeCell ref="A2720:H2720"/>
    <mergeCell ref="A2721:D2721"/>
    <mergeCell ref="E2721:H2721"/>
    <mergeCell ref="A2722:D2722"/>
    <mergeCell ref="E2722:H2722"/>
    <mergeCell ref="A2723:H2723"/>
    <mergeCell ref="A2725:H2725"/>
    <mergeCell ref="A2726:H2726"/>
    <mergeCell ref="A2727:D2727"/>
    <mergeCell ref="E2727:H2727"/>
    <mergeCell ref="A2728:D2728"/>
    <mergeCell ref="E2728:H2728"/>
    <mergeCell ref="A2729:H2729"/>
    <mergeCell ref="A2731:H2731"/>
    <mergeCell ref="A2732:H2732"/>
    <mergeCell ref="A2733:D2733"/>
    <mergeCell ref="E2733:H2733"/>
    <mergeCell ref="A2734:D2734"/>
    <mergeCell ref="E2734:H2734"/>
    <mergeCell ref="A2735:H2735"/>
    <mergeCell ref="A2737:H2737"/>
    <mergeCell ref="A2738:H2738"/>
    <mergeCell ref="A2739:D2739"/>
    <mergeCell ref="E2739:H2739"/>
    <mergeCell ref="A2740:D2740"/>
    <mergeCell ref="E2740:H2740"/>
    <mergeCell ref="A2741:H2741"/>
    <mergeCell ref="A2743:H2743"/>
    <mergeCell ref="A2744:H2744"/>
    <mergeCell ref="A2745:D2745"/>
    <mergeCell ref="E2745:H2745"/>
    <mergeCell ref="A2746:D2746"/>
    <mergeCell ref="E2746:H2746"/>
    <mergeCell ref="A2747:H2747"/>
    <mergeCell ref="A2749:H2749"/>
    <mergeCell ref="A2750:H2750"/>
    <mergeCell ref="A2751:D2751"/>
    <mergeCell ref="E2751:H2751"/>
    <mergeCell ref="A2752:D2752"/>
    <mergeCell ref="E2752:H2752"/>
    <mergeCell ref="A2753:H2753"/>
    <mergeCell ref="A2755:H2755"/>
    <mergeCell ref="A2756:H2756"/>
    <mergeCell ref="A2757:D2757"/>
    <mergeCell ref="E2757:H2757"/>
    <mergeCell ref="A2758:D2758"/>
    <mergeCell ref="E2758:H2758"/>
    <mergeCell ref="A2759:H2759"/>
    <mergeCell ref="A2761:H2761"/>
    <mergeCell ref="A2762:H2762"/>
    <mergeCell ref="A2763:D2763"/>
    <mergeCell ref="E2763:H2763"/>
    <mergeCell ref="A2764:D2764"/>
    <mergeCell ref="E2764:H2764"/>
    <mergeCell ref="A2765:H2765"/>
    <mergeCell ref="A2767:H2767"/>
    <mergeCell ref="A2768:H2768"/>
    <mergeCell ref="A2769:D2769"/>
    <mergeCell ref="E2769:H2769"/>
    <mergeCell ref="A2770:D2770"/>
    <mergeCell ref="E2770:H2770"/>
    <mergeCell ref="A2771:H2771"/>
    <mergeCell ref="A2773:H2773"/>
    <mergeCell ref="A2774:H2774"/>
    <mergeCell ref="A2775:D2775"/>
    <mergeCell ref="E2775:H2775"/>
    <mergeCell ref="A2776:D2776"/>
    <mergeCell ref="E2776:H2776"/>
    <mergeCell ref="A2777:H2777"/>
    <mergeCell ref="A2779:H2779"/>
    <mergeCell ref="A2780:H2780"/>
    <mergeCell ref="A2781:D2781"/>
    <mergeCell ref="E2781:H2781"/>
    <mergeCell ref="A2782:D2782"/>
    <mergeCell ref="E2782:H2782"/>
    <mergeCell ref="A2783:H2783"/>
    <mergeCell ref="A2785:H2785"/>
    <mergeCell ref="A2786:H2786"/>
    <mergeCell ref="A2787:D2787"/>
    <mergeCell ref="E2787:H2787"/>
    <mergeCell ref="A2788:D2788"/>
    <mergeCell ref="E2788:H2788"/>
    <mergeCell ref="A2789:H2789"/>
    <mergeCell ref="A2791:H2791"/>
    <mergeCell ref="A2792:H2792"/>
    <mergeCell ref="A2793:D2793"/>
    <mergeCell ref="E2793:H2793"/>
    <mergeCell ref="A2794:D2794"/>
    <mergeCell ref="E2794:H2794"/>
    <mergeCell ref="A2795:H2795"/>
    <mergeCell ref="A2797:H2797"/>
    <mergeCell ref="A2798:H2798"/>
    <mergeCell ref="A2799:D2799"/>
    <mergeCell ref="E2799:H2799"/>
    <mergeCell ref="A2800:D2800"/>
    <mergeCell ref="E2800:H2800"/>
    <mergeCell ref="A2801:H2801"/>
    <mergeCell ref="A2803:H2803"/>
    <mergeCell ref="A2804:H2804"/>
    <mergeCell ref="A2805:D2805"/>
    <mergeCell ref="E2805:H2805"/>
    <mergeCell ref="A2806:D2806"/>
    <mergeCell ref="E2806:H2806"/>
    <mergeCell ref="A2807:H2807"/>
    <mergeCell ref="A2809:H2809"/>
    <mergeCell ref="A2810:H2810"/>
    <mergeCell ref="A2811:D2811"/>
    <mergeCell ref="E2811:H2811"/>
    <mergeCell ref="A2812:D2812"/>
    <mergeCell ref="E2812:H2812"/>
    <mergeCell ref="A2813:H2813"/>
    <mergeCell ref="A2815:H2815"/>
    <mergeCell ref="A2816:H2816"/>
    <mergeCell ref="A2817:D2817"/>
    <mergeCell ref="E2817:H2817"/>
    <mergeCell ref="A2818:D2818"/>
    <mergeCell ref="E2818:H2818"/>
    <mergeCell ref="A2819:H2819"/>
    <mergeCell ref="A2821:H2821"/>
    <mergeCell ref="A2822:H2822"/>
    <mergeCell ref="A2823:D2823"/>
    <mergeCell ref="E2823:H2823"/>
    <mergeCell ref="A2824:D2824"/>
    <mergeCell ref="E2824:H2824"/>
    <mergeCell ref="A2825:H2825"/>
    <mergeCell ref="A2827:H2827"/>
    <mergeCell ref="A2828:H2828"/>
    <mergeCell ref="A2829:D2829"/>
    <mergeCell ref="E2829:H2829"/>
    <mergeCell ref="A2830:D2830"/>
    <mergeCell ref="E2830:H2830"/>
    <mergeCell ref="A2831:H2831"/>
    <mergeCell ref="A2833:H2833"/>
    <mergeCell ref="A2834:H2834"/>
    <mergeCell ref="A2835:D2835"/>
    <mergeCell ref="E2835:H2835"/>
    <mergeCell ref="A2836:D2836"/>
    <mergeCell ref="E2836:H2836"/>
    <mergeCell ref="A2837:H2837"/>
    <mergeCell ref="A2839:H2839"/>
    <mergeCell ref="A2840:H2840"/>
    <mergeCell ref="A2841:H2841"/>
    <mergeCell ref="A2842:H2842"/>
    <mergeCell ref="A2843:D2843"/>
    <mergeCell ref="E2843:H2843"/>
    <mergeCell ref="A2844:D2844"/>
    <mergeCell ref="E2844:H2844"/>
    <mergeCell ref="A2845:H2845"/>
    <mergeCell ref="A2847:H2847"/>
    <mergeCell ref="A2848:H2848"/>
    <mergeCell ref="A2849:D2849"/>
    <mergeCell ref="E2849:H2849"/>
    <mergeCell ref="A2850:D2850"/>
    <mergeCell ref="E2850:H2850"/>
    <mergeCell ref="A2851:H2851"/>
    <mergeCell ref="A2853:H2853"/>
    <mergeCell ref="A2854:H2854"/>
    <mergeCell ref="A2855:D2855"/>
    <mergeCell ref="E2855:H2855"/>
    <mergeCell ref="A2856:D2856"/>
    <mergeCell ref="E2856:H2856"/>
    <mergeCell ref="A2857:H2857"/>
    <mergeCell ref="A2859:H2859"/>
    <mergeCell ref="A2860:H2860"/>
    <mergeCell ref="A2861:D2861"/>
    <mergeCell ref="E2861:H2861"/>
    <mergeCell ref="A2862:D2862"/>
    <mergeCell ref="E2862:H2862"/>
    <mergeCell ref="A2863:H2863"/>
    <mergeCell ref="A2865:H2865"/>
    <mergeCell ref="A2866:H2866"/>
    <mergeCell ref="A2867:D2867"/>
    <mergeCell ref="E2867:H2867"/>
    <mergeCell ref="A2868:D2868"/>
    <mergeCell ref="E2868:H2868"/>
    <mergeCell ref="A2869:H2869"/>
    <mergeCell ref="A2871:H2871"/>
    <mergeCell ref="A2872:H2872"/>
    <mergeCell ref="A2873:D2873"/>
    <mergeCell ref="E2873:H2873"/>
    <mergeCell ref="A2874:D2874"/>
    <mergeCell ref="E2874:H2874"/>
    <mergeCell ref="A2875:H2875"/>
    <mergeCell ref="A2877:H2877"/>
    <mergeCell ref="A2878:H2878"/>
    <mergeCell ref="A2879:D2879"/>
    <mergeCell ref="E2879:H2879"/>
    <mergeCell ref="A2880:D2880"/>
    <mergeCell ref="E2880:H2880"/>
    <mergeCell ref="A2881:H2881"/>
    <mergeCell ref="A2883:H2883"/>
    <mergeCell ref="A2884:H2884"/>
    <mergeCell ref="A2885:D2885"/>
    <mergeCell ref="E2885:H2885"/>
    <mergeCell ref="A2886:D2886"/>
    <mergeCell ref="E2886:H2886"/>
    <mergeCell ref="A2887:H2887"/>
    <mergeCell ref="A2889:H2889"/>
    <mergeCell ref="A2890:H2890"/>
    <mergeCell ref="A2891:D2891"/>
    <mergeCell ref="E2891:H2891"/>
    <mergeCell ref="A2892:D2892"/>
    <mergeCell ref="E2892:H2892"/>
    <mergeCell ref="A2893:H2893"/>
    <mergeCell ref="A2895:H2895"/>
    <mergeCell ref="A2896:H2896"/>
    <mergeCell ref="A2897:D2897"/>
    <mergeCell ref="E2897:H2897"/>
    <mergeCell ref="A2898:D2898"/>
    <mergeCell ref="E2898:H2898"/>
    <mergeCell ref="A2899:H2899"/>
    <mergeCell ref="A2901:H2901"/>
    <mergeCell ref="A2902:H2902"/>
    <mergeCell ref="A2903:D2903"/>
    <mergeCell ref="E2903:H2903"/>
    <mergeCell ref="A2904:D2904"/>
    <mergeCell ref="E2904:H2904"/>
    <mergeCell ref="A2905:H2905"/>
    <mergeCell ref="A2907:H2907"/>
    <mergeCell ref="A2908:H2908"/>
    <mergeCell ref="A2909:D2909"/>
    <mergeCell ref="E2909:H2909"/>
    <mergeCell ref="A2910:D2910"/>
    <mergeCell ref="E2910:H2910"/>
    <mergeCell ref="A2911:H2911"/>
    <mergeCell ref="A2913:H2913"/>
    <mergeCell ref="A2914:H2914"/>
    <mergeCell ref="A2915:D2915"/>
    <mergeCell ref="E2915:H2915"/>
    <mergeCell ref="A2916:D2916"/>
    <mergeCell ref="E2916:H2916"/>
    <mergeCell ref="A2917:H2917"/>
    <mergeCell ref="A2919:H2919"/>
    <mergeCell ref="A2920:H2920"/>
    <mergeCell ref="A2921:D2921"/>
    <mergeCell ref="E2921:H2921"/>
    <mergeCell ref="A2922:D2922"/>
    <mergeCell ref="E2922:H2922"/>
    <mergeCell ref="A2923:H2923"/>
    <mergeCell ref="A2925:H2925"/>
    <mergeCell ref="A2926:H2926"/>
    <mergeCell ref="A2927:D2927"/>
    <mergeCell ref="E2927:H2927"/>
    <mergeCell ref="A2928:D2928"/>
    <mergeCell ref="E2928:H2928"/>
    <mergeCell ref="A2929:H2929"/>
    <mergeCell ref="A2931:H2931"/>
    <mergeCell ref="A2932:H2932"/>
    <mergeCell ref="A2933:D2933"/>
    <mergeCell ref="E2933:H2933"/>
    <mergeCell ref="A2934:D2934"/>
    <mergeCell ref="E2934:H2934"/>
    <mergeCell ref="A2935:H2935"/>
    <mergeCell ref="A2937:H2937"/>
    <mergeCell ref="A2938:H2938"/>
    <mergeCell ref="A2939:D2939"/>
    <mergeCell ref="E2939:H2939"/>
    <mergeCell ref="A2940:D2940"/>
    <mergeCell ref="E2940:H2940"/>
    <mergeCell ref="A2941:H2941"/>
    <mergeCell ref="A2943:H2943"/>
    <mergeCell ref="A2944:H2944"/>
    <mergeCell ref="A2945:D2945"/>
    <mergeCell ref="E2945:H2945"/>
    <mergeCell ref="A2946:D2946"/>
    <mergeCell ref="E2946:H2946"/>
    <mergeCell ref="A2947:H2947"/>
    <mergeCell ref="A2949:H2949"/>
    <mergeCell ref="A2950:H2950"/>
    <mergeCell ref="A2951:D2951"/>
    <mergeCell ref="E2951:H2951"/>
    <mergeCell ref="A2952:D2952"/>
    <mergeCell ref="E2952:H2952"/>
    <mergeCell ref="A2953:H2953"/>
    <mergeCell ref="A2955:H2955"/>
    <mergeCell ref="A2956:H2956"/>
    <mergeCell ref="A2957:D2957"/>
    <mergeCell ref="E2957:H2957"/>
    <mergeCell ref="A2958:D2958"/>
    <mergeCell ref="E2958:H2958"/>
    <mergeCell ref="A2959:H2959"/>
    <mergeCell ref="A2961:H2961"/>
    <mergeCell ref="A2962:H2962"/>
    <mergeCell ref="A2963:D2963"/>
    <mergeCell ref="E2963:H2963"/>
    <mergeCell ref="A2964:D2964"/>
    <mergeCell ref="E2964:H2964"/>
    <mergeCell ref="A2965:H2965"/>
    <mergeCell ref="A2967:H2967"/>
    <mergeCell ref="A2968:H2968"/>
    <mergeCell ref="A2969:D2969"/>
    <mergeCell ref="E2969:H2969"/>
    <mergeCell ref="A2970:D2970"/>
    <mergeCell ref="E2970:H2970"/>
    <mergeCell ref="A2971:H2971"/>
    <mergeCell ref="A2973:H2973"/>
    <mergeCell ref="A2974:H2974"/>
    <mergeCell ref="A2975:D2975"/>
    <mergeCell ref="E2975:H2975"/>
    <mergeCell ref="A2976:D2976"/>
    <mergeCell ref="E2976:H2976"/>
    <mergeCell ref="A2977:H2977"/>
    <mergeCell ref="A2979:H2979"/>
    <mergeCell ref="A2980:H2980"/>
    <mergeCell ref="A2981:D2981"/>
    <mergeCell ref="E2981:H2981"/>
    <mergeCell ref="A2982:D2982"/>
    <mergeCell ref="E2982:H2982"/>
    <mergeCell ref="A2983:H2983"/>
    <mergeCell ref="A2985:H2985"/>
    <mergeCell ref="A2986:H2986"/>
    <mergeCell ref="A2987:D2987"/>
    <mergeCell ref="E2987:H2987"/>
    <mergeCell ref="A2988:D2988"/>
    <mergeCell ref="E2988:H2988"/>
    <mergeCell ref="A2989:H2989"/>
    <mergeCell ref="A2991:H2991"/>
    <mergeCell ref="A2992:H2992"/>
    <mergeCell ref="A2993:D2993"/>
    <mergeCell ref="E2993:H2993"/>
    <mergeCell ref="A2994:D2994"/>
    <mergeCell ref="E2994:H2994"/>
    <mergeCell ref="A2995:H2995"/>
    <mergeCell ref="A2997:H2997"/>
    <mergeCell ref="A2998:H2998"/>
    <mergeCell ref="A2999:D2999"/>
    <mergeCell ref="E2999:H2999"/>
    <mergeCell ref="A3000:D3000"/>
    <mergeCell ref="E3000:H3000"/>
    <mergeCell ref="A3001:H3001"/>
    <mergeCell ref="A3003:H3003"/>
    <mergeCell ref="A3004:H3004"/>
    <mergeCell ref="A3005:D3005"/>
    <mergeCell ref="E3005:H3005"/>
    <mergeCell ref="A3006:D3006"/>
    <mergeCell ref="E3006:H3006"/>
    <mergeCell ref="A3007:H3007"/>
    <mergeCell ref="A3009:H3009"/>
    <mergeCell ref="A3010:H3010"/>
    <mergeCell ref="A3011:D3011"/>
    <mergeCell ref="E3011:H3011"/>
    <mergeCell ref="A3012:D3012"/>
    <mergeCell ref="E3012:H3012"/>
    <mergeCell ref="A3013:H3013"/>
    <mergeCell ref="A3015:H3015"/>
    <mergeCell ref="A3016:H3016"/>
    <mergeCell ref="A3017:D3017"/>
    <mergeCell ref="E3017:H3017"/>
    <mergeCell ref="A3018:D3018"/>
    <mergeCell ref="E3018:H3018"/>
    <mergeCell ref="A3019:H3019"/>
    <mergeCell ref="A3021:H3021"/>
    <mergeCell ref="A3022:H3022"/>
    <mergeCell ref="A3023:D3023"/>
    <mergeCell ref="E3023:H3023"/>
    <mergeCell ref="A3024:D3024"/>
    <mergeCell ref="E3024:H3024"/>
    <mergeCell ref="A3025:H3025"/>
    <mergeCell ref="A3027:H3027"/>
    <mergeCell ref="A3028:H3028"/>
    <mergeCell ref="A3029:D3029"/>
    <mergeCell ref="E3029:H3029"/>
    <mergeCell ref="A3030:D3030"/>
    <mergeCell ref="E3030:H3030"/>
    <mergeCell ref="A3031:H3031"/>
    <mergeCell ref="A3033:H3033"/>
    <mergeCell ref="A3034:H3034"/>
    <mergeCell ref="A3035:D3035"/>
    <mergeCell ref="E3035:H3035"/>
    <mergeCell ref="A3036:D3036"/>
    <mergeCell ref="E3036:H3036"/>
    <mergeCell ref="A3037:H3037"/>
    <mergeCell ref="A3039:H3039"/>
    <mergeCell ref="A3040:H3040"/>
    <mergeCell ref="A3041:D3041"/>
    <mergeCell ref="E3041:H3041"/>
    <mergeCell ref="A3042:D3042"/>
    <mergeCell ref="E3042:H3042"/>
    <mergeCell ref="A3043:H3043"/>
    <mergeCell ref="A3045:H3045"/>
    <mergeCell ref="A3046:H3046"/>
    <mergeCell ref="A3047:D3047"/>
    <mergeCell ref="E3047:H3047"/>
    <mergeCell ref="A3048:D3048"/>
    <mergeCell ref="E3048:H3048"/>
    <mergeCell ref="A3049:H3049"/>
    <mergeCell ref="A3051:H3051"/>
    <mergeCell ref="A3052:H3052"/>
    <mergeCell ref="A3053:D3053"/>
    <mergeCell ref="E3053:H3053"/>
    <mergeCell ref="A3054:D3054"/>
    <mergeCell ref="E3054:H3054"/>
    <mergeCell ref="A3055:H3055"/>
    <mergeCell ref="A3057:H3057"/>
    <mergeCell ref="A3058:H3058"/>
    <mergeCell ref="A3059:D3059"/>
    <mergeCell ref="E3059:H3059"/>
    <mergeCell ref="A3060:D3060"/>
    <mergeCell ref="E3060:H3060"/>
    <mergeCell ref="A3061:H3061"/>
    <mergeCell ref="A3063:H3063"/>
    <mergeCell ref="A3064:H3064"/>
    <mergeCell ref="A3065:D3065"/>
    <mergeCell ref="E3065:H3065"/>
    <mergeCell ref="A3066:D3066"/>
    <mergeCell ref="E3066:H3066"/>
    <mergeCell ref="A3067:H3067"/>
    <mergeCell ref="A3069:H3069"/>
    <mergeCell ref="A3070:H3070"/>
    <mergeCell ref="A3071:D3071"/>
    <mergeCell ref="E3071:H3071"/>
    <mergeCell ref="A3072:D3072"/>
    <mergeCell ref="E3072:H3072"/>
    <mergeCell ref="A3073:H3073"/>
    <mergeCell ref="A3075:H3075"/>
    <mergeCell ref="A3076:H3076"/>
    <mergeCell ref="A3077:D3077"/>
    <mergeCell ref="E3077:H3077"/>
    <mergeCell ref="A3078:D3078"/>
    <mergeCell ref="E3078:H3078"/>
    <mergeCell ref="A3079:H3079"/>
    <mergeCell ref="A3081:H3081"/>
    <mergeCell ref="A3082:H3082"/>
    <mergeCell ref="A3083:D3083"/>
    <mergeCell ref="E3083:H3083"/>
    <mergeCell ref="A3084:D3084"/>
    <mergeCell ref="E3084:H3084"/>
    <mergeCell ref="A3085:H3085"/>
    <mergeCell ref="A3087:H3087"/>
    <mergeCell ref="A3088:H3088"/>
    <mergeCell ref="A3089:H3089"/>
    <mergeCell ref="A3090:H3090"/>
    <mergeCell ref="A3091:H3091"/>
    <mergeCell ref="A3092:D3092"/>
    <mergeCell ref="E3092:H3092"/>
    <mergeCell ref="A3093:D3093"/>
    <mergeCell ref="E3093:H3093"/>
    <mergeCell ref="A3094:H3094"/>
    <mergeCell ref="A3096:H3096"/>
    <mergeCell ref="A3097:H3097"/>
    <mergeCell ref="A3098:D3098"/>
    <mergeCell ref="E3098:H3098"/>
    <mergeCell ref="A3099:D3099"/>
    <mergeCell ref="E3099:H3099"/>
    <mergeCell ref="A3100:H3100"/>
    <mergeCell ref="A3102:H3102"/>
    <mergeCell ref="A3103:H3103"/>
    <mergeCell ref="A3104:D3104"/>
    <mergeCell ref="E3104:H3104"/>
    <mergeCell ref="A3105:D3105"/>
    <mergeCell ref="E3105:H3105"/>
    <mergeCell ref="A3106:H3106"/>
    <mergeCell ref="A3108:H3108"/>
    <mergeCell ref="A3109:H3109"/>
    <mergeCell ref="A3110:D3110"/>
    <mergeCell ref="E3110:H3110"/>
    <mergeCell ref="A3111:D3111"/>
    <mergeCell ref="E3111:H3111"/>
    <mergeCell ref="A3112:H3112"/>
    <mergeCell ref="A3114:H3114"/>
    <mergeCell ref="A3115:H3115"/>
    <mergeCell ref="A3116:D3116"/>
    <mergeCell ref="E3116:H3116"/>
    <mergeCell ref="A3117:D3117"/>
    <mergeCell ref="E3117:H3117"/>
    <mergeCell ref="A3118:H3118"/>
    <mergeCell ref="A3120:H3120"/>
    <mergeCell ref="A3121:H3121"/>
    <mergeCell ref="A3122:D3122"/>
    <mergeCell ref="E3122:H3122"/>
    <mergeCell ref="A3123:D3123"/>
    <mergeCell ref="E3123:H3123"/>
    <mergeCell ref="A3124:H3124"/>
    <mergeCell ref="A3126:H3126"/>
    <mergeCell ref="A3127:H3127"/>
    <mergeCell ref="A3128:D3128"/>
    <mergeCell ref="E3128:H3128"/>
    <mergeCell ref="A3129:D3129"/>
    <mergeCell ref="E3129:H3129"/>
    <mergeCell ref="A3130:H3130"/>
    <mergeCell ref="A3132:H3132"/>
    <mergeCell ref="A3133:H3133"/>
    <mergeCell ref="A3134:D3134"/>
    <mergeCell ref="E3134:H3134"/>
    <mergeCell ref="A3135:D3135"/>
    <mergeCell ref="E3135:H3135"/>
    <mergeCell ref="A3136:H3136"/>
    <mergeCell ref="A3138:H3138"/>
    <mergeCell ref="A3139:H3139"/>
    <mergeCell ref="A3140:D3140"/>
    <mergeCell ref="E3140:H3140"/>
    <mergeCell ref="A3141:D3141"/>
    <mergeCell ref="E3141:H3141"/>
    <mergeCell ref="A3142:H3142"/>
    <mergeCell ref="A3144:H3144"/>
    <mergeCell ref="A3145:H3145"/>
    <mergeCell ref="A3146:D3146"/>
    <mergeCell ref="E3146:H3146"/>
    <mergeCell ref="A3147:D3147"/>
    <mergeCell ref="E3147:H3147"/>
    <mergeCell ref="A3148:H3148"/>
    <mergeCell ref="A3150:H3150"/>
    <mergeCell ref="A3151:H3151"/>
    <mergeCell ref="A3152:D3152"/>
    <mergeCell ref="E3152:H3152"/>
    <mergeCell ref="A3153:D3153"/>
    <mergeCell ref="E3153:H3153"/>
    <mergeCell ref="A3154:H3154"/>
    <mergeCell ref="A3156:H3156"/>
    <mergeCell ref="A3157:H3157"/>
    <mergeCell ref="A3158:H3158"/>
    <mergeCell ref="A3159:D3159"/>
    <mergeCell ref="E3159:H3159"/>
    <mergeCell ref="A3160:D3160"/>
    <mergeCell ref="E3160:H3160"/>
    <mergeCell ref="A3161:H3161"/>
    <mergeCell ref="A3163:H3163"/>
    <mergeCell ref="A3164:H3164"/>
    <mergeCell ref="A3165:D3165"/>
    <mergeCell ref="E3165:H3165"/>
    <mergeCell ref="A3166:D3166"/>
    <mergeCell ref="E3166:H3166"/>
    <mergeCell ref="A3167:H3167"/>
    <mergeCell ref="A3169:H3169"/>
    <mergeCell ref="A3170:H3170"/>
    <mergeCell ref="A3171:D3171"/>
    <mergeCell ref="E3171:H3171"/>
    <mergeCell ref="A3172:D3172"/>
    <mergeCell ref="E3172:H3172"/>
    <mergeCell ref="A3173:H3173"/>
    <mergeCell ref="A3175:H3175"/>
    <mergeCell ref="A3176:H3176"/>
    <mergeCell ref="A3177:D3177"/>
    <mergeCell ref="E3177:H3177"/>
    <mergeCell ref="A3178:D3178"/>
    <mergeCell ref="E3178:H3178"/>
    <mergeCell ref="A3179:H3179"/>
    <mergeCell ref="A3181:H3181"/>
    <mergeCell ref="A3182:H3182"/>
    <mergeCell ref="A3183:D3183"/>
    <mergeCell ref="E3183:H3183"/>
    <mergeCell ref="A3184:D3184"/>
    <mergeCell ref="E3184:H3184"/>
    <mergeCell ref="A3185:H3185"/>
    <mergeCell ref="A3187:H3187"/>
    <mergeCell ref="A3188:H3188"/>
    <mergeCell ref="A3189:D3189"/>
    <mergeCell ref="E3189:H3189"/>
    <mergeCell ref="A3190:D3190"/>
    <mergeCell ref="E3190:H3190"/>
    <mergeCell ref="A3191:H3191"/>
    <mergeCell ref="A3193:H3193"/>
    <mergeCell ref="A3194:H3194"/>
    <mergeCell ref="A3195:D3195"/>
    <mergeCell ref="E3195:H3195"/>
    <mergeCell ref="A3196:D3196"/>
    <mergeCell ref="E3196:H3196"/>
    <mergeCell ref="A3197:H3197"/>
    <mergeCell ref="A3199:H3199"/>
    <mergeCell ref="A3200:H3200"/>
    <mergeCell ref="A3201:D3201"/>
    <mergeCell ref="E3201:H3201"/>
    <mergeCell ref="A3202:D3202"/>
    <mergeCell ref="E3202:H3202"/>
    <mergeCell ref="A3203:H3203"/>
    <mergeCell ref="A3205:H3205"/>
    <mergeCell ref="A3206:H3206"/>
    <mergeCell ref="A3207:D3207"/>
    <mergeCell ref="E3207:H3207"/>
    <mergeCell ref="A3208:D3208"/>
    <mergeCell ref="E3208:H3208"/>
    <mergeCell ref="A3209:H3209"/>
    <mergeCell ref="A3211:H3211"/>
    <mergeCell ref="A3212:H3212"/>
    <mergeCell ref="A3213:D3213"/>
    <mergeCell ref="E3213:H3213"/>
    <mergeCell ref="A3214:D3214"/>
    <mergeCell ref="E3214:H3214"/>
    <mergeCell ref="A3215:H3215"/>
    <mergeCell ref="A3217:H3217"/>
    <mergeCell ref="A3218:H3218"/>
    <mergeCell ref="A3219:H3219"/>
    <mergeCell ref="A3220:D3220"/>
    <mergeCell ref="E3220:H3220"/>
    <mergeCell ref="A3221:D3221"/>
    <mergeCell ref="E3221:H3221"/>
    <mergeCell ref="A3222:H3222"/>
    <mergeCell ref="A3224:H3224"/>
    <mergeCell ref="A3225:H3225"/>
    <mergeCell ref="A3226:D3226"/>
    <mergeCell ref="E3226:H3226"/>
    <mergeCell ref="A3227:D3227"/>
    <mergeCell ref="E3227:H3227"/>
    <mergeCell ref="A3228:H3228"/>
    <mergeCell ref="A3230:H3230"/>
    <mergeCell ref="A3231:H3231"/>
    <mergeCell ref="A3232:D3232"/>
    <mergeCell ref="E3232:H3232"/>
    <mergeCell ref="A3233:D3233"/>
    <mergeCell ref="E3233:H3233"/>
    <mergeCell ref="A3234:H3234"/>
    <mergeCell ref="A3236:H3236"/>
    <mergeCell ref="A3237:H3237"/>
    <mergeCell ref="A3238:H3238"/>
    <mergeCell ref="A3239:H3239"/>
    <mergeCell ref="A3240:H3240"/>
    <mergeCell ref="A3241:H3241"/>
    <mergeCell ref="A3242:D3242"/>
    <mergeCell ref="E3242:H3242"/>
    <mergeCell ref="A3243:D3243"/>
    <mergeCell ref="E3243:H3243"/>
    <mergeCell ref="A3244:H3244"/>
    <mergeCell ref="A3246:H3246"/>
    <mergeCell ref="A3247:H3247"/>
    <mergeCell ref="A3248:D3248"/>
    <mergeCell ref="E3248:H3248"/>
    <mergeCell ref="A3249:D3249"/>
    <mergeCell ref="E3249:H3249"/>
    <mergeCell ref="A3250:H3250"/>
    <mergeCell ref="A3252:H3252"/>
    <mergeCell ref="A3253:H3253"/>
    <mergeCell ref="A3254:D3254"/>
    <mergeCell ref="E3254:H3254"/>
    <mergeCell ref="A3255:D3255"/>
    <mergeCell ref="E3255:H3255"/>
    <mergeCell ref="A3256:H3256"/>
    <mergeCell ref="A3258:H3258"/>
    <mergeCell ref="A3259:H3259"/>
    <mergeCell ref="A3260:D3260"/>
    <mergeCell ref="E3260:H3260"/>
    <mergeCell ref="A3261:D3261"/>
    <mergeCell ref="E3261:H3261"/>
    <mergeCell ref="A3262:H326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rowBreaks count="404" manualBreakCount="404">
    <brk id="9" man="true" max="16383" min="0"/>
    <brk id="16" man="true" max="16383" min="0"/>
    <brk id="23" man="true" max="16383" min="0"/>
    <brk id="30" man="true" max="16383" min="0"/>
    <brk id="37" man="true" max="16383" min="0"/>
    <brk id="44" man="true" max="16383" min="0"/>
    <brk id="51" man="true" max="16383" min="0"/>
    <brk id="58" man="true" max="16383" min="0"/>
    <brk id="65" man="true" max="16383" min="0"/>
    <brk id="72" man="true" max="16383" min="0"/>
    <brk id="79" man="true" max="16383" min="0"/>
    <brk id="86" man="true" max="16383" min="0"/>
    <brk id="93" man="true" max="16383" min="0"/>
    <brk id="100" man="true" max="16383" min="0"/>
    <brk id="107" man="true" max="16383" min="0"/>
    <brk id="114" man="true" max="16383" min="0"/>
    <brk id="121" man="true" max="16383" min="0"/>
    <brk id="128" man="true" max="16383" min="0"/>
    <brk id="135" man="true" max="16383" min="0"/>
    <brk id="142" man="true" max="16383" min="0"/>
    <brk id="149" man="true" max="16383" min="0"/>
    <brk id="156" man="true" max="16383" min="0"/>
    <brk id="165" man="true" max="16383" min="0"/>
    <brk id="172" man="true" max="16383" min="0"/>
    <brk id="179" man="true" max="16383" min="0"/>
    <brk id="186" man="true" max="16383" min="0"/>
    <brk id="193" man="true" max="16383" min="0"/>
    <brk id="200" man="true" max="16383" min="0"/>
    <brk id="207" man="true" max="16383" min="0"/>
    <brk id="214" man="true" max="16383" min="0"/>
    <brk id="221" man="true" max="16383" min="0"/>
    <brk id="228" man="true" max="16383" min="0"/>
    <brk id="235" man="true" max="16383" min="0"/>
    <brk id="242" man="true" max="16383" min="0"/>
    <brk id="249" man="true" max="16383" min="0"/>
    <brk id="256" man="true" max="16383" min="0"/>
    <brk id="263" man="true" max="16383" min="0"/>
    <brk id="270" man="true" max="16383" min="0"/>
    <brk id="277" man="true" max="16383" min="0"/>
    <brk id="284" man="true" max="16383" min="0"/>
    <brk id="291" man="true" max="16383" min="0"/>
    <brk id="298" man="true" max="16383" min="0"/>
    <brk id="305" man="true" max="16383" min="0"/>
    <brk id="312" man="true" max="16383" min="0"/>
    <brk id="319" man="true" max="16383" min="0"/>
    <brk id="328" man="true" max="16383" min="0"/>
    <brk id="335" man="true" max="16383" min="0"/>
    <brk id="342" man="true" max="16383" min="0"/>
    <brk id="349" man="true" max="16383" min="0"/>
    <brk id="356" man="true" max="16383" min="0"/>
    <brk id="363" man="true" max="16383" min="0"/>
    <brk id="370" man="true" max="16383" min="0"/>
    <brk id="377" man="true" max="16383" min="0"/>
    <brk id="384" man="true" max="16383" min="0"/>
    <brk id="391" man="true" max="16383" min="0"/>
    <brk id="398" man="true" max="16383" min="0"/>
    <brk id="405" man="true" max="16383" min="0"/>
    <brk id="412" man="true" max="16383" min="0"/>
    <brk id="419" man="true" max="16383" min="0"/>
    <brk id="426" man="true" max="16383" min="0"/>
    <brk id="433" man="true" max="16383" min="0"/>
    <brk id="440" man="true" max="16383" min="0"/>
    <brk id="447" man="true" max="16383" min="0"/>
    <brk id="454" man="true" max="16383" min="0"/>
    <brk id="461" man="true" max="16383" min="0"/>
    <brk id="468" man="true" max="16383" min="0"/>
    <brk id="475" man="true" max="16383" min="0"/>
    <brk id="482" man="true" max="16383" min="0"/>
    <brk id="489" man="true" max="16383" min="0"/>
    <brk id="498" man="true" max="16383" min="0"/>
    <brk id="506" man="true" max="16383" min="0"/>
    <brk id="513" man="true" max="16383" min="0"/>
    <brk id="520" man="true" max="16383" min="0"/>
    <brk id="527" man="true" max="16383" min="0"/>
    <brk id="534" man="true" max="16383" min="0"/>
    <brk id="541" man="true" max="16383" min="0"/>
    <brk id="548" man="true" max="16383" min="0"/>
    <brk id="555" man="true" max="16383" min="0"/>
    <brk id="562" man="true" max="16383" min="0"/>
    <brk id="569" man="true" max="16383" min="0"/>
    <brk id="576" man="true" max="16383" min="0"/>
    <brk id="583" man="true" max="16383" min="0"/>
    <brk id="590" man="true" max="16383" min="0"/>
    <brk id="597" man="true" max="16383" min="0"/>
    <brk id="604" man="true" max="16383" min="0"/>
    <brk id="611" man="true" max="16383" min="0"/>
    <brk id="618" man="true" max="16383" min="0"/>
    <brk id="625" man="true" max="16383" min="0"/>
    <brk id="632" man="true" max="16383" min="0"/>
    <brk id="639" man="true" max="16383" min="0"/>
    <brk id="646" man="true" max="16383" min="0"/>
    <brk id="653" man="true" max="16383" min="0"/>
    <brk id="660" man="true" max="16383" min="0"/>
    <brk id="668" man="true" max="16383" min="0"/>
    <brk id="675" man="true" max="16383" min="0"/>
    <brk id="682" man="true" max="16383" min="0"/>
    <brk id="689" man="true" max="16383" min="0"/>
    <brk id="698" man="true" max="16383" min="0"/>
    <brk id="704" man="true" max="16383" min="0"/>
    <brk id="711" man="true" max="16383" min="0"/>
    <brk id="718" man="true" max="16383" min="0"/>
    <brk id="725" man="true" max="16383" min="0"/>
    <brk id="732" man="true" max="16383" min="0"/>
    <brk id="739" man="true" max="16383" min="0"/>
    <brk id="746" man="true" max="16383" min="0"/>
    <brk id="753" man="true" max="16383" min="0"/>
    <brk id="760" man="true" max="16383" min="0"/>
    <brk id="768" man="true" max="16383" min="0"/>
    <brk id="775" man="true" max="16383" min="0"/>
    <brk id="782" man="true" max="16383" min="0"/>
    <brk id="789" man="true" max="16383" min="0"/>
    <brk id="796" man="true" max="16383" min="0"/>
    <brk id="803" man="true" max="16383" min="0"/>
    <brk id="810" man="true" max="16383" min="0"/>
    <brk id="817" man="true" max="16383" min="0"/>
    <brk id="824" man="true" max="16383" min="0"/>
    <brk id="832" man="true" max="16383" min="0"/>
    <brk id="834" man="true" max="16383" min="0"/>
    <brk id="837" man="true" max="16383" min="0"/>
    <brk id="849" man="true" max="16383" min="0"/>
    <brk id="856" man="true" max="16383" min="0"/>
    <brk id="863" man="true" max="16383" min="0"/>
    <brk id="870" man="true" max="16383" min="0"/>
    <brk id="877" man="true" max="16383" min="0"/>
    <brk id="884" man="true" max="16383" min="0"/>
    <brk id="891" man="true" max="16383" min="0"/>
    <brk id="898" man="true" max="16383" min="0"/>
    <brk id="905" man="true" max="16383" min="0"/>
    <brk id="912" man="true" max="16383" min="0"/>
    <brk id="919" man="true" max="16383" min="0"/>
    <brk id="926" man="true" max="16383" min="0"/>
    <brk id="933" man="true" max="16383" min="0"/>
    <brk id="940" man="true" max="16383" min="0"/>
    <brk id="947" man="true" max="16383" min="0"/>
    <brk id="954" man="true" max="16383" min="0"/>
    <brk id="961" man="true" max="16383" min="0"/>
    <brk id="969" man="true" max="16383" min="0"/>
    <brk id="974" man="true" max="16383" min="0"/>
    <brk id="983" man="true" max="16383" min="0"/>
    <brk id="991" man="true" max="16383" min="0"/>
    <brk id="994" man="true" max="16383" min="0"/>
    <brk id="999" man="true" max="16383" min="0"/>
    <brk id="1007" man="true" max="16383" min="0"/>
    <brk id="1009" man="true" max="16383" min="0"/>
    <brk id="1010" man="true" max="16383" min="0"/>
    <brk id="1011" man="true" max="16383" min="0"/>
    <brk id="1014" man="true" max="16383" min="0"/>
    <brk id="1016" man="true" max="16383" min="0"/>
    <brk id="1024" man="true" max="16383" min="0"/>
    <brk id="1031" man="true" max="16383" min="0"/>
    <brk id="1038" man="true" max="16383" min="0"/>
    <brk id="1045" man="true" max="16383" min="0"/>
    <brk id="1052" man="true" max="16383" min="0"/>
    <brk id="1059" man="true" max="16383" min="0"/>
    <brk id="1066" man="true" max="16383" min="0"/>
    <brk id="1073" man="true" max="16383" min="0"/>
    <brk id="1080" man="true" max="16383" min="0"/>
    <brk id="1087" man="true" max="16383" min="0"/>
    <brk id="1094" man="true" max="16383" min="0"/>
    <brk id="1101" man="true" max="16383" min="0"/>
    <brk id="1108" man="true" max="16383" min="0"/>
    <brk id="1115" man="true" max="16383" min="0"/>
    <brk id="1122" man="true" max="16383" min="0"/>
    <brk id="1129" man="true" max="16383" min="0"/>
    <brk id="1136" man="true" max="16383" min="0"/>
    <brk id="1143" man="true" max="16383" min="0"/>
    <brk id="1150" man="true" max="16383" min="0"/>
    <brk id="1157" man="true" max="16383" min="0"/>
    <brk id="1164" man="true" max="16383" min="0"/>
    <brk id="1171" man="true" max="16383" min="0"/>
    <brk id="1178" man="true" max="16383" min="0"/>
    <brk id="1185" man="true" max="16383" min="0"/>
    <brk id="1193" man="true" max="16383" min="0"/>
    <brk id="1200" man="true" max="16383" min="0"/>
    <brk id="1207" man="true" max="16383" min="0"/>
    <brk id="1214" man="true" max="16383" min="0"/>
    <brk id="1221" man="true" max="16383" min="0"/>
    <brk id="1228" man="true" max="16383" min="0"/>
    <brk id="1235" man="true" max="16383" min="0"/>
    <brk id="1242" man="true" max="16383" min="0"/>
    <brk id="1249" man="true" max="16383" min="0"/>
    <brk id="1256" man="true" max="16383" min="0"/>
    <brk id="1263" man="true" max="16383" min="0"/>
    <brk id="1272" man="true" max="16383" min="0"/>
    <brk id="1279" man="true" max="16383" min="0"/>
    <brk id="1286" man="true" max="16383" min="0"/>
    <brk id="1293" man="true" max="16383" min="0"/>
    <brk id="1300" man="true" max="16383" min="0"/>
    <brk id="1307" man="true" max="16383" min="0"/>
    <brk id="1314" man="true" max="16383" min="0"/>
    <brk id="1322" man="true" max="16383" min="0"/>
    <brk id="1331" man="true" max="16383" min="0"/>
    <brk id="1338" man="true" max="16383" min="0"/>
    <brk id="1350" man="true" max="16383" min="0"/>
    <brk id="1362" man="true" max="16383" min="0"/>
    <brk id="1368" man="true" max="16383" min="0"/>
    <brk id="1374" man="true" max="16383" min="0"/>
    <brk id="1382" man="true" max="16383" min="0"/>
    <brk id="1394" man="true" max="16383" min="0"/>
    <brk id="1406" man="true" max="16383" min="0"/>
    <brk id="1414" man="true" max="16383" min="0"/>
    <brk id="1421" man="true" max="16383" min="0"/>
    <brk id="1427" man="true" max="16383" min="0"/>
    <brk id="1433" man="true" max="16383" min="0"/>
    <brk id="1445" man="true" max="16383" min="0"/>
    <brk id="1457" man="true" max="16383" min="0"/>
    <brk id="1469" man="true" max="16383" min="0"/>
    <brk id="1481" man="true" max="16383" min="0"/>
    <brk id="1487" man="true" max="16383" min="0"/>
    <brk id="1493" man="true" max="16383" min="0"/>
    <brk id="1499" man="true" max="16383" min="0"/>
    <brk id="1511" man="true" max="16383" min="0"/>
    <brk id="1517" man="true" max="16383" min="0"/>
    <brk id="1523" man="true" max="16383" min="0"/>
    <brk id="1531" man="true" max="16383" min="0"/>
    <brk id="1537" man="true" max="16383" min="0"/>
    <brk id="1549" man="true" max="16383" min="0"/>
    <brk id="1555" man="true" max="16383" min="0"/>
    <brk id="1561" man="true" max="16383" min="0"/>
    <brk id="1567" man="true" max="16383" min="0"/>
    <brk id="1579" man="true" max="16383" min="0"/>
    <brk id="1592" man="true" max="16383" min="0"/>
    <brk id="1598" man="true" max="16383" min="0"/>
    <brk id="1612" man="true" max="16383" min="0"/>
    <brk id="1618" man="true" max="16383" min="0"/>
    <brk id="1630" man="true" max="16383" min="0"/>
    <brk id="1642" man="true" max="16383" min="0"/>
    <brk id="1654" man="true" max="16383" min="0"/>
    <brk id="1660" man="true" max="16383" min="0"/>
    <brk id="1666" man="true" max="16383" min="0"/>
    <brk id="1673" man="true" max="16383" min="0"/>
    <brk id="1685" man="true" max="16383" min="0"/>
    <brk id="1697" man="true" max="16383" min="0"/>
    <brk id="1709" man="true" max="16383" min="0"/>
    <brk id="1715" man="true" max="16383" min="0"/>
    <brk id="1721" man="true" max="16383" min="0"/>
    <brk id="1733" man="true" max="16383" min="0"/>
    <brk id="1739" man="true" max="16383" min="0"/>
    <brk id="1745" man="true" max="16383" min="0"/>
    <brk id="1757" man="true" max="16383" min="0"/>
    <brk id="1769" man="true" max="16383" min="0"/>
    <brk id="1777" man="true" max="16383" min="0"/>
    <brk id="1784" man="true" max="16383" min="0"/>
    <brk id="1790" man="true" max="16383" min="0"/>
    <brk id="1796" man="true" max="16383" min="0"/>
    <brk id="1808" man="true" max="16383" min="0"/>
    <brk id="1814" man="true" max="16383" min="0"/>
    <brk id="1826" man="true" max="16383" min="0"/>
    <brk id="1838" man="true" max="16383" min="0"/>
    <brk id="1844" man="true" max="16383" min="0"/>
    <brk id="1850" man="true" max="16383" min="0"/>
    <brk id="1856" man="true" max="16383" min="0"/>
    <brk id="1864" man="true" max="16383" min="0"/>
    <brk id="1870" man="true" max="16383" min="0"/>
    <brk id="1876" man="true" max="16383" min="0"/>
    <brk id="1888" man="true" max="16383" min="0"/>
    <brk id="1900" man="true" max="16383" min="0"/>
    <brk id="1912" man="true" max="16383" min="0"/>
    <brk id="1924" man="true" max="16383" min="0"/>
    <brk id="1936" man="true" max="16383" min="0"/>
    <brk id="1942" man="true" max="16383" min="0"/>
    <brk id="1948" man="true" max="16383" min="0"/>
    <brk id="1960" man="true" max="16383" min="0"/>
    <brk id="1972" man="true" max="16383" min="0"/>
    <brk id="1984" man="true" max="16383" min="0"/>
    <brk id="1990" man="true" max="16383" min="0"/>
    <brk id="1996" man="true" max="16383" min="0"/>
    <brk id="2008" man="true" max="16383" min="0"/>
    <brk id="2014" man="true" max="16383" min="0"/>
    <brk id="2026" man="true" max="16383" min="0"/>
    <brk id="2032" man="true" max="16383" min="0"/>
    <brk id="2044" man="true" max="16383" min="0"/>
    <brk id="2056" man="true" max="16383" min="0"/>
    <brk id="2062" man="true" max="16383" min="0"/>
    <brk id="2074" man="true" max="16383" min="0"/>
    <brk id="2080" man="true" max="16383" min="0"/>
    <brk id="2086" man="true" max="16383" min="0"/>
    <brk id="2092" man="true" max="16383" min="0"/>
    <brk id="2098" man="true" max="16383" min="0"/>
    <brk id="2110" man="true" max="16383" min="0"/>
    <brk id="2122" man="true" max="16383" min="0"/>
    <brk id="2134" man="true" max="16383" min="0"/>
    <brk id="2146" man="true" max="16383" min="0"/>
    <brk id="2152" man="true" max="16383" min="0"/>
    <brk id="2158" man="true" max="16383" min="0"/>
    <brk id="2170" man="true" max="16383" min="0"/>
    <brk id="2176" man="true" max="16383" min="0"/>
    <brk id="2188" man="true" max="16383" min="0"/>
    <brk id="2196" man="true" max="16383" min="0"/>
    <brk id="2202" man="true" max="16383" min="0"/>
    <brk id="2210" man="true" max="16383" min="0"/>
    <brk id="2215" man="true" max="16383" min="0"/>
    <brk id="2224" man="true" max="16383" min="0"/>
    <brk id="2230" man="true" max="16383" min="0"/>
    <brk id="2242" man="true" max="16383" min="0"/>
    <brk id="2250" man="true" max="16383" min="0"/>
    <brk id="2257" man="true" max="16383" min="0"/>
    <brk id="2269" man="true" max="16383" min="0"/>
    <brk id="2275" man="true" max="16383" min="0"/>
    <brk id="2281" man="true" max="16383" min="0"/>
    <brk id="2294" man="true" max="16383" min="0"/>
    <brk id="2298" man="true" max="16383" min="0"/>
    <brk id="2308" man="true" max="16383" min="0"/>
    <brk id="2314" man="true" max="16383" min="0"/>
    <brk id="2326" man="true" max="16383" min="0"/>
    <brk id="2338" man="true" max="16383" min="0"/>
    <brk id="2350" man="true" max="16383" min="0"/>
    <brk id="2356" man="true" max="16383" min="0"/>
    <brk id="2362" man="true" max="16383" min="0"/>
    <brk id="2374" man="true" max="16383" min="0"/>
    <brk id="2380" man="true" max="16383" min="0"/>
    <brk id="2386" man="true" max="16383" min="0"/>
    <brk id="2398" man="true" max="16383" min="0"/>
    <brk id="2404" man="true" max="16383" min="0"/>
    <brk id="2410" man="true" max="16383" min="0"/>
    <brk id="2416" man="true" max="16383" min="0"/>
    <brk id="2422" man="true" max="16383" min="0"/>
    <brk id="2434" man="true" max="16383" min="0"/>
    <brk id="2446" man="true" max="16383" min="0"/>
    <brk id="2452" man="true" max="16383" min="0"/>
    <brk id="2464" man="true" max="16383" min="0"/>
    <brk id="2476" man="true" max="16383" min="0"/>
    <brk id="2488" man="true" max="16383" min="0"/>
    <brk id="2500" man="true" max="16383" min="0"/>
    <brk id="2512" man="true" max="16383" min="0"/>
    <brk id="2521" man="true" max="16383" min="0"/>
    <brk id="2526" man="true" max="16383" min="0"/>
    <brk id="2538" man="true" max="16383" min="0"/>
    <brk id="2544" man="true" max="16383" min="0"/>
    <brk id="2556" man="true" max="16383" min="0"/>
    <brk id="2562" man="true" max="16383" min="0"/>
    <brk id="2568" man="true" max="16383" min="0"/>
    <brk id="2580" man="true" max="16383" min="0"/>
    <brk id="2592" man="true" max="16383" min="0"/>
    <brk id="2604" man="true" max="16383" min="0"/>
    <brk id="2616" man="true" max="16383" min="0"/>
    <brk id="2628" man="true" max="16383" min="0"/>
    <brk id="2640" man="true" max="16383" min="0"/>
    <brk id="2652" man="true" max="16383" min="0"/>
    <brk id="2664" man="true" max="16383" min="0"/>
    <brk id="2676" man="true" max="16383" min="0"/>
    <brk id="2682" man="true" max="16383" min="0"/>
    <brk id="2688" man="true" max="16383" min="0"/>
    <brk id="2694" man="true" max="16383" min="0"/>
    <brk id="2706" man="true" max="16383" min="0"/>
    <brk id="2718" man="true" max="16383" min="0"/>
    <brk id="2730" man="true" max="16383" min="0"/>
    <brk id="2742" man="true" max="16383" min="0"/>
    <brk id="2754" man="true" max="16383" min="0"/>
    <brk id="2760" man="true" max="16383" min="0"/>
    <brk id="2766" man="true" max="16383" min="0"/>
    <brk id="2778" man="true" max="16383" min="0"/>
    <brk id="2790" man="true" max="16383" min="0"/>
    <brk id="2796" man="true" max="16383" min="0"/>
    <brk id="2808" man="true" max="16383" min="0"/>
    <brk id="2820" man="true" max="16383" min="0"/>
    <brk id="2826" man="true" max="16383" min="0"/>
    <brk id="2832" man="true" max="16383" min="0"/>
    <brk id="2838" man="true" max="16383" min="0"/>
    <brk id="2846" man="true" max="16383" min="0"/>
    <brk id="2858" man="true" max="16383" min="0"/>
    <brk id="2870" man="true" max="16383" min="0"/>
    <brk id="2882" man="true" max="16383" min="0"/>
    <brk id="2894" man="true" max="16383" min="0"/>
    <brk id="2900" man="true" max="16383" min="0"/>
    <brk id="2906" man="true" max="16383" min="0"/>
    <brk id="2912" man="true" max="16383" min="0"/>
    <brk id="2918" man="true" max="16383" min="0"/>
    <brk id="2930" man="true" max="16383" min="0"/>
    <brk id="2942" man="true" max="16383" min="0"/>
    <brk id="2948" man="true" max="16383" min="0"/>
    <brk id="2960" man="true" max="16383" min="0"/>
    <brk id="2972" man="true" max="16383" min="0"/>
    <brk id="2984" man="true" max="16383" min="0"/>
    <brk id="2996" man="true" max="16383" min="0"/>
    <brk id="3002" man="true" max="16383" min="0"/>
    <brk id="3014" man="true" max="16383" min="0"/>
    <brk id="3026" man="true" max="16383" min="0"/>
    <brk id="3032" man="true" max="16383" min="0"/>
    <brk id="3038" man="true" max="16383" min="0"/>
    <brk id="3050" man="true" max="16383" min="0"/>
    <brk id="3062" man="true" max="16383" min="0"/>
    <brk id="3068" man="true" max="16383" min="0"/>
    <brk id="3080" man="true" max="16383" min="0"/>
    <brk id="3088" man="true" max="16383" min="0"/>
    <brk id="3095" man="true" max="16383" min="0"/>
    <brk id="3107" man="true" max="16383" min="0"/>
    <brk id="3113" man="true" max="16383" min="0"/>
    <brk id="3119" man="true" max="16383" min="0"/>
    <brk id="3125" man="true" max="16383" min="0"/>
    <brk id="3131" man="true" max="16383" min="0"/>
    <brk id="3143" man="true" max="16383" min="0"/>
    <brk id="3155" man="true" max="16383" min="0"/>
    <brk id="3162" man="true" max="16383" min="0"/>
    <brk id="3168" man="true" max="16383" min="0"/>
    <brk id="3180" man="true" max="16383" min="0"/>
    <brk id="3192" man="true" max="16383" min="0"/>
    <brk id="3204" man="true" max="16383" min="0"/>
    <brk id="3216" man="true" max="16383" min="0"/>
    <brk id="3223" man="true" max="16383" min="0"/>
    <brk id="3236" man="true" max="16383" min="0"/>
    <brk id="3239" man="true" max="16383" min="0"/>
    <brk id="3245" man="true" max="16383" min="0"/>
    <brk id="3257"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7CA5"/>
    <pageSetUpPr fitToPage="true"/>
  </sheetPr>
  <dimension ref="A1:Q5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11.00390625" defaultRowHeight="18" customHeight="false" zeroHeight="false" outlineLevelRow="0" outlineLevelCol="0"/>
  <cols>
    <col collapsed="false" customWidth="true" hidden="false" outlineLevel="0" max="1" min="1" style="0" width="7"/>
    <col collapsed="false" customWidth="true" hidden="false" outlineLevel="0" max="2" min="2" style="0" width="23"/>
    <col collapsed="false" customWidth="true" hidden="false" outlineLevel="0" max="3" min="3" style="0" width="8"/>
    <col collapsed="false" customWidth="true" hidden="false" outlineLevel="0" max="4" min="4" style="0" width="31"/>
    <col collapsed="false" customWidth="true" hidden="false" outlineLevel="0" max="5" min="5" style="0" width="23"/>
    <col collapsed="false" customWidth="true" hidden="false" outlineLevel="0" max="6" min="6" style="0" width="10"/>
    <col collapsed="false" customWidth="true" hidden="false" outlineLevel="0" max="7" min="7" style="0" width="27"/>
    <col collapsed="false" customWidth="true" hidden="false" outlineLevel="0" max="8" min="8" style="0" width="29"/>
    <col collapsed="false" customWidth="true" hidden="false" outlineLevel="0" max="9" min="9" style="0" width="105"/>
    <col collapsed="false" customWidth="true" hidden="false" outlineLevel="0" max="10" min="10" style="0" width="72"/>
    <col collapsed="false" customWidth="true" hidden="false" outlineLevel="0" max="14" min="11" style="0" width="46"/>
    <col collapsed="false" customWidth="true" hidden="false" outlineLevel="0" max="15" min="15" style="0" width="34"/>
    <col collapsed="false" customWidth="true" hidden="false" outlineLevel="0" max="16" min="16" style="0" width="36"/>
  </cols>
  <sheetData>
    <row r="1" customFormat="false" ht="30" hidden="false" customHeight="true" outlineLevel="0" collapsed="false">
      <c r="A1" s="1" t="s">
        <v>3201</v>
      </c>
      <c r="B1" s="1"/>
      <c r="C1" s="1"/>
      <c r="D1" s="1"/>
    </row>
    <row r="2" customFormat="false" ht="31.5" hidden="false" customHeight="true" outlineLevel="0" collapsed="false">
      <c r="A2" s="2" t="s">
        <v>3202</v>
      </c>
      <c r="B2" s="2"/>
      <c r="C2" s="2"/>
      <c r="D2" s="2"/>
    </row>
    <row r="4" customFormat="false" ht="18" hidden="false" customHeight="false" outlineLevel="0" collapsed="false">
      <c r="A4" s="6" t="s">
        <v>3203</v>
      </c>
      <c r="B4" s="6" t="s">
        <v>7</v>
      </c>
      <c r="C4" s="6" t="s">
        <v>3204</v>
      </c>
      <c r="D4" s="6" t="s">
        <v>3205</v>
      </c>
      <c r="E4" s="6" t="s">
        <v>3206</v>
      </c>
      <c r="F4" s="6" t="s">
        <v>3207</v>
      </c>
      <c r="G4" s="6" t="s">
        <v>13</v>
      </c>
      <c r="H4" s="6" t="s">
        <v>24</v>
      </c>
      <c r="I4" s="6" t="s">
        <v>3208</v>
      </c>
      <c r="J4" s="6" t="s">
        <v>3209</v>
      </c>
      <c r="K4" s="6" t="s">
        <v>3210</v>
      </c>
      <c r="L4" s="6" t="s">
        <v>3211</v>
      </c>
      <c r="M4" s="6" t="s">
        <v>3212</v>
      </c>
      <c r="N4" s="6" t="s">
        <v>3213</v>
      </c>
      <c r="O4" s="6" t="s">
        <v>3214</v>
      </c>
      <c r="P4" s="6" t="s">
        <v>3215</v>
      </c>
      <c r="Q4" s="6" t="s">
        <v>3216</v>
      </c>
    </row>
    <row r="5" customFormat="false" ht="73.5" hidden="false" customHeight="true" outlineLevel="0" collapsed="false">
      <c r="A5" s="7" t="n">
        <v>1</v>
      </c>
      <c r="B5" s="7" t="s">
        <v>26</v>
      </c>
      <c r="C5" s="7" t="s">
        <v>3217</v>
      </c>
      <c r="D5" s="7" t="s">
        <v>3218</v>
      </c>
      <c r="E5" s="7" t="s">
        <v>3219</v>
      </c>
      <c r="F5" s="7" t="n">
        <v>1</v>
      </c>
      <c r="G5" s="10" t="s">
        <v>16</v>
      </c>
      <c r="H5" s="10" t="s">
        <v>16</v>
      </c>
      <c r="I5" s="7" t="s">
        <v>3220</v>
      </c>
      <c r="J5" s="7" t="s">
        <v>49</v>
      </c>
      <c r="K5" s="7" t="s">
        <v>3221</v>
      </c>
      <c r="L5" s="7" t="s">
        <v>3222</v>
      </c>
      <c r="M5" s="7" t="s">
        <v>3223</v>
      </c>
      <c r="N5" s="7" t="s">
        <v>3224</v>
      </c>
      <c r="O5" s="7" t="s">
        <v>3225</v>
      </c>
      <c r="P5" s="7"/>
      <c r="Q5" s="7" t="n">
        <v>3</v>
      </c>
    </row>
    <row r="6" customFormat="false" ht="73.5" hidden="false" customHeight="true" outlineLevel="0" collapsed="false">
      <c r="A6" s="7" t="n">
        <v>2</v>
      </c>
      <c r="B6" s="7" t="s">
        <v>26</v>
      </c>
      <c r="C6" s="7" t="s">
        <v>3217</v>
      </c>
      <c r="D6" s="7" t="s">
        <v>3218</v>
      </c>
      <c r="E6" s="7" t="s">
        <v>3219</v>
      </c>
      <c r="F6" s="7" t="n">
        <v>2</v>
      </c>
      <c r="G6" s="10" t="s">
        <v>16</v>
      </c>
      <c r="H6" s="10" t="s">
        <v>16</v>
      </c>
      <c r="I6" s="7" t="s">
        <v>3226</v>
      </c>
      <c r="J6" s="7" t="s">
        <v>57</v>
      </c>
      <c r="K6" s="7" t="s">
        <v>3227</v>
      </c>
      <c r="L6" s="7" t="s">
        <v>3228</v>
      </c>
      <c r="M6" s="7" t="s">
        <v>3229</v>
      </c>
      <c r="N6" s="7" t="s">
        <v>3230</v>
      </c>
      <c r="O6" s="7" t="s">
        <v>3225</v>
      </c>
      <c r="P6" s="7"/>
      <c r="Q6" s="7" t="n">
        <v>3</v>
      </c>
    </row>
    <row r="7" customFormat="false" ht="73.5" hidden="false" customHeight="true" outlineLevel="0" collapsed="false">
      <c r="A7" s="7" t="n">
        <v>3</v>
      </c>
      <c r="B7" s="7" t="s">
        <v>26</v>
      </c>
      <c r="C7" s="7" t="s">
        <v>3217</v>
      </c>
      <c r="D7" s="7" t="s">
        <v>3218</v>
      </c>
      <c r="E7" s="7" t="s">
        <v>3219</v>
      </c>
      <c r="F7" s="7" t="n">
        <v>3</v>
      </c>
      <c r="G7" s="10" t="s">
        <v>16</v>
      </c>
      <c r="H7" s="10" t="s">
        <v>16</v>
      </c>
      <c r="I7" s="7" t="s">
        <v>3226</v>
      </c>
      <c r="J7" s="7" t="s">
        <v>63</v>
      </c>
      <c r="K7" s="7" t="s">
        <v>3231</v>
      </c>
      <c r="L7" s="7" t="s">
        <v>3232</v>
      </c>
      <c r="M7" s="7" t="s">
        <v>3233</v>
      </c>
      <c r="N7" s="7" t="s">
        <v>3234</v>
      </c>
      <c r="O7" s="7" t="s">
        <v>3225</v>
      </c>
      <c r="P7" s="7"/>
      <c r="Q7" s="7" t="n">
        <v>3</v>
      </c>
    </row>
    <row r="8" customFormat="false" ht="73.5" hidden="false" customHeight="true" outlineLevel="0" collapsed="false">
      <c r="A8" s="7" t="n">
        <v>4</v>
      </c>
      <c r="B8" s="7" t="s">
        <v>26</v>
      </c>
      <c r="C8" s="7" t="s">
        <v>3217</v>
      </c>
      <c r="D8" s="7" t="s">
        <v>3218</v>
      </c>
      <c r="E8" s="7" t="s">
        <v>3219</v>
      </c>
      <c r="F8" s="7" t="n">
        <v>4</v>
      </c>
      <c r="G8" s="10" t="s">
        <v>16</v>
      </c>
      <c r="H8" s="10" t="s">
        <v>16</v>
      </c>
      <c r="I8" s="7" t="s">
        <v>3226</v>
      </c>
      <c r="J8" s="7" t="s">
        <v>69</v>
      </c>
      <c r="K8" s="7" t="s">
        <v>3235</v>
      </c>
      <c r="L8" s="7" t="s">
        <v>3236</v>
      </c>
      <c r="M8" s="7" t="s">
        <v>3237</v>
      </c>
      <c r="N8" s="7" t="s">
        <v>3238</v>
      </c>
      <c r="O8" s="7" t="s">
        <v>3225</v>
      </c>
      <c r="P8" s="7"/>
      <c r="Q8" s="7" t="n">
        <v>4</v>
      </c>
    </row>
    <row r="9" customFormat="false" ht="73.5" hidden="false" customHeight="true" outlineLevel="0" collapsed="false">
      <c r="A9" s="7" t="n">
        <v>5</v>
      </c>
      <c r="B9" s="7" t="s">
        <v>26</v>
      </c>
      <c r="C9" s="7" t="s">
        <v>3217</v>
      </c>
      <c r="D9" s="7" t="s">
        <v>3218</v>
      </c>
      <c r="E9" s="7" t="s">
        <v>3219</v>
      </c>
      <c r="F9" s="7" t="n">
        <v>5</v>
      </c>
      <c r="G9" s="10" t="s">
        <v>16</v>
      </c>
      <c r="H9" s="10" t="s">
        <v>16</v>
      </c>
      <c r="I9" s="7" t="s">
        <v>3226</v>
      </c>
      <c r="J9" s="7" t="s">
        <v>76</v>
      </c>
      <c r="K9" s="7" t="s">
        <v>3239</v>
      </c>
      <c r="L9" s="7" t="s">
        <v>3240</v>
      </c>
      <c r="M9" s="7" t="s">
        <v>3241</v>
      </c>
      <c r="N9" s="7" t="s">
        <v>3242</v>
      </c>
      <c r="O9" s="7" t="s">
        <v>3225</v>
      </c>
      <c r="P9" s="7"/>
      <c r="Q9" s="7" t="n">
        <v>4</v>
      </c>
    </row>
    <row r="10" customFormat="false" ht="73.5" hidden="false" customHeight="true" outlineLevel="0" collapsed="false">
      <c r="A10" s="7" t="n">
        <v>6</v>
      </c>
      <c r="B10" s="7" t="s">
        <v>26</v>
      </c>
      <c r="C10" s="7" t="s">
        <v>3217</v>
      </c>
      <c r="D10" s="7" t="s">
        <v>3218</v>
      </c>
      <c r="E10" s="7" t="s">
        <v>3219</v>
      </c>
      <c r="F10" s="7" t="n">
        <v>6</v>
      </c>
      <c r="G10" s="10" t="s">
        <v>16</v>
      </c>
      <c r="H10" s="10" t="s">
        <v>16</v>
      </c>
      <c r="I10" s="7" t="s">
        <v>3226</v>
      </c>
      <c r="J10" s="7" t="s">
        <v>82</v>
      </c>
      <c r="K10" s="7" t="s">
        <v>3243</v>
      </c>
      <c r="L10" s="7" t="s">
        <v>3244</v>
      </c>
      <c r="M10" s="7" t="s">
        <v>3245</v>
      </c>
      <c r="N10" s="7" t="s">
        <v>3246</v>
      </c>
      <c r="O10" s="7" t="s">
        <v>3225</v>
      </c>
      <c r="P10" s="7"/>
      <c r="Q10" s="7" t="n">
        <v>4</v>
      </c>
    </row>
    <row r="11" customFormat="false" ht="73.5" hidden="false" customHeight="true" outlineLevel="0" collapsed="false">
      <c r="A11" s="7" t="n">
        <v>7</v>
      </c>
      <c r="B11" s="7" t="s">
        <v>26</v>
      </c>
      <c r="C11" s="7" t="s">
        <v>3217</v>
      </c>
      <c r="D11" s="7" t="s">
        <v>3218</v>
      </c>
      <c r="E11" s="7" t="s">
        <v>3219</v>
      </c>
      <c r="F11" s="7" t="n">
        <v>7</v>
      </c>
      <c r="G11" s="10" t="s">
        <v>16</v>
      </c>
      <c r="H11" s="10" t="s">
        <v>16</v>
      </c>
      <c r="I11" s="7" t="s">
        <v>3226</v>
      </c>
      <c r="J11" s="7" t="s">
        <v>88</v>
      </c>
      <c r="K11" s="7" t="s">
        <v>3247</v>
      </c>
      <c r="L11" s="7" t="s">
        <v>3248</v>
      </c>
      <c r="M11" s="7" t="s">
        <v>3249</v>
      </c>
      <c r="N11" s="7" t="s">
        <v>3250</v>
      </c>
      <c r="O11" s="7" t="s">
        <v>3225</v>
      </c>
      <c r="P11" s="7"/>
      <c r="Q11" s="7" t="n">
        <v>5</v>
      </c>
    </row>
    <row r="12" customFormat="false" ht="73.5" hidden="false" customHeight="true" outlineLevel="0" collapsed="false">
      <c r="A12" s="7" t="n">
        <v>8</v>
      </c>
      <c r="B12" s="7" t="s">
        <v>26</v>
      </c>
      <c r="C12" s="7" t="s">
        <v>3217</v>
      </c>
      <c r="D12" s="7" t="s">
        <v>3218</v>
      </c>
      <c r="E12" s="7" t="s">
        <v>3219</v>
      </c>
      <c r="F12" s="7" t="n">
        <v>8</v>
      </c>
      <c r="G12" s="10" t="s">
        <v>16</v>
      </c>
      <c r="H12" s="10" t="s">
        <v>16</v>
      </c>
      <c r="I12" s="7" t="s">
        <v>3226</v>
      </c>
      <c r="J12" s="7" t="s">
        <v>95</v>
      </c>
      <c r="K12" s="7" t="s">
        <v>3251</v>
      </c>
      <c r="L12" s="7" t="s">
        <v>3252</v>
      </c>
      <c r="M12" s="7" t="s">
        <v>3253</v>
      </c>
      <c r="N12" s="7" t="s">
        <v>3254</v>
      </c>
      <c r="O12" s="7" t="s">
        <v>3225</v>
      </c>
      <c r="P12" s="7"/>
      <c r="Q12" s="7" t="n">
        <v>5</v>
      </c>
    </row>
    <row r="13" customFormat="false" ht="73.5" hidden="false" customHeight="true" outlineLevel="0" collapsed="false">
      <c r="A13" s="7" t="n">
        <v>9</v>
      </c>
      <c r="B13" s="7" t="s">
        <v>26</v>
      </c>
      <c r="C13" s="7" t="s">
        <v>3217</v>
      </c>
      <c r="D13" s="7" t="s">
        <v>3218</v>
      </c>
      <c r="E13" s="7" t="s">
        <v>3219</v>
      </c>
      <c r="F13" s="7" t="n">
        <v>9</v>
      </c>
      <c r="G13" s="10" t="s">
        <v>16</v>
      </c>
      <c r="H13" s="10" t="s">
        <v>16</v>
      </c>
      <c r="I13" s="7" t="s">
        <v>3226</v>
      </c>
      <c r="J13" s="7" t="s">
        <v>101</v>
      </c>
      <c r="K13" s="7" t="s">
        <v>3255</v>
      </c>
      <c r="L13" s="7" t="s">
        <v>3256</v>
      </c>
      <c r="M13" s="7" t="s">
        <v>3257</v>
      </c>
      <c r="N13" s="7" t="s">
        <v>3258</v>
      </c>
      <c r="O13" s="7" t="s">
        <v>3225</v>
      </c>
      <c r="P13" s="7"/>
      <c r="Q13" s="7" t="n">
        <v>6</v>
      </c>
    </row>
    <row r="14" customFormat="false" ht="73.5" hidden="false" customHeight="true" outlineLevel="0" collapsed="false">
      <c r="A14" s="7" t="n">
        <v>10</v>
      </c>
      <c r="B14" s="7" t="s">
        <v>26</v>
      </c>
      <c r="C14" s="7" t="s">
        <v>3217</v>
      </c>
      <c r="D14" s="7" t="s">
        <v>3218</v>
      </c>
      <c r="E14" s="7" t="s">
        <v>3219</v>
      </c>
      <c r="F14" s="7" t="n">
        <v>10</v>
      </c>
      <c r="G14" s="10" t="s">
        <v>16</v>
      </c>
      <c r="H14" s="10" t="s">
        <v>16</v>
      </c>
      <c r="I14" s="7" t="s">
        <v>3226</v>
      </c>
      <c r="J14" s="7" t="s">
        <v>108</v>
      </c>
      <c r="K14" s="7" t="s">
        <v>3259</v>
      </c>
      <c r="L14" s="7" t="s">
        <v>3260</v>
      </c>
      <c r="M14" s="7" t="s">
        <v>3261</v>
      </c>
      <c r="N14" s="7" t="s">
        <v>3262</v>
      </c>
      <c r="O14" s="7" t="s">
        <v>3225</v>
      </c>
      <c r="P14" s="7"/>
      <c r="Q14" s="7" t="n">
        <v>6</v>
      </c>
    </row>
    <row r="15" customFormat="false" ht="73.5" hidden="false" customHeight="true" outlineLevel="0" collapsed="false">
      <c r="A15" s="7" t="n">
        <v>11</v>
      </c>
      <c r="B15" s="7" t="s">
        <v>26</v>
      </c>
      <c r="C15" s="7" t="s">
        <v>3217</v>
      </c>
      <c r="D15" s="7" t="s">
        <v>3218</v>
      </c>
      <c r="E15" s="7" t="s">
        <v>3219</v>
      </c>
      <c r="F15" s="7" t="n">
        <v>11</v>
      </c>
      <c r="G15" s="10" t="s">
        <v>16</v>
      </c>
      <c r="H15" s="10" t="s">
        <v>16</v>
      </c>
      <c r="I15" s="7" t="s">
        <v>3226</v>
      </c>
      <c r="J15" s="7" t="s">
        <v>114</v>
      </c>
      <c r="K15" s="7" t="s">
        <v>3263</v>
      </c>
      <c r="L15" s="7" t="s">
        <v>3264</v>
      </c>
      <c r="M15" s="7" t="s">
        <v>3265</v>
      </c>
      <c r="N15" s="7" t="s">
        <v>3266</v>
      </c>
      <c r="O15" s="7" t="s">
        <v>3225</v>
      </c>
      <c r="P15" s="7"/>
      <c r="Q15" s="7" t="n">
        <v>6</v>
      </c>
    </row>
    <row r="16" customFormat="false" ht="73.5" hidden="false" customHeight="true" outlineLevel="0" collapsed="false">
      <c r="A16" s="7" t="n">
        <v>12</v>
      </c>
      <c r="B16" s="7" t="s">
        <v>26</v>
      </c>
      <c r="C16" s="7" t="s">
        <v>3217</v>
      </c>
      <c r="D16" s="7" t="s">
        <v>3218</v>
      </c>
      <c r="E16" s="7" t="s">
        <v>3219</v>
      </c>
      <c r="F16" s="7" t="n">
        <v>12</v>
      </c>
      <c r="G16" s="10" t="s">
        <v>16</v>
      </c>
      <c r="H16" s="10" t="s">
        <v>16</v>
      </c>
      <c r="I16" s="7" t="s">
        <v>3226</v>
      </c>
      <c r="J16" s="7" t="s">
        <v>120</v>
      </c>
      <c r="K16" s="7" t="s">
        <v>3267</v>
      </c>
      <c r="L16" s="7" t="s">
        <v>3268</v>
      </c>
      <c r="M16" s="7" t="s">
        <v>3269</v>
      </c>
      <c r="N16" s="7" t="s">
        <v>3270</v>
      </c>
      <c r="O16" s="7" t="s">
        <v>3225</v>
      </c>
      <c r="P16" s="7"/>
      <c r="Q16" s="7" t="n">
        <v>7</v>
      </c>
    </row>
    <row r="17" customFormat="false" ht="73.5" hidden="false" customHeight="true" outlineLevel="0" collapsed="false">
      <c r="A17" s="7" t="n">
        <v>13</v>
      </c>
      <c r="B17" s="7" t="s">
        <v>26</v>
      </c>
      <c r="C17" s="7" t="s">
        <v>3217</v>
      </c>
      <c r="D17" s="7" t="s">
        <v>3218</v>
      </c>
      <c r="E17" s="7" t="s">
        <v>3219</v>
      </c>
      <c r="F17" s="7" t="n">
        <v>14</v>
      </c>
      <c r="G17" s="10" t="s">
        <v>16</v>
      </c>
      <c r="H17" s="10" t="s">
        <v>16</v>
      </c>
      <c r="I17" s="7" t="s">
        <v>3226</v>
      </c>
      <c r="J17" s="7" t="s">
        <v>127</v>
      </c>
      <c r="K17" s="7" t="s">
        <v>3271</v>
      </c>
      <c r="L17" s="7" t="s">
        <v>3272</v>
      </c>
      <c r="M17" s="7" t="s">
        <v>3273</v>
      </c>
      <c r="N17" s="7" t="s">
        <v>3274</v>
      </c>
      <c r="O17" s="7" t="s">
        <v>3225</v>
      </c>
      <c r="P17" s="7"/>
      <c r="Q17" s="7" t="n">
        <v>7</v>
      </c>
    </row>
    <row r="18" customFormat="false" ht="73.5" hidden="false" customHeight="true" outlineLevel="0" collapsed="false">
      <c r="A18" s="7" t="n">
        <v>14</v>
      </c>
      <c r="B18" s="7" t="s">
        <v>26</v>
      </c>
      <c r="C18" s="7" t="s">
        <v>3217</v>
      </c>
      <c r="D18" s="7" t="s">
        <v>3218</v>
      </c>
      <c r="E18" s="7" t="s">
        <v>3219</v>
      </c>
      <c r="F18" s="7" t="n">
        <v>15</v>
      </c>
      <c r="G18" s="10" t="s">
        <v>16</v>
      </c>
      <c r="H18" s="10" t="s">
        <v>16</v>
      </c>
      <c r="I18" s="7" t="s">
        <v>3226</v>
      </c>
      <c r="J18" s="7" t="s">
        <v>133</v>
      </c>
      <c r="K18" s="7" t="s">
        <v>3275</v>
      </c>
      <c r="L18" s="7" t="s">
        <v>3276</v>
      </c>
      <c r="M18" s="7" t="s">
        <v>3277</v>
      </c>
      <c r="N18" s="7" t="s">
        <v>3278</v>
      </c>
      <c r="O18" s="7" t="s">
        <v>3225</v>
      </c>
      <c r="P18" s="7"/>
      <c r="Q18" s="7" t="n">
        <v>8</v>
      </c>
    </row>
    <row r="19" customFormat="false" ht="73.5" hidden="false" customHeight="true" outlineLevel="0" collapsed="false">
      <c r="A19" s="7" t="n">
        <v>15</v>
      </c>
      <c r="B19" s="7" t="s">
        <v>26</v>
      </c>
      <c r="C19" s="7" t="s">
        <v>3217</v>
      </c>
      <c r="D19" s="7" t="s">
        <v>3218</v>
      </c>
      <c r="E19" s="7" t="s">
        <v>3219</v>
      </c>
      <c r="F19" s="7" t="n">
        <v>16</v>
      </c>
      <c r="G19" s="10" t="s">
        <v>16</v>
      </c>
      <c r="H19" s="10" t="s">
        <v>16</v>
      </c>
      <c r="I19" s="7" t="s">
        <v>3226</v>
      </c>
      <c r="J19" s="7" t="s">
        <v>140</v>
      </c>
      <c r="K19" s="7" t="s">
        <v>3279</v>
      </c>
      <c r="L19" s="7" t="s">
        <v>3280</v>
      </c>
      <c r="M19" s="7" t="s">
        <v>3281</v>
      </c>
      <c r="N19" s="7" t="s">
        <v>3282</v>
      </c>
      <c r="O19" s="7" t="s">
        <v>3225</v>
      </c>
      <c r="P19" s="7"/>
      <c r="Q19" s="7" t="n">
        <v>8</v>
      </c>
    </row>
    <row r="20" customFormat="false" ht="73.5" hidden="false" customHeight="true" outlineLevel="0" collapsed="false">
      <c r="A20" s="7" t="n">
        <v>16</v>
      </c>
      <c r="B20" s="7" t="s">
        <v>26</v>
      </c>
      <c r="C20" s="7" t="s">
        <v>3217</v>
      </c>
      <c r="D20" s="7" t="s">
        <v>3218</v>
      </c>
      <c r="E20" s="7" t="s">
        <v>3219</v>
      </c>
      <c r="F20" s="7" t="n">
        <v>17</v>
      </c>
      <c r="G20" s="10" t="s">
        <v>16</v>
      </c>
      <c r="H20" s="10" t="s">
        <v>16</v>
      </c>
      <c r="I20" s="7" t="s">
        <v>3226</v>
      </c>
      <c r="J20" s="7" t="s">
        <v>146</v>
      </c>
      <c r="K20" s="7" t="s">
        <v>3283</v>
      </c>
      <c r="L20" s="7" t="s">
        <v>3284</v>
      </c>
      <c r="M20" s="7" t="s">
        <v>3285</v>
      </c>
      <c r="N20" s="7" t="s">
        <v>3286</v>
      </c>
      <c r="O20" s="7" t="s">
        <v>3225</v>
      </c>
      <c r="P20" s="7"/>
      <c r="Q20" s="7" t="n">
        <v>8</v>
      </c>
    </row>
    <row r="21" customFormat="false" ht="73.5" hidden="false" customHeight="true" outlineLevel="0" collapsed="false">
      <c r="A21" s="7" t="n">
        <v>17</v>
      </c>
      <c r="B21" s="7" t="s">
        <v>26</v>
      </c>
      <c r="C21" s="7" t="s">
        <v>3217</v>
      </c>
      <c r="D21" s="7" t="s">
        <v>3218</v>
      </c>
      <c r="E21" s="7" t="s">
        <v>3219</v>
      </c>
      <c r="F21" s="7" t="n">
        <v>18</v>
      </c>
      <c r="G21" s="10" t="s">
        <v>16</v>
      </c>
      <c r="H21" s="10" t="s">
        <v>16</v>
      </c>
      <c r="I21" s="7" t="s">
        <v>3226</v>
      </c>
      <c r="J21" s="7" t="s">
        <v>152</v>
      </c>
      <c r="K21" s="7" t="s">
        <v>3287</v>
      </c>
      <c r="L21" s="7" t="s">
        <v>3288</v>
      </c>
      <c r="M21" s="7" t="s">
        <v>3289</v>
      </c>
      <c r="N21" s="7" t="s">
        <v>3290</v>
      </c>
      <c r="O21" s="7" t="s">
        <v>3225</v>
      </c>
      <c r="P21" s="7"/>
      <c r="Q21" s="7" t="n">
        <v>9</v>
      </c>
    </row>
    <row r="22" customFormat="false" ht="73.5" hidden="false" customHeight="true" outlineLevel="0" collapsed="false">
      <c r="A22" s="7" t="n">
        <v>18</v>
      </c>
      <c r="B22" s="7" t="s">
        <v>26</v>
      </c>
      <c r="C22" s="7" t="s">
        <v>3217</v>
      </c>
      <c r="D22" s="7" t="s">
        <v>3218</v>
      </c>
      <c r="E22" s="7" t="s">
        <v>3219</v>
      </c>
      <c r="F22" s="7" t="n">
        <v>19</v>
      </c>
      <c r="G22" s="10" t="s">
        <v>16</v>
      </c>
      <c r="H22" s="10" t="s">
        <v>16</v>
      </c>
      <c r="I22" s="7" t="s">
        <v>3226</v>
      </c>
      <c r="J22" s="7" t="s">
        <v>159</v>
      </c>
      <c r="K22" s="7" t="s">
        <v>3291</v>
      </c>
      <c r="L22" s="7" t="s">
        <v>3292</v>
      </c>
      <c r="M22" s="7" t="s">
        <v>3293</v>
      </c>
      <c r="N22" s="7" t="s">
        <v>3294</v>
      </c>
      <c r="O22" s="7" t="s">
        <v>3225</v>
      </c>
      <c r="P22" s="7"/>
      <c r="Q22" s="7" t="n">
        <v>9</v>
      </c>
    </row>
    <row r="23" customFormat="false" ht="73.5" hidden="false" customHeight="true" outlineLevel="0" collapsed="false">
      <c r="A23" s="7" t="n">
        <v>19</v>
      </c>
      <c r="B23" s="7" t="s">
        <v>26</v>
      </c>
      <c r="C23" s="7" t="s">
        <v>3217</v>
      </c>
      <c r="D23" s="7" t="s">
        <v>3218</v>
      </c>
      <c r="E23" s="7" t="s">
        <v>3219</v>
      </c>
      <c r="F23" s="7" t="n">
        <v>20</v>
      </c>
      <c r="G23" s="10" t="s">
        <v>16</v>
      </c>
      <c r="H23" s="10" t="s">
        <v>16</v>
      </c>
      <c r="I23" s="7" t="s">
        <v>3226</v>
      </c>
      <c r="J23" s="7" t="s">
        <v>165</v>
      </c>
      <c r="K23" s="7" t="s">
        <v>3295</v>
      </c>
      <c r="L23" s="7" t="s">
        <v>3296</v>
      </c>
      <c r="M23" s="7" t="s">
        <v>3297</v>
      </c>
      <c r="N23" s="7" t="s">
        <v>3298</v>
      </c>
      <c r="O23" s="7" t="s">
        <v>3225</v>
      </c>
      <c r="P23" s="7"/>
      <c r="Q23" s="7" t="n">
        <v>9</v>
      </c>
    </row>
    <row r="24" customFormat="false" ht="73.5" hidden="false" customHeight="true" outlineLevel="0" collapsed="false">
      <c r="A24" s="7" t="n">
        <v>20</v>
      </c>
      <c r="B24" s="7" t="s">
        <v>26</v>
      </c>
      <c r="C24" s="7" t="s">
        <v>3217</v>
      </c>
      <c r="D24" s="7" t="s">
        <v>3218</v>
      </c>
      <c r="E24" s="7" t="s">
        <v>3219</v>
      </c>
      <c r="F24" s="7" t="n">
        <v>21</v>
      </c>
      <c r="G24" s="10" t="s">
        <v>16</v>
      </c>
      <c r="H24" s="10" t="s">
        <v>16</v>
      </c>
      <c r="I24" s="7" t="s">
        <v>3226</v>
      </c>
      <c r="J24" s="7" t="s">
        <v>171</v>
      </c>
      <c r="K24" s="7" t="s">
        <v>3299</v>
      </c>
      <c r="L24" s="7" t="s">
        <v>3300</v>
      </c>
      <c r="M24" s="7" t="s">
        <v>3301</v>
      </c>
      <c r="N24" s="7" t="s">
        <v>3302</v>
      </c>
      <c r="O24" s="7" t="s">
        <v>3225</v>
      </c>
      <c r="P24" s="7"/>
      <c r="Q24" s="7" t="n">
        <v>9</v>
      </c>
    </row>
    <row r="25" customFormat="false" ht="73.5" hidden="false" customHeight="true" outlineLevel="0" collapsed="false">
      <c r="A25" s="7" t="n">
        <v>21</v>
      </c>
      <c r="B25" s="7" t="s">
        <v>26</v>
      </c>
      <c r="C25" s="7" t="s">
        <v>3217</v>
      </c>
      <c r="D25" s="7" t="s">
        <v>3218</v>
      </c>
      <c r="E25" s="7" t="s">
        <v>3219</v>
      </c>
      <c r="F25" s="7" t="n">
        <v>22</v>
      </c>
      <c r="G25" s="10" t="s">
        <v>16</v>
      </c>
      <c r="H25" s="10" t="s">
        <v>16</v>
      </c>
      <c r="I25" s="7" t="s">
        <v>3226</v>
      </c>
      <c r="J25" s="7" t="s">
        <v>177</v>
      </c>
      <c r="K25" s="7" t="s">
        <v>3303</v>
      </c>
      <c r="L25" s="7" t="s">
        <v>3304</v>
      </c>
      <c r="M25" s="7" t="s">
        <v>3305</v>
      </c>
      <c r="N25" s="7" t="s">
        <v>3306</v>
      </c>
      <c r="O25" s="7" t="s">
        <v>3225</v>
      </c>
      <c r="P25" s="7"/>
      <c r="Q25" s="7" t="n">
        <v>10</v>
      </c>
    </row>
    <row r="26" customFormat="false" ht="73.5" hidden="false" customHeight="true" outlineLevel="0" collapsed="false">
      <c r="A26" s="7" t="n">
        <v>22</v>
      </c>
      <c r="B26" s="7" t="s">
        <v>26</v>
      </c>
      <c r="C26" s="7" t="s">
        <v>3217</v>
      </c>
      <c r="D26" s="7" t="s">
        <v>3218</v>
      </c>
      <c r="E26" s="7" t="s">
        <v>3219</v>
      </c>
      <c r="F26" s="7" t="n">
        <v>23</v>
      </c>
      <c r="G26" s="10" t="s">
        <v>16</v>
      </c>
      <c r="H26" s="10" t="s">
        <v>16</v>
      </c>
      <c r="I26" s="7" t="s">
        <v>3226</v>
      </c>
      <c r="J26" s="7" t="s">
        <v>184</v>
      </c>
      <c r="K26" s="7" t="s">
        <v>3307</v>
      </c>
      <c r="L26" s="7" t="s">
        <v>3297</v>
      </c>
      <c r="M26" s="7" t="s">
        <v>3308</v>
      </c>
      <c r="N26" s="7" t="s">
        <v>3298</v>
      </c>
      <c r="O26" s="7" t="s">
        <v>3225</v>
      </c>
      <c r="P26" s="7"/>
      <c r="Q26" s="7" t="n">
        <v>10</v>
      </c>
    </row>
    <row r="27" customFormat="false" ht="73.5" hidden="false" customHeight="true" outlineLevel="0" collapsed="false">
      <c r="A27" s="7" t="n">
        <v>23</v>
      </c>
      <c r="B27" s="7" t="s">
        <v>26</v>
      </c>
      <c r="C27" s="7" t="s">
        <v>3217</v>
      </c>
      <c r="D27" s="7" t="s">
        <v>3218</v>
      </c>
      <c r="E27" s="7" t="s">
        <v>3219</v>
      </c>
      <c r="F27" s="7" t="n">
        <v>24</v>
      </c>
      <c r="G27" s="10" t="s">
        <v>16</v>
      </c>
      <c r="H27" s="10" t="s">
        <v>16</v>
      </c>
      <c r="I27" s="7" t="s">
        <v>3226</v>
      </c>
      <c r="J27" s="7" t="s">
        <v>189</v>
      </c>
      <c r="K27" s="7" t="s">
        <v>3309</v>
      </c>
      <c r="L27" s="7" t="s">
        <v>3310</v>
      </c>
      <c r="M27" s="7" t="s">
        <v>3311</v>
      </c>
      <c r="N27" s="7" t="s">
        <v>3312</v>
      </c>
      <c r="O27" s="7" t="s">
        <v>3225</v>
      </c>
      <c r="P27" s="7"/>
      <c r="Q27" s="7" t="n">
        <v>10</v>
      </c>
    </row>
    <row r="28" customFormat="false" ht="199.5" hidden="false" customHeight="true" outlineLevel="0" collapsed="false">
      <c r="A28" s="7" t="n">
        <v>24</v>
      </c>
      <c r="B28" s="7" t="s">
        <v>26</v>
      </c>
      <c r="C28" s="7" t="s">
        <v>3217</v>
      </c>
      <c r="D28" s="7" t="s">
        <v>3218</v>
      </c>
      <c r="E28" s="7" t="s">
        <v>3313</v>
      </c>
      <c r="F28" s="7" t="n">
        <v>25</v>
      </c>
      <c r="G28" s="10" t="s">
        <v>16</v>
      </c>
      <c r="H28" s="10" t="s">
        <v>16</v>
      </c>
      <c r="I28" s="7" t="s">
        <v>3314</v>
      </c>
      <c r="J28" s="7" t="s">
        <v>198</v>
      </c>
      <c r="K28" s="7" t="s">
        <v>3315</v>
      </c>
      <c r="L28" s="7" t="s">
        <v>3316</v>
      </c>
      <c r="M28" s="7" t="s">
        <v>3317</v>
      </c>
      <c r="N28" s="7" t="s">
        <v>3318</v>
      </c>
      <c r="O28" s="7" t="s">
        <v>3319</v>
      </c>
      <c r="P28" s="7"/>
      <c r="Q28" s="7" t="n">
        <v>11</v>
      </c>
    </row>
    <row r="29" customFormat="false" ht="73.5" hidden="false" customHeight="true" outlineLevel="0" collapsed="false">
      <c r="A29" s="7" t="n">
        <v>25</v>
      </c>
      <c r="B29" s="7" t="s">
        <v>26</v>
      </c>
      <c r="C29" s="7" t="s">
        <v>3217</v>
      </c>
      <c r="D29" s="7" t="s">
        <v>3218</v>
      </c>
      <c r="E29" s="7" t="s">
        <v>3313</v>
      </c>
      <c r="F29" s="7" t="n">
        <v>26</v>
      </c>
      <c r="G29" s="10" t="s">
        <v>16</v>
      </c>
      <c r="H29" s="10" t="s">
        <v>16</v>
      </c>
      <c r="I29" s="7" t="s">
        <v>3320</v>
      </c>
      <c r="J29" s="7" t="s">
        <v>206</v>
      </c>
      <c r="K29" s="7" t="s">
        <v>3321</v>
      </c>
      <c r="L29" s="7" t="s">
        <v>3322</v>
      </c>
      <c r="M29" s="7" t="s">
        <v>3323</v>
      </c>
      <c r="N29" s="7" t="s">
        <v>3324</v>
      </c>
      <c r="O29" s="7" t="s">
        <v>3319</v>
      </c>
      <c r="P29" s="7"/>
      <c r="Q29" s="7" t="n">
        <v>12</v>
      </c>
    </row>
    <row r="30" customFormat="false" ht="73.5" hidden="false" customHeight="true" outlineLevel="0" collapsed="false">
      <c r="A30" s="7" t="n">
        <v>26</v>
      </c>
      <c r="B30" s="7" t="s">
        <v>26</v>
      </c>
      <c r="C30" s="7" t="s">
        <v>3217</v>
      </c>
      <c r="D30" s="7" t="s">
        <v>3218</v>
      </c>
      <c r="E30" s="7" t="s">
        <v>3313</v>
      </c>
      <c r="F30" s="7" t="n">
        <v>27</v>
      </c>
      <c r="G30" s="10" t="s">
        <v>16</v>
      </c>
      <c r="H30" s="10" t="s">
        <v>16</v>
      </c>
      <c r="I30" s="7" t="s">
        <v>3320</v>
      </c>
      <c r="J30" s="7" t="s">
        <v>213</v>
      </c>
      <c r="K30" s="7" t="s">
        <v>3325</v>
      </c>
      <c r="L30" s="7" t="s">
        <v>3326</v>
      </c>
      <c r="M30" s="7" t="s">
        <v>3327</v>
      </c>
      <c r="N30" s="7" t="s">
        <v>3328</v>
      </c>
      <c r="O30" s="7" t="s">
        <v>3319</v>
      </c>
      <c r="P30" s="7"/>
      <c r="Q30" s="7" t="n">
        <v>12</v>
      </c>
    </row>
    <row r="31" customFormat="false" ht="73.5" hidden="false" customHeight="true" outlineLevel="0" collapsed="false">
      <c r="A31" s="7" t="n">
        <v>27</v>
      </c>
      <c r="B31" s="7" t="s">
        <v>26</v>
      </c>
      <c r="C31" s="7" t="s">
        <v>3217</v>
      </c>
      <c r="D31" s="7" t="s">
        <v>3218</v>
      </c>
      <c r="E31" s="7" t="s">
        <v>3313</v>
      </c>
      <c r="F31" s="7" t="n">
        <v>28</v>
      </c>
      <c r="G31" s="10" t="s">
        <v>16</v>
      </c>
      <c r="H31" s="10" t="s">
        <v>16</v>
      </c>
      <c r="I31" s="7" t="s">
        <v>3320</v>
      </c>
      <c r="J31" s="7" t="s">
        <v>219</v>
      </c>
      <c r="K31" s="7" t="s">
        <v>3329</v>
      </c>
      <c r="L31" s="7" t="s">
        <v>3330</v>
      </c>
      <c r="M31" s="7" t="s">
        <v>3331</v>
      </c>
      <c r="N31" s="7" t="s">
        <v>3332</v>
      </c>
      <c r="O31" s="7" t="s">
        <v>3319</v>
      </c>
      <c r="P31" s="7"/>
      <c r="Q31" s="7" t="n">
        <v>12</v>
      </c>
    </row>
    <row r="32" customFormat="false" ht="73.5" hidden="false" customHeight="true" outlineLevel="0" collapsed="false">
      <c r="A32" s="7" t="n">
        <v>28</v>
      </c>
      <c r="B32" s="7" t="s">
        <v>26</v>
      </c>
      <c r="C32" s="7" t="s">
        <v>3217</v>
      </c>
      <c r="D32" s="7" t="s">
        <v>3218</v>
      </c>
      <c r="E32" s="7" t="s">
        <v>3313</v>
      </c>
      <c r="F32" s="7" t="n">
        <v>29</v>
      </c>
      <c r="G32" s="10" t="s">
        <v>16</v>
      </c>
      <c r="H32" s="10" t="s">
        <v>16</v>
      </c>
      <c r="I32" s="7" t="s">
        <v>3320</v>
      </c>
      <c r="J32" s="7" t="s">
        <v>225</v>
      </c>
      <c r="K32" s="7" t="s">
        <v>3333</v>
      </c>
      <c r="L32" s="7" t="s">
        <v>3334</v>
      </c>
      <c r="M32" s="7" t="s">
        <v>3335</v>
      </c>
      <c r="N32" s="7" t="s">
        <v>3336</v>
      </c>
      <c r="O32" s="7" t="s">
        <v>3319</v>
      </c>
      <c r="P32" s="7"/>
      <c r="Q32" s="7" t="n">
        <v>13</v>
      </c>
    </row>
    <row r="33" customFormat="false" ht="73.5" hidden="false" customHeight="true" outlineLevel="0" collapsed="false">
      <c r="A33" s="7" t="n">
        <v>29</v>
      </c>
      <c r="B33" s="7" t="s">
        <v>26</v>
      </c>
      <c r="C33" s="7" t="s">
        <v>3217</v>
      </c>
      <c r="D33" s="7" t="s">
        <v>3218</v>
      </c>
      <c r="E33" s="7" t="s">
        <v>3313</v>
      </c>
      <c r="F33" s="7" t="n">
        <v>30</v>
      </c>
      <c r="G33" s="10" t="s">
        <v>16</v>
      </c>
      <c r="H33" s="10" t="s">
        <v>16</v>
      </c>
      <c r="I33" s="7" t="s">
        <v>3320</v>
      </c>
      <c r="J33" s="7" t="s">
        <v>232</v>
      </c>
      <c r="K33" s="7" t="s">
        <v>3337</v>
      </c>
      <c r="L33" s="7" t="s">
        <v>3338</v>
      </c>
      <c r="M33" s="7" t="s">
        <v>3339</v>
      </c>
      <c r="N33" s="7" t="s">
        <v>3340</v>
      </c>
      <c r="O33" s="7" t="s">
        <v>3319</v>
      </c>
      <c r="P33" s="7"/>
      <c r="Q33" s="7" t="n">
        <v>13</v>
      </c>
    </row>
    <row r="34" customFormat="false" ht="73.5" hidden="false" customHeight="true" outlineLevel="0" collapsed="false">
      <c r="A34" s="7" t="n">
        <v>30</v>
      </c>
      <c r="B34" s="7" t="s">
        <v>26</v>
      </c>
      <c r="C34" s="7" t="s">
        <v>3217</v>
      </c>
      <c r="D34" s="7" t="s">
        <v>3218</v>
      </c>
      <c r="E34" s="7" t="s">
        <v>3313</v>
      </c>
      <c r="F34" s="7" t="n">
        <v>31</v>
      </c>
      <c r="G34" s="10" t="s">
        <v>16</v>
      </c>
      <c r="H34" s="10" t="s">
        <v>16</v>
      </c>
      <c r="I34" s="7" t="s">
        <v>3320</v>
      </c>
      <c r="J34" s="7" t="s">
        <v>238</v>
      </c>
      <c r="K34" s="7" t="s">
        <v>3341</v>
      </c>
      <c r="L34" s="7" t="s">
        <v>3342</v>
      </c>
      <c r="M34" s="7" t="s">
        <v>3343</v>
      </c>
      <c r="N34" s="7" t="s">
        <v>3344</v>
      </c>
      <c r="O34" s="7" t="s">
        <v>3319</v>
      </c>
      <c r="P34" s="7"/>
      <c r="Q34" s="7" t="n">
        <v>13</v>
      </c>
    </row>
    <row r="35" customFormat="false" ht="73.5" hidden="false" customHeight="true" outlineLevel="0" collapsed="false">
      <c r="A35" s="7" t="n">
        <v>31</v>
      </c>
      <c r="B35" s="7" t="s">
        <v>26</v>
      </c>
      <c r="C35" s="7" t="s">
        <v>3217</v>
      </c>
      <c r="D35" s="7" t="s">
        <v>3218</v>
      </c>
      <c r="E35" s="7" t="s">
        <v>3313</v>
      </c>
      <c r="F35" s="7" t="n">
        <v>32</v>
      </c>
      <c r="G35" s="10" t="s">
        <v>16</v>
      </c>
      <c r="H35" s="10" t="s">
        <v>16</v>
      </c>
      <c r="I35" s="7" t="s">
        <v>3320</v>
      </c>
      <c r="J35" s="7" t="s">
        <v>244</v>
      </c>
      <c r="K35" s="7" t="s">
        <v>3345</v>
      </c>
      <c r="L35" s="7" t="s">
        <v>3346</v>
      </c>
      <c r="M35" s="7" t="s">
        <v>3347</v>
      </c>
      <c r="N35" s="7" t="s">
        <v>3348</v>
      </c>
      <c r="O35" s="7" t="s">
        <v>3319</v>
      </c>
      <c r="P35" s="7"/>
      <c r="Q35" s="7" t="n">
        <v>14</v>
      </c>
    </row>
    <row r="36" customFormat="false" ht="73.5" hidden="false" customHeight="true" outlineLevel="0" collapsed="false">
      <c r="A36" s="7" t="n">
        <v>32</v>
      </c>
      <c r="B36" s="7" t="s">
        <v>26</v>
      </c>
      <c r="C36" s="7" t="s">
        <v>3217</v>
      </c>
      <c r="D36" s="7" t="s">
        <v>3218</v>
      </c>
      <c r="E36" s="7" t="s">
        <v>3313</v>
      </c>
      <c r="F36" s="7" t="n">
        <v>33</v>
      </c>
      <c r="G36" s="10" t="s">
        <v>16</v>
      </c>
      <c r="H36" s="10" t="s">
        <v>16</v>
      </c>
      <c r="I36" s="7" t="s">
        <v>3320</v>
      </c>
      <c r="J36" s="7" t="s">
        <v>251</v>
      </c>
      <c r="K36" s="7" t="s">
        <v>3349</v>
      </c>
      <c r="L36" s="7" t="s">
        <v>3350</v>
      </c>
      <c r="M36" s="7" t="s">
        <v>3351</v>
      </c>
      <c r="N36" s="7" t="s">
        <v>3352</v>
      </c>
      <c r="O36" s="7" t="s">
        <v>3319</v>
      </c>
      <c r="P36" s="7"/>
      <c r="Q36" s="7" t="n">
        <v>14</v>
      </c>
    </row>
    <row r="37" customFormat="false" ht="73.5" hidden="false" customHeight="true" outlineLevel="0" collapsed="false">
      <c r="A37" s="7" t="n">
        <v>33</v>
      </c>
      <c r="B37" s="7" t="s">
        <v>26</v>
      </c>
      <c r="C37" s="7" t="s">
        <v>3217</v>
      </c>
      <c r="D37" s="7" t="s">
        <v>3218</v>
      </c>
      <c r="E37" s="7" t="s">
        <v>3313</v>
      </c>
      <c r="F37" s="7" t="n">
        <v>34</v>
      </c>
      <c r="G37" s="10" t="s">
        <v>16</v>
      </c>
      <c r="H37" s="10" t="s">
        <v>16</v>
      </c>
      <c r="I37" s="7" t="s">
        <v>3320</v>
      </c>
      <c r="J37" s="7" t="s">
        <v>257</v>
      </c>
      <c r="K37" s="7" t="s">
        <v>3353</v>
      </c>
      <c r="L37" s="7" t="s">
        <v>3354</v>
      </c>
      <c r="M37" s="7" t="s">
        <v>3355</v>
      </c>
      <c r="N37" s="7" t="s">
        <v>3356</v>
      </c>
      <c r="O37" s="7" t="s">
        <v>3319</v>
      </c>
      <c r="P37" s="7"/>
      <c r="Q37" s="7" t="n">
        <v>14</v>
      </c>
    </row>
    <row r="38" customFormat="false" ht="73.5" hidden="false" customHeight="true" outlineLevel="0" collapsed="false">
      <c r="A38" s="7" t="n">
        <v>34</v>
      </c>
      <c r="B38" s="7" t="s">
        <v>26</v>
      </c>
      <c r="C38" s="7" t="s">
        <v>3217</v>
      </c>
      <c r="D38" s="7" t="s">
        <v>3218</v>
      </c>
      <c r="E38" s="7" t="s">
        <v>3313</v>
      </c>
      <c r="F38" s="7" t="n">
        <v>35</v>
      </c>
      <c r="G38" s="10" t="s">
        <v>16</v>
      </c>
      <c r="H38" s="10" t="s">
        <v>16</v>
      </c>
      <c r="I38" s="7" t="s">
        <v>3320</v>
      </c>
      <c r="J38" s="7" t="s">
        <v>263</v>
      </c>
      <c r="K38" s="7" t="s">
        <v>3357</v>
      </c>
      <c r="L38" s="7" t="s">
        <v>3358</v>
      </c>
      <c r="M38" s="7" t="s">
        <v>3359</v>
      </c>
      <c r="N38" s="7" t="s">
        <v>3360</v>
      </c>
      <c r="O38" s="7" t="s">
        <v>3319</v>
      </c>
      <c r="P38" s="7"/>
      <c r="Q38" s="7" t="n">
        <v>15</v>
      </c>
    </row>
    <row r="39" customFormat="false" ht="73.5" hidden="false" customHeight="true" outlineLevel="0" collapsed="false">
      <c r="A39" s="7" t="n">
        <v>35</v>
      </c>
      <c r="B39" s="7" t="s">
        <v>26</v>
      </c>
      <c r="C39" s="7" t="s">
        <v>3217</v>
      </c>
      <c r="D39" s="7" t="s">
        <v>3218</v>
      </c>
      <c r="E39" s="7" t="s">
        <v>3313</v>
      </c>
      <c r="F39" s="7" t="n">
        <v>36</v>
      </c>
      <c r="G39" s="10" t="s">
        <v>16</v>
      </c>
      <c r="H39" s="10" t="s">
        <v>16</v>
      </c>
      <c r="I39" s="7" t="s">
        <v>3320</v>
      </c>
      <c r="J39" s="7" t="s">
        <v>270</v>
      </c>
      <c r="K39" s="7" t="s">
        <v>3361</v>
      </c>
      <c r="L39" s="7" t="s">
        <v>3362</v>
      </c>
      <c r="M39" s="7" t="s">
        <v>3363</v>
      </c>
      <c r="N39" s="7" t="s">
        <v>3364</v>
      </c>
      <c r="O39" s="7" t="s">
        <v>3319</v>
      </c>
      <c r="P39" s="7"/>
      <c r="Q39" s="7" t="n">
        <v>15</v>
      </c>
    </row>
    <row r="40" customFormat="false" ht="73.5" hidden="false" customHeight="true" outlineLevel="0" collapsed="false">
      <c r="A40" s="7" t="n">
        <v>36</v>
      </c>
      <c r="B40" s="7" t="s">
        <v>26</v>
      </c>
      <c r="C40" s="7" t="s">
        <v>3217</v>
      </c>
      <c r="D40" s="7" t="s">
        <v>3218</v>
      </c>
      <c r="E40" s="7" t="s">
        <v>3313</v>
      </c>
      <c r="F40" s="7" t="n">
        <v>37</v>
      </c>
      <c r="G40" s="10" t="s">
        <v>16</v>
      </c>
      <c r="H40" s="10" t="s">
        <v>16</v>
      </c>
      <c r="I40" s="7" t="s">
        <v>3320</v>
      </c>
      <c r="J40" s="7" t="s">
        <v>276</v>
      </c>
      <c r="K40" s="7" t="s">
        <v>3365</v>
      </c>
      <c r="L40" s="7" t="s">
        <v>3366</v>
      </c>
      <c r="M40" s="7" t="s">
        <v>3367</v>
      </c>
      <c r="N40" s="7" t="s">
        <v>3368</v>
      </c>
      <c r="O40" s="7" t="s">
        <v>3319</v>
      </c>
      <c r="P40" s="7"/>
      <c r="Q40" s="7" t="n">
        <v>15</v>
      </c>
    </row>
    <row r="41" customFormat="false" ht="73.5" hidden="false" customHeight="true" outlineLevel="0" collapsed="false">
      <c r="A41" s="7" t="n">
        <v>37</v>
      </c>
      <c r="B41" s="7" t="s">
        <v>26</v>
      </c>
      <c r="C41" s="7" t="s">
        <v>3217</v>
      </c>
      <c r="D41" s="7" t="s">
        <v>3218</v>
      </c>
      <c r="E41" s="7" t="s">
        <v>3313</v>
      </c>
      <c r="F41" s="7" t="n">
        <v>38</v>
      </c>
      <c r="G41" s="10" t="s">
        <v>16</v>
      </c>
      <c r="H41" s="10" t="s">
        <v>16</v>
      </c>
      <c r="I41" s="7" t="s">
        <v>3320</v>
      </c>
      <c r="J41" s="7" t="s">
        <v>282</v>
      </c>
      <c r="K41" s="7" t="s">
        <v>3369</v>
      </c>
      <c r="L41" s="7" t="s">
        <v>3370</v>
      </c>
      <c r="M41" s="7" t="s">
        <v>3371</v>
      </c>
      <c r="N41" s="7" t="s">
        <v>3372</v>
      </c>
      <c r="O41" s="7" t="s">
        <v>3319</v>
      </c>
      <c r="P41" s="7"/>
      <c r="Q41" s="7" t="n">
        <v>15</v>
      </c>
    </row>
    <row r="42" customFormat="false" ht="73.5" hidden="false" customHeight="true" outlineLevel="0" collapsed="false">
      <c r="A42" s="7" t="n">
        <v>38</v>
      </c>
      <c r="B42" s="7" t="s">
        <v>26</v>
      </c>
      <c r="C42" s="7" t="s">
        <v>3217</v>
      </c>
      <c r="D42" s="7" t="s">
        <v>3218</v>
      </c>
      <c r="E42" s="7" t="s">
        <v>3313</v>
      </c>
      <c r="F42" s="7" t="n">
        <v>39</v>
      </c>
      <c r="G42" s="10" t="s">
        <v>16</v>
      </c>
      <c r="H42" s="10" t="s">
        <v>16</v>
      </c>
      <c r="I42" s="7" t="s">
        <v>3320</v>
      </c>
      <c r="J42" s="7" t="s">
        <v>288</v>
      </c>
      <c r="K42" s="7" t="s">
        <v>3373</v>
      </c>
      <c r="L42" s="7" t="s">
        <v>3374</v>
      </c>
      <c r="M42" s="7" t="s">
        <v>3375</v>
      </c>
      <c r="N42" s="7" t="s">
        <v>3376</v>
      </c>
      <c r="O42" s="7" t="s">
        <v>3319</v>
      </c>
      <c r="P42" s="7"/>
      <c r="Q42" s="7" t="n">
        <v>16</v>
      </c>
    </row>
    <row r="43" customFormat="false" ht="73.5" hidden="false" customHeight="true" outlineLevel="0" collapsed="false">
      <c r="A43" s="7" t="n">
        <v>39</v>
      </c>
      <c r="B43" s="7" t="s">
        <v>26</v>
      </c>
      <c r="C43" s="7" t="s">
        <v>3217</v>
      </c>
      <c r="D43" s="7" t="s">
        <v>3218</v>
      </c>
      <c r="E43" s="7" t="s">
        <v>3313</v>
      </c>
      <c r="F43" s="7" t="n">
        <v>40</v>
      </c>
      <c r="G43" s="10" t="s">
        <v>16</v>
      </c>
      <c r="H43" s="10" t="s">
        <v>16</v>
      </c>
      <c r="I43" s="7" t="s">
        <v>3320</v>
      </c>
      <c r="J43" s="7" t="s">
        <v>295</v>
      </c>
      <c r="K43" s="7" t="s">
        <v>3377</v>
      </c>
      <c r="L43" s="7" t="s">
        <v>3378</v>
      </c>
      <c r="M43" s="7" t="s">
        <v>3379</v>
      </c>
      <c r="N43" s="7" t="s">
        <v>3380</v>
      </c>
      <c r="O43" s="7" t="s">
        <v>3319</v>
      </c>
      <c r="P43" s="7"/>
      <c r="Q43" s="7" t="n">
        <v>16</v>
      </c>
    </row>
    <row r="44" customFormat="false" ht="73.5" hidden="false" customHeight="true" outlineLevel="0" collapsed="false">
      <c r="A44" s="7" t="n">
        <v>40</v>
      </c>
      <c r="B44" s="7" t="s">
        <v>26</v>
      </c>
      <c r="C44" s="7" t="s">
        <v>3217</v>
      </c>
      <c r="D44" s="7" t="s">
        <v>3218</v>
      </c>
      <c r="E44" s="7" t="s">
        <v>3313</v>
      </c>
      <c r="F44" s="7" t="n">
        <v>41</v>
      </c>
      <c r="G44" s="10" t="s">
        <v>16</v>
      </c>
      <c r="H44" s="10" t="s">
        <v>16</v>
      </c>
      <c r="I44" s="7" t="s">
        <v>3320</v>
      </c>
      <c r="J44" s="7" t="s">
        <v>301</v>
      </c>
      <c r="K44" s="7" t="s">
        <v>3381</v>
      </c>
      <c r="L44" s="7" t="s">
        <v>3382</v>
      </c>
      <c r="M44" s="7" t="s">
        <v>3383</v>
      </c>
      <c r="N44" s="7" t="s">
        <v>3384</v>
      </c>
      <c r="O44" s="7" t="s">
        <v>3319</v>
      </c>
      <c r="P44" s="7"/>
      <c r="Q44" s="7" t="n">
        <v>16</v>
      </c>
    </row>
    <row r="45" customFormat="false" ht="73.5" hidden="false" customHeight="true" outlineLevel="0" collapsed="false">
      <c r="A45" s="7" t="n">
        <v>41</v>
      </c>
      <c r="B45" s="7" t="s">
        <v>26</v>
      </c>
      <c r="C45" s="7" t="s">
        <v>3217</v>
      </c>
      <c r="D45" s="7" t="s">
        <v>3218</v>
      </c>
      <c r="E45" s="7" t="s">
        <v>3313</v>
      </c>
      <c r="F45" s="7" t="n">
        <v>42</v>
      </c>
      <c r="G45" s="10" t="s">
        <v>16</v>
      </c>
      <c r="H45" s="10" t="s">
        <v>16</v>
      </c>
      <c r="I45" s="7" t="s">
        <v>3320</v>
      </c>
      <c r="J45" s="7" t="s">
        <v>307</v>
      </c>
      <c r="K45" s="7" t="s">
        <v>3385</v>
      </c>
      <c r="L45" s="7" t="s">
        <v>3386</v>
      </c>
      <c r="M45" s="7" t="s">
        <v>3387</v>
      </c>
      <c r="N45" s="7" t="s">
        <v>3360</v>
      </c>
      <c r="O45" s="7" t="s">
        <v>3319</v>
      </c>
      <c r="P45" s="7"/>
      <c r="Q45" s="7" t="n">
        <v>17</v>
      </c>
    </row>
    <row r="46" customFormat="false" ht="73.5" hidden="false" customHeight="true" outlineLevel="0" collapsed="false">
      <c r="A46" s="7" t="n">
        <v>42</v>
      </c>
      <c r="B46" s="7" t="s">
        <v>26</v>
      </c>
      <c r="C46" s="7" t="s">
        <v>3217</v>
      </c>
      <c r="D46" s="7" t="s">
        <v>3218</v>
      </c>
      <c r="E46" s="7" t="s">
        <v>3313</v>
      </c>
      <c r="F46" s="7" t="n">
        <v>43</v>
      </c>
      <c r="G46" s="10" t="s">
        <v>16</v>
      </c>
      <c r="H46" s="10" t="s">
        <v>16</v>
      </c>
      <c r="I46" s="7" t="s">
        <v>3320</v>
      </c>
      <c r="J46" s="7" t="s">
        <v>313</v>
      </c>
      <c r="K46" s="7" t="s">
        <v>3388</v>
      </c>
      <c r="L46" s="7" t="s">
        <v>3389</v>
      </c>
      <c r="M46" s="7" t="s">
        <v>3390</v>
      </c>
      <c r="N46" s="7" t="s">
        <v>3391</v>
      </c>
      <c r="O46" s="7" t="s">
        <v>3319</v>
      </c>
      <c r="P46" s="7"/>
      <c r="Q46" s="7" t="n">
        <v>17</v>
      </c>
    </row>
    <row r="47" customFormat="false" ht="73.5" hidden="false" customHeight="true" outlineLevel="0" collapsed="false">
      <c r="A47" s="7" t="n">
        <v>43</v>
      </c>
      <c r="B47" s="7" t="s">
        <v>26</v>
      </c>
      <c r="C47" s="7" t="s">
        <v>3217</v>
      </c>
      <c r="D47" s="7" t="s">
        <v>3218</v>
      </c>
      <c r="E47" s="7" t="s">
        <v>3313</v>
      </c>
      <c r="F47" s="7" t="n">
        <v>44</v>
      </c>
      <c r="G47" s="10" t="s">
        <v>16</v>
      </c>
      <c r="H47" s="10" t="s">
        <v>16</v>
      </c>
      <c r="I47" s="7" t="s">
        <v>3320</v>
      </c>
      <c r="J47" s="7" t="s">
        <v>319</v>
      </c>
      <c r="K47" s="7" t="s">
        <v>3392</v>
      </c>
      <c r="L47" s="7" t="s">
        <v>3393</v>
      </c>
      <c r="M47" s="7" t="s">
        <v>3394</v>
      </c>
      <c r="N47" s="7" t="s">
        <v>3395</v>
      </c>
      <c r="O47" s="7" t="s">
        <v>3319</v>
      </c>
      <c r="P47" s="7"/>
      <c r="Q47" s="7" t="n">
        <v>17</v>
      </c>
    </row>
    <row r="48" customFormat="false" ht="73.5" hidden="false" customHeight="true" outlineLevel="0" collapsed="false">
      <c r="A48" s="7" t="n">
        <v>44</v>
      </c>
      <c r="B48" s="7" t="s">
        <v>26</v>
      </c>
      <c r="C48" s="7" t="s">
        <v>3217</v>
      </c>
      <c r="D48" s="7" t="s">
        <v>3218</v>
      </c>
      <c r="E48" s="7" t="s">
        <v>3313</v>
      </c>
      <c r="F48" s="7" t="n">
        <v>45</v>
      </c>
      <c r="G48" s="10" t="s">
        <v>16</v>
      </c>
      <c r="H48" s="10" t="s">
        <v>16</v>
      </c>
      <c r="I48" s="7" t="s">
        <v>3320</v>
      </c>
      <c r="J48" s="7" t="s">
        <v>325</v>
      </c>
      <c r="K48" s="7" t="s">
        <v>3396</v>
      </c>
      <c r="L48" s="7" t="s">
        <v>3397</v>
      </c>
      <c r="M48" s="7" t="s">
        <v>3398</v>
      </c>
      <c r="N48" s="7" t="s">
        <v>3399</v>
      </c>
      <c r="O48" s="7" t="s">
        <v>3319</v>
      </c>
      <c r="P48" s="7"/>
      <c r="Q48" s="7" t="n">
        <v>18</v>
      </c>
    </row>
    <row r="49" customFormat="false" ht="73.5" hidden="false" customHeight="true" outlineLevel="0" collapsed="false">
      <c r="A49" s="7" t="n">
        <v>45</v>
      </c>
      <c r="B49" s="7" t="s">
        <v>26</v>
      </c>
      <c r="C49" s="7" t="s">
        <v>3217</v>
      </c>
      <c r="D49" s="7" t="s">
        <v>3218</v>
      </c>
      <c r="E49" s="7" t="s">
        <v>3313</v>
      </c>
      <c r="F49" s="7" t="n">
        <v>47</v>
      </c>
      <c r="G49" s="10" t="s">
        <v>16</v>
      </c>
      <c r="H49" s="10" t="s">
        <v>16</v>
      </c>
      <c r="I49" s="7" t="s">
        <v>3320</v>
      </c>
      <c r="J49" s="7" t="s">
        <v>332</v>
      </c>
      <c r="K49" s="7" t="s">
        <v>3400</v>
      </c>
      <c r="L49" s="7" t="s">
        <v>3401</v>
      </c>
      <c r="M49" s="7" t="s">
        <v>3402</v>
      </c>
      <c r="N49" s="7" t="s">
        <v>3403</v>
      </c>
      <c r="O49" s="7" t="s">
        <v>3319</v>
      </c>
      <c r="P49" s="7"/>
      <c r="Q49" s="7" t="n">
        <v>18</v>
      </c>
    </row>
    <row r="50" customFormat="false" ht="73.5" hidden="false" customHeight="true" outlineLevel="0" collapsed="false">
      <c r="A50" s="7" t="n">
        <v>46</v>
      </c>
      <c r="B50" s="7" t="s">
        <v>26</v>
      </c>
      <c r="C50" s="7" t="s">
        <v>3217</v>
      </c>
      <c r="D50" s="7" t="s">
        <v>3218</v>
      </c>
      <c r="E50" s="7" t="s">
        <v>3313</v>
      </c>
      <c r="F50" s="7" t="n">
        <v>48</v>
      </c>
      <c r="G50" s="10" t="s">
        <v>16</v>
      </c>
      <c r="H50" s="10" t="s">
        <v>16</v>
      </c>
      <c r="I50" s="7" t="s">
        <v>3320</v>
      </c>
      <c r="J50" s="7" t="s">
        <v>338</v>
      </c>
      <c r="K50" s="7" t="s">
        <v>3404</v>
      </c>
      <c r="L50" s="7" t="s">
        <v>3405</v>
      </c>
      <c r="M50" s="7" t="s">
        <v>3406</v>
      </c>
      <c r="N50" s="7" t="s">
        <v>3407</v>
      </c>
      <c r="O50" s="7" t="s">
        <v>3319</v>
      </c>
      <c r="P50" s="7"/>
      <c r="Q50" s="7" t="n">
        <v>18</v>
      </c>
    </row>
    <row r="51" customFormat="false" ht="186.75" hidden="false" customHeight="true" outlineLevel="0" collapsed="false">
      <c r="A51" s="7" t="n">
        <v>47</v>
      </c>
      <c r="B51" s="7" t="s">
        <v>26</v>
      </c>
      <c r="C51" s="7" t="s">
        <v>3217</v>
      </c>
      <c r="D51" s="7" t="s">
        <v>3218</v>
      </c>
      <c r="E51" s="7" t="s">
        <v>3408</v>
      </c>
      <c r="F51" s="7" t="n">
        <v>49</v>
      </c>
      <c r="G51" s="10" t="s">
        <v>16</v>
      </c>
      <c r="H51" s="10" t="s">
        <v>16</v>
      </c>
      <c r="I51" s="7" t="s">
        <v>3409</v>
      </c>
      <c r="J51" s="7" t="s">
        <v>347</v>
      </c>
      <c r="K51" s="7" t="s">
        <v>3410</v>
      </c>
      <c r="L51" s="7" t="s">
        <v>3411</v>
      </c>
      <c r="M51" s="7" t="s">
        <v>3412</v>
      </c>
      <c r="N51" s="7" t="s">
        <v>3413</v>
      </c>
      <c r="O51" s="7" t="s">
        <v>3414</v>
      </c>
      <c r="P51" s="7"/>
      <c r="Q51" s="7" t="n">
        <v>19</v>
      </c>
    </row>
    <row r="52" customFormat="false" ht="73.5" hidden="false" customHeight="true" outlineLevel="0" collapsed="false">
      <c r="A52" s="7" t="n">
        <v>48</v>
      </c>
      <c r="B52" s="7" t="s">
        <v>26</v>
      </c>
      <c r="C52" s="7" t="s">
        <v>3217</v>
      </c>
      <c r="D52" s="7" t="s">
        <v>3218</v>
      </c>
      <c r="E52" s="7" t="s">
        <v>3408</v>
      </c>
      <c r="F52" s="7" t="n">
        <v>50</v>
      </c>
      <c r="G52" s="10" t="s">
        <v>16</v>
      </c>
      <c r="H52" s="10" t="s">
        <v>16</v>
      </c>
      <c r="I52" s="7" t="s">
        <v>3415</v>
      </c>
      <c r="J52" s="7" t="s">
        <v>355</v>
      </c>
      <c r="K52" s="7" t="s">
        <v>3416</v>
      </c>
      <c r="L52" s="7" t="s">
        <v>3417</v>
      </c>
      <c r="M52" s="7" t="s">
        <v>3418</v>
      </c>
      <c r="N52" s="7" t="s">
        <v>3419</v>
      </c>
      <c r="O52" s="7" t="s">
        <v>3414</v>
      </c>
      <c r="P52" s="7"/>
      <c r="Q52" s="7" t="n">
        <v>19</v>
      </c>
    </row>
    <row r="53" customFormat="false" ht="73.5" hidden="false" customHeight="true" outlineLevel="0" collapsed="false">
      <c r="A53" s="7" t="n">
        <v>49</v>
      </c>
      <c r="B53" s="7" t="s">
        <v>26</v>
      </c>
      <c r="C53" s="7" t="s">
        <v>3217</v>
      </c>
      <c r="D53" s="7" t="s">
        <v>3218</v>
      </c>
      <c r="E53" s="7" t="s">
        <v>3408</v>
      </c>
      <c r="F53" s="7" t="n">
        <v>51</v>
      </c>
      <c r="G53" s="10" t="s">
        <v>16</v>
      </c>
      <c r="H53" s="10" t="s">
        <v>16</v>
      </c>
      <c r="I53" s="7" t="s">
        <v>3415</v>
      </c>
      <c r="J53" s="7" t="s">
        <v>361</v>
      </c>
      <c r="K53" s="7" t="s">
        <v>3420</v>
      </c>
      <c r="L53" s="7" t="s">
        <v>3421</v>
      </c>
      <c r="M53" s="7" t="s">
        <v>3422</v>
      </c>
      <c r="N53" s="7" t="s">
        <v>3423</v>
      </c>
      <c r="O53" s="7" t="s">
        <v>3414</v>
      </c>
      <c r="P53" s="7"/>
      <c r="Q53" s="7" t="n">
        <v>20</v>
      </c>
    </row>
    <row r="54" customFormat="false" ht="73.5" hidden="false" customHeight="true" outlineLevel="0" collapsed="false">
      <c r="A54" s="7" t="n">
        <v>50</v>
      </c>
      <c r="B54" s="7" t="s">
        <v>26</v>
      </c>
      <c r="C54" s="7" t="s">
        <v>3217</v>
      </c>
      <c r="D54" s="7" t="s">
        <v>3218</v>
      </c>
      <c r="E54" s="7" t="s">
        <v>3408</v>
      </c>
      <c r="F54" s="7" t="n">
        <v>52</v>
      </c>
      <c r="G54" s="10" t="s">
        <v>16</v>
      </c>
      <c r="H54" s="10" t="s">
        <v>16</v>
      </c>
      <c r="I54" s="7" t="s">
        <v>3415</v>
      </c>
      <c r="J54" s="7" t="s">
        <v>368</v>
      </c>
      <c r="K54" s="7" t="s">
        <v>3424</v>
      </c>
      <c r="L54" s="7" t="s">
        <v>3425</v>
      </c>
      <c r="M54" s="7" t="s">
        <v>3426</v>
      </c>
      <c r="N54" s="7" t="s">
        <v>3427</v>
      </c>
      <c r="O54" s="7" t="s">
        <v>3414</v>
      </c>
      <c r="P54" s="7"/>
      <c r="Q54" s="7" t="n">
        <v>20</v>
      </c>
    </row>
    <row r="55" customFormat="false" ht="73.5" hidden="false" customHeight="true" outlineLevel="0" collapsed="false">
      <c r="A55" s="7" t="n">
        <v>51</v>
      </c>
      <c r="B55" s="7" t="s">
        <v>26</v>
      </c>
      <c r="C55" s="7" t="s">
        <v>3217</v>
      </c>
      <c r="D55" s="7" t="s">
        <v>3218</v>
      </c>
      <c r="E55" s="7" t="s">
        <v>3408</v>
      </c>
      <c r="F55" s="7" t="n">
        <v>53</v>
      </c>
      <c r="G55" s="10" t="s">
        <v>16</v>
      </c>
      <c r="H55" s="10" t="s">
        <v>16</v>
      </c>
      <c r="I55" s="7" t="s">
        <v>3415</v>
      </c>
      <c r="J55" s="7" t="s">
        <v>374</v>
      </c>
      <c r="K55" s="7" t="s">
        <v>3428</v>
      </c>
      <c r="L55" s="7" t="s">
        <v>3429</v>
      </c>
      <c r="M55" s="7" t="s">
        <v>3430</v>
      </c>
      <c r="N55" s="7" t="s">
        <v>3431</v>
      </c>
      <c r="O55" s="7" t="s">
        <v>3414</v>
      </c>
      <c r="P55" s="7"/>
      <c r="Q55" s="7" t="n">
        <v>20</v>
      </c>
    </row>
    <row r="56" customFormat="false" ht="73.5" hidden="false" customHeight="true" outlineLevel="0" collapsed="false">
      <c r="A56" s="7" t="n">
        <v>52</v>
      </c>
      <c r="B56" s="7" t="s">
        <v>26</v>
      </c>
      <c r="C56" s="7" t="s">
        <v>3217</v>
      </c>
      <c r="D56" s="7" t="s">
        <v>3218</v>
      </c>
      <c r="E56" s="7" t="s">
        <v>3408</v>
      </c>
      <c r="F56" s="7" t="n">
        <v>54</v>
      </c>
      <c r="G56" s="10" t="s">
        <v>16</v>
      </c>
      <c r="H56" s="10" t="s">
        <v>16</v>
      </c>
      <c r="I56" s="7" t="s">
        <v>3415</v>
      </c>
      <c r="J56" s="7" t="s">
        <v>380</v>
      </c>
      <c r="K56" s="7" t="s">
        <v>3432</v>
      </c>
      <c r="L56" s="7" t="s">
        <v>3433</v>
      </c>
      <c r="M56" s="7" t="s">
        <v>3434</v>
      </c>
      <c r="N56" s="7" t="s">
        <v>3435</v>
      </c>
      <c r="O56" s="7" t="s">
        <v>3414</v>
      </c>
      <c r="P56" s="7"/>
      <c r="Q56" s="7" t="n">
        <v>20</v>
      </c>
    </row>
    <row r="57" customFormat="false" ht="73.5" hidden="false" customHeight="true" outlineLevel="0" collapsed="false">
      <c r="A57" s="7" t="n">
        <v>53</v>
      </c>
      <c r="B57" s="7" t="s">
        <v>26</v>
      </c>
      <c r="C57" s="7" t="s">
        <v>3217</v>
      </c>
      <c r="D57" s="7" t="s">
        <v>3218</v>
      </c>
      <c r="E57" s="7" t="s">
        <v>3408</v>
      </c>
      <c r="F57" s="7" t="n">
        <v>55</v>
      </c>
      <c r="G57" s="10" t="s">
        <v>16</v>
      </c>
      <c r="H57" s="10" t="s">
        <v>16</v>
      </c>
      <c r="I57" s="7" t="s">
        <v>3436</v>
      </c>
      <c r="J57" s="7" t="s">
        <v>387</v>
      </c>
      <c r="K57" s="7" t="s">
        <v>3437</v>
      </c>
      <c r="L57" s="7" t="s">
        <v>3438</v>
      </c>
      <c r="M57" s="7" t="s">
        <v>3439</v>
      </c>
      <c r="N57" s="7" t="s">
        <v>3360</v>
      </c>
      <c r="O57" s="7" t="s">
        <v>3440</v>
      </c>
      <c r="P57" s="7"/>
      <c r="Q57" s="7" t="n">
        <v>21</v>
      </c>
    </row>
    <row r="58" customFormat="false" ht="73.5" hidden="false" customHeight="true" outlineLevel="0" collapsed="false">
      <c r="A58" s="7" t="n">
        <v>54</v>
      </c>
      <c r="B58" s="7" t="s">
        <v>26</v>
      </c>
      <c r="C58" s="7" t="s">
        <v>3217</v>
      </c>
      <c r="D58" s="7" t="s">
        <v>3218</v>
      </c>
      <c r="E58" s="7" t="s">
        <v>3408</v>
      </c>
      <c r="F58" s="7" t="n">
        <v>56</v>
      </c>
      <c r="G58" s="10" t="s">
        <v>16</v>
      </c>
      <c r="H58" s="10" t="s">
        <v>16</v>
      </c>
      <c r="I58" s="7" t="s">
        <v>3441</v>
      </c>
      <c r="J58" s="7" t="s">
        <v>394</v>
      </c>
      <c r="K58" s="7" t="s">
        <v>3442</v>
      </c>
      <c r="L58" s="7" t="s">
        <v>3443</v>
      </c>
      <c r="M58" s="7" t="s">
        <v>3444</v>
      </c>
      <c r="N58" s="7" t="s">
        <v>3445</v>
      </c>
      <c r="O58" s="7" t="s">
        <v>3440</v>
      </c>
      <c r="P58" s="7"/>
      <c r="Q58" s="7" t="n">
        <v>21</v>
      </c>
    </row>
    <row r="59" customFormat="false" ht="73.5" hidden="false" customHeight="true" outlineLevel="0" collapsed="false">
      <c r="A59" s="7" t="n">
        <v>55</v>
      </c>
      <c r="B59" s="7" t="s">
        <v>26</v>
      </c>
      <c r="C59" s="7" t="s">
        <v>3217</v>
      </c>
      <c r="D59" s="7" t="s">
        <v>3218</v>
      </c>
      <c r="E59" s="7" t="s">
        <v>3408</v>
      </c>
      <c r="F59" s="7" t="n">
        <v>57</v>
      </c>
      <c r="G59" s="10" t="s">
        <v>16</v>
      </c>
      <c r="H59" s="10" t="s">
        <v>16</v>
      </c>
      <c r="I59" s="7" t="s">
        <v>3441</v>
      </c>
      <c r="J59" s="7" t="s">
        <v>400</v>
      </c>
      <c r="K59" s="7" t="s">
        <v>3446</v>
      </c>
      <c r="L59" s="7" t="s">
        <v>3447</v>
      </c>
      <c r="M59" s="7" t="s">
        <v>3448</v>
      </c>
      <c r="N59" s="7" t="s">
        <v>3449</v>
      </c>
      <c r="O59" s="7" t="s">
        <v>3440</v>
      </c>
      <c r="P59" s="7"/>
      <c r="Q59" s="7" t="n">
        <v>21</v>
      </c>
    </row>
    <row r="60" customFormat="false" ht="73.5" hidden="false" customHeight="true" outlineLevel="0" collapsed="false">
      <c r="A60" s="7" t="n">
        <v>56</v>
      </c>
      <c r="B60" s="7" t="s">
        <v>26</v>
      </c>
      <c r="C60" s="7" t="s">
        <v>3217</v>
      </c>
      <c r="D60" s="7" t="s">
        <v>3218</v>
      </c>
      <c r="E60" s="7" t="s">
        <v>3408</v>
      </c>
      <c r="F60" s="7" t="n">
        <v>58</v>
      </c>
      <c r="G60" s="10" t="s">
        <v>16</v>
      </c>
      <c r="H60" s="10" t="s">
        <v>16</v>
      </c>
      <c r="I60" s="7" t="s">
        <v>3441</v>
      </c>
      <c r="J60" s="7" t="s">
        <v>406</v>
      </c>
      <c r="K60" s="7" t="s">
        <v>3450</v>
      </c>
      <c r="L60" s="7" t="s">
        <v>3451</v>
      </c>
      <c r="M60" s="7" t="s">
        <v>3452</v>
      </c>
      <c r="N60" s="7" t="s">
        <v>3453</v>
      </c>
      <c r="O60" s="7" t="s">
        <v>3440</v>
      </c>
      <c r="P60" s="7"/>
      <c r="Q60" s="7" t="n">
        <v>21</v>
      </c>
    </row>
    <row r="61" customFormat="false" ht="73.5" hidden="false" customHeight="true" outlineLevel="0" collapsed="false">
      <c r="A61" s="7" t="n">
        <v>57</v>
      </c>
      <c r="B61" s="7" t="s">
        <v>26</v>
      </c>
      <c r="C61" s="7" t="s">
        <v>3217</v>
      </c>
      <c r="D61" s="7" t="s">
        <v>3218</v>
      </c>
      <c r="E61" s="7" t="s">
        <v>3408</v>
      </c>
      <c r="F61" s="7" t="n">
        <v>59</v>
      </c>
      <c r="G61" s="10" t="s">
        <v>16</v>
      </c>
      <c r="H61" s="10" t="s">
        <v>16</v>
      </c>
      <c r="I61" s="7" t="s">
        <v>3441</v>
      </c>
      <c r="J61" s="7" t="s">
        <v>412</v>
      </c>
      <c r="K61" s="7" t="s">
        <v>3454</v>
      </c>
      <c r="L61" s="7" t="s">
        <v>3455</v>
      </c>
      <c r="M61" s="7" t="s">
        <v>3456</v>
      </c>
      <c r="N61" s="7" t="s">
        <v>3457</v>
      </c>
      <c r="O61" s="7" t="s">
        <v>3440</v>
      </c>
      <c r="P61" s="7"/>
      <c r="Q61" s="7" t="n">
        <v>22</v>
      </c>
    </row>
    <row r="62" customFormat="false" ht="73.5" hidden="false" customHeight="true" outlineLevel="0" collapsed="false">
      <c r="A62" s="7" t="n">
        <v>58</v>
      </c>
      <c r="B62" s="7" t="s">
        <v>26</v>
      </c>
      <c r="C62" s="7" t="s">
        <v>3217</v>
      </c>
      <c r="D62" s="7" t="s">
        <v>3218</v>
      </c>
      <c r="E62" s="7" t="s">
        <v>3408</v>
      </c>
      <c r="F62" s="7" t="n">
        <v>60</v>
      </c>
      <c r="G62" s="10" t="s">
        <v>16</v>
      </c>
      <c r="H62" s="10" t="s">
        <v>16</v>
      </c>
      <c r="I62" s="7" t="s">
        <v>3441</v>
      </c>
      <c r="J62" s="7" t="s">
        <v>419</v>
      </c>
      <c r="K62" s="7" t="s">
        <v>3458</v>
      </c>
      <c r="L62" s="7" t="s">
        <v>3459</v>
      </c>
      <c r="M62" s="7" t="s">
        <v>3460</v>
      </c>
      <c r="N62" s="7" t="s">
        <v>3461</v>
      </c>
      <c r="O62" s="7" t="s">
        <v>3440</v>
      </c>
      <c r="P62" s="7"/>
      <c r="Q62" s="7" t="n">
        <v>22</v>
      </c>
    </row>
    <row r="63" customFormat="false" ht="73.5" hidden="false" customHeight="true" outlineLevel="0" collapsed="false">
      <c r="A63" s="7" t="n">
        <v>59</v>
      </c>
      <c r="B63" s="7" t="s">
        <v>26</v>
      </c>
      <c r="C63" s="7" t="s">
        <v>3217</v>
      </c>
      <c r="D63" s="7" t="s">
        <v>3218</v>
      </c>
      <c r="E63" s="7" t="s">
        <v>3408</v>
      </c>
      <c r="F63" s="7" t="n">
        <v>61</v>
      </c>
      <c r="G63" s="10" t="s">
        <v>16</v>
      </c>
      <c r="H63" s="10" t="s">
        <v>16</v>
      </c>
      <c r="I63" s="7" t="s">
        <v>3441</v>
      </c>
      <c r="J63" s="7" t="s">
        <v>425</v>
      </c>
      <c r="K63" s="7" t="s">
        <v>3462</v>
      </c>
      <c r="L63" s="7" t="s">
        <v>3463</v>
      </c>
      <c r="M63" s="7" t="s">
        <v>3464</v>
      </c>
      <c r="N63" s="7" t="s">
        <v>3465</v>
      </c>
      <c r="O63" s="7" t="s">
        <v>3440</v>
      </c>
      <c r="P63" s="7"/>
      <c r="Q63" s="7" t="n">
        <v>22</v>
      </c>
    </row>
    <row r="64" customFormat="false" ht="73.5" hidden="false" customHeight="true" outlineLevel="0" collapsed="false">
      <c r="A64" s="7" t="n">
        <v>60</v>
      </c>
      <c r="B64" s="7" t="s">
        <v>26</v>
      </c>
      <c r="C64" s="7" t="s">
        <v>3217</v>
      </c>
      <c r="D64" s="7" t="s">
        <v>3218</v>
      </c>
      <c r="E64" s="7" t="s">
        <v>3408</v>
      </c>
      <c r="F64" s="7" t="n">
        <v>62</v>
      </c>
      <c r="G64" s="10" t="s">
        <v>16</v>
      </c>
      <c r="H64" s="10" t="s">
        <v>16</v>
      </c>
      <c r="I64" s="7" t="s">
        <v>3466</v>
      </c>
      <c r="J64" s="7" t="s">
        <v>432</v>
      </c>
      <c r="K64" s="7" t="s">
        <v>3467</v>
      </c>
      <c r="L64" s="7" t="s">
        <v>3468</v>
      </c>
      <c r="M64" s="7" t="s">
        <v>3469</v>
      </c>
      <c r="N64" s="7" t="s">
        <v>3360</v>
      </c>
      <c r="O64" s="7" t="s">
        <v>3470</v>
      </c>
      <c r="P64" s="7"/>
      <c r="Q64" s="7" t="n">
        <v>22</v>
      </c>
    </row>
    <row r="65" customFormat="false" ht="82.5" hidden="false" customHeight="true" outlineLevel="0" collapsed="false">
      <c r="A65" s="7" t="n">
        <v>61</v>
      </c>
      <c r="B65" s="7" t="s">
        <v>26</v>
      </c>
      <c r="C65" s="7" t="s">
        <v>3217</v>
      </c>
      <c r="D65" s="7" t="s">
        <v>3218</v>
      </c>
      <c r="E65" s="7" t="s">
        <v>3408</v>
      </c>
      <c r="F65" s="7" t="n">
        <v>63</v>
      </c>
      <c r="G65" s="10" t="s">
        <v>16</v>
      </c>
      <c r="H65" s="10" t="s">
        <v>16</v>
      </c>
      <c r="I65" s="7" t="s">
        <v>3471</v>
      </c>
      <c r="J65" s="7" t="s">
        <v>439</v>
      </c>
      <c r="K65" s="7" t="s">
        <v>3472</v>
      </c>
      <c r="L65" s="7" t="s">
        <v>3473</v>
      </c>
      <c r="M65" s="7" t="s">
        <v>3474</v>
      </c>
      <c r="N65" s="7" t="s">
        <v>3475</v>
      </c>
      <c r="O65" s="7" t="s">
        <v>3476</v>
      </c>
      <c r="P65" s="7"/>
      <c r="Q65" s="7" t="n">
        <v>23</v>
      </c>
    </row>
    <row r="66" customFormat="false" ht="73.5" hidden="false" customHeight="true" outlineLevel="0" collapsed="false">
      <c r="A66" s="7" t="n">
        <v>62</v>
      </c>
      <c r="B66" s="7" t="s">
        <v>26</v>
      </c>
      <c r="C66" s="7" t="s">
        <v>3217</v>
      </c>
      <c r="D66" s="7" t="s">
        <v>3218</v>
      </c>
      <c r="E66" s="7" t="s">
        <v>3408</v>
      </c>
      <c r="F66" s="7" t="n">
        <v>64</v>
      </c>
      <c r="G66" s="10" t="s">
        <v>16</v>
      </c>
      <c r="H66" s="10" t="s">
        <v>16</v>
      </c>
      <c r="I66" s="7" t="s">
        <v>3477</v>
      </c>
      <c r="J66" s="7" t="s">
        <v>447</v>
      </c>
      <c r="K66" s="7" t="s">
        <v>3478</v>
      </c>
      <c r="L66" s="7" t="s">
        <v>3479</v>
      </c>
      <c r="M66" s="7" t="s">
        <v>3480</v>
      </c>
      <c r="N66" s="7" t="s">
        <v>3481</v>
      </c>
      <c r="O66" s="7" t="s">
        <v>3476</v>
      </c>
      <c r="P66" s="7"/>
      <c r="Q66" s="7" t="n">
        <v>23</v>
      </c>
    </row>
    <row r="67" customFormat="false" ht="73.5" hidden="false" customHeight="true" outlineLevel="0" collapsed="false">
      <c r="A67" s="7" t="n">
        <v>63</v>
      </c>
      <c r="B67" s="7" t="s">
        <v>26</v>
      </c>
      <c r="C67" s="7" t="s">
        <v>3217</v>
      </c>
      <c r="D67" s="7" t="s">
        <v>3218</v>
      </c>
      <c r="E67" s="7" t="s">
        <v>3408</v>
      </c>
      <c r="F67" s="7" t="n">
        <v>65</v>
      </c>
      <c r="G67" s="10" t="s">
        <v>16</v>
      </c>
      <c r="H67" s="10" t="s">
        <v>16</v>
      </c>
      <c r="I67" s="7" t="s">
        <v>3477</v>
      </c>
      <c r="J67" s="7" t="s">
        <v>453</v>
      </c>
      <c r="K67" s="7" t="s">
        <v>3482</v>
      </c>
      <c r="L67" s="7" t="s">
        <v>3483</v>
      </c>
      <c r="M67" s="7" t="s">
        <v>3484</v>
      </c>
      <c r="N67" s="7" t="s">
        <v>3485</v>
      </c>
      <c r="O67" s="7" t="s">
        <v>3476</v>
      </c>
      <c r="P67" s="7"/>
      <c r="Q67" s="7" t="n">
        <v>23</v>
      </c>
    </row>
    <row r="68" customFormat="false" ht="73.5" hidden="false" customHeight="true" outlineLevel="0" collapsed="false">
      <c r="A68" s="7" t="n">
        <v>64</v>
      </c>
      <c r="B68" s="7" t="s">
        <v>26</v>
      </c>
      <c r="C68" s="7" t="s">
        <v>3217</v>
      </c>
      <c r="D68" s="7" t="s">
        <v>3218</v>
      </c>
      <c r="E68" s="7" t="s">
        <v>3408</v>
      </c>
      <c r="F68" s="7" t="n">
        <v>66</v>
      </c>
      <c r="G68" s="10" t="s">
        <v>16</v>
      </c>
      <c r="H68" s="10" t="s">
        <v>16</v>
      </c>
      <c r="I68" s="7" t="s">
        <v>3477</v>
      </c>
      <c r="J68" s="7" t="s">
        <v>459</v>
      </c>
      <c r="K68" s="7" t="s">
        <v>3486</v>
      </c>
      <c r="L68" s="7" t="s">
        <v>3487</v>
      </c>
      <c r="M68" s="7" t="s">
        <v>3488</v>
      </c>
      <c r="N68" s="7" t="s">
        <v>3489</v>
      </c>
      <c r="O68" s="7" t="s">
        <v>3476</v>
      </c>
      <c r="P68" s="7"/>
      <c r="Q68" s="7" t="n">
        <v>24</v>
      </c>
    </row>
    <row r="69" customFormat="false" ht="73.5" hidden="false" customHeight="true" outlineLevel="0" collapsed="false">
      <c r="A69" s="7" t="n">
        <v>65</v>
      </c>
      <c r="B69" s="7" t="s">
        <v>26</v>
      </c>
      <c r="C69" s="7" t="s">
        <v>3217</v>
      </c>
      <c r="D69" s="7" t="s">
        <v>3218</v>
      </c>
      <c r="E69" s="7" t="s">
        <v>3408</v>
      </c>
      <c r="F69" s="7" t="n">
        <v>67</v>
      </c>
      <c r="G69" s="10" t="s">
        <v>16</v>
      </c>
      <c r="H69" s="10" t="s">
        <v>16</v>
      </c>
      <c r="I69" s="7" t="s">
        <v>3477</v>
      </c>
      <c r="J69" s="7" t="s">
        <v>466</v>
      </c>
      <c r="K69" s="7" t="s">
        <v>3490</v>
      </c>
      <c r="L69" s="7" t="s">
        <v>3491</v>
      </c>
      <c r="M69" s="7" t="s">
        <v>3492</v>
      </c>
      <c r="N69" s="7" t="s">
        <v>3493</v>
      </c>
      <c r="O69" s="7" t="s">
        <v>3476</v>
      </c>
      <c r="P69" s="7"/>
      <c r="Q69" s="7" t="n">
        <v>24</v>
      </c>
    </row>
    <row r="70" customFormat="false" ht="73.5" hidden="false" customHeight="true" outlineLevel="0" collapsed="false">
      <c r="A70" s="7" t="n">
        <v>66</v>
      </c>
      <c r="B70" s="7" t="s">
        <v>26</v>
      </c>
      <c r="C70" s="7" t="s">
        <v>3217</v>
      </c>
      <c r="D70" s="7" t="s">
        <v>3218</v>
      </c>
      <c r="E70" s="7" t="s">
        <v>3408</v>
      </c>
      <c r="F70" s="7" t="n">
        <v>68</v>
      </c>
      <c r="G70" s="10" t="s">
        <v>16</v>
      </c>
      <c r="H70" s="10" t="s">
        <v>16</v>
      </c>
      <c r="I70" s="7" t="s">
        <v>3477</v>
      </c>
      <c r="J70" s="7" t="s">
        <v>472</v>
      </c>
      <c r="K70" s="7" t="s">
        <v>3494</v>
      </c>
      <c r="L70" s="7" t="s">
        <v>3495</v>
      </c>
      <c r="M70" s="7" t="s">
        <v>3496</v>
      </c>
      <c r="N70" s="7" t="s">
        <v>3497</v>
      </c>
      <c r="O70" s="7" t="s">
        <v>3476</v>
      </c>
      <c r="P70" s="7"/>
      <c r="Q70" s="7" t="n">
        <v>24</v>
      </c>
    </row>
    <row r="71" customFormat="false" ht="73.5" hidden="false" customHeight="true" outlineLevel="0" collapsed="false">
      <c r="A71" s="7" t="n">
        <v>67</v>
      </c>
      <c r="B71" s="7" t="s">
        <v>26</v>
      </c>
      <c r="C71" s="7" t="s">
        <v>3217</v>
      </c>
      <c r="D71" s="7" t="s">
        <v>3218</v>
      </c>
      <c r="E71" s="7" t="s">
        <v>3408</v>
      </c>
      <c r="F71" s="7" t="n">
        <v>69</v>
      </c>
      <c r="G71" s="10" t="s">
        <v>16</v>
      </c>
      <c r="H71" s="10" t="s">
        <v>16</v>
      </c>
      <c r="I71" s="7" t="s">
        <v>3477</v>
      </c>
      <c r="J71" s="7" t="s">
        <v>478</v>
      </c>
      <c r="K71" s="7" t="s">
        <v>3498</v>
      </c>
      <c r="L71" s="7" t="s">
        <v>3469</v>
      </c>
      <c r="M71" s="7" t="s">
        <v>3499</v>
      </c>
      <c r="N71" s="7" t="s">
        <v>3360</v>
      </c>
      <c r="O71" s="7" t="s">
        <v>3476</v>
      </c>
      <c r="P71" s="7"/>
      <c r="Q71" s="7" t="n">
        <v>25</v>
      </c>
    </row>
    <row r="72" customFormat="false" ht="73.5" hidden="false" customHeight="true" outlineLevel="0" collapsed="false">
      <c r="A72" s="7" t="n">
        <v>68</v>
      </c>
      <c r="B72" s="7" t="s">
        <v>26</v>
      </c>
      <c r="C72" s="7" t="s">
        <v>3217</v>
      </c>
      <c r="D72" s="7" t="s">
        <v>3218</v>
      </c>
      <c r="E72" s="7" t="s">
        <v>3408</v>
      </c>
      <c r="F72" s="7" t="n">
        <v>70</v>
      </c>
      <c r="G72" s="10" t="s">
        <v>16</v>
      </c>
      <c r="H72" s="10" t="s">
        <v>16</v>
      </c>
      <c r="I72" s="7" t="s">
        <v>3477</v>
      </c>
      <c r="J72" s="7" t="s">
        <v>484</v>
      </c>
      <c r="K72" s="7" t="s">
        <v>3500</v>
      </c>
      <c r="L72" s="7" t="s">
        <v>3501</v>
      </c>
      <c r="M72" s="7" t="s">
        <v>3502</v>
      </c>
      <c r="N72" s="7" t="s">
        <v>3503</v>
      </c>
      <c r="O72" s="7" t="s">
        <v>3476</v>
      </c>
      <c r="P72" s="7"/>
      <c r="Q72" s="7" t="n">
        <v>25</v>
      </c>
    </row>
    <row r="73" customFormat="false" ht="73.5" hidden="false" customHeight="true" outlineLevel="0" collapsed="false">
      <c r="A73" s="7" t="n">
        <v>69</v>
      </c>
      <c r="B73" s="7" t="s">
        <v>26</v>
      </c>
      <c r="C73" s="7" t="s">
        <v>3217</v>
      </c>
      <c r="D73" s="7" t="s">
        <v>3218</v>
      </c>
      <c r="E73" s="7" t="s">
        <v>3408</v>
      </c>
      <c r="F73" s="7" t="n">
        <v>71</v>
      </c>
      <c r="G73" s="10" t="s">
        <v>16</v>
      </c>
      <c r="H73" s="10" t="s">
        <v>16</v>
      </c>
      <c r="I73" s="7" t="s">
        <v>3477</v>
      </c>
      <c r="J73" s="7" t="s">
        <v>490</v>
      </c>
      <c r="K73" s="7" t="s">
        <v>3504</v>
      </c>
      <c r="L73" s="7" t="s">
        <v>3505</v>
      </c>
      <c r="M73" s="7" t="s">
        <v>3506</v>
      </c>
      <c r="N73" s="7" t="s">
        <v>3507</v>
      </c>
      <c r="O73" s="7" t="s">
        <v>3476</v>
      </c>
      <c r="P73" s="7"/>
      <c r="Q73" s="7" t="n">
        <v>25</v>
      </c>
    </row>
    <row r="74" customFormat="false" ht="73.5" hidden="false" customHeight="true" outlineLevel="0" collapsed="false">
      <c r="A74" s="7" t="n">
        <v>70</v>
      </c>
      <c r="B74" s="7" t="s">
        <v>26</v>
      </c>
      <c r="C74" s="7" t="s">
        <v>3217</v>
      </c>
      <c r="D74" s="7" t="s">
        <v>3218</v>
      </c>
      <c r="E74" s="7" t="s">
        <v>3408</v>
      </c>
      <c r="F74" s="7" t="n">
        <v>72</v>
      </c>
      <c r="G74" s="10" t="s">
        <v>16</v>
      </c>
      <c r="H74" s="10" t="s">
        <v>16</v>
      </c>
      <c r="I74" s="7" t="s">
        <v>3477</v>
      </c>
      <c r="J74" s="7" t="s">
        <v>496</v>
      </c>
      <c r="K74" s="7" t="s">
        <v>3508</v>
      </c>
      <c r="L74" s="7" t="s">
        <v>3413</v>
      </c>
      <c r="M74" s="7" t="s">
        <v>3509</v>
      </c>
      <c r="N74" s="7" t="s">
        <v>3510</v>
      </c>
      <c r="O74" s="7" t="s">
        <v>3476</v>
      </c>
      <c r="P74" s="7"/>
      <c r="Q74" s="7" t="n">
        <v>25</v>
      </c>
    </row>
    <row r="75" customFormat="false" ht="199.5" hidden="false" customHeight="true" outlineLevel="0" collapsed="false">
      <c r="A75" s="7" t="n">
        <v>71</v>
      </c>
      <c r="B75" s="7" t="s">
        <v>26</v>
      </c>
      <c r="C75" s="7" t="s">
        <v>3217</v>
      </c>
      <c r="D75" s="7" t="s">
        <v>3218</v>
      </c>
      <c r="E75" s="7" t="s">
        <v>3511</v>
      </c>
      <c r="F75" s="7" t="n">
        <v>73</v>
      </c>
      <c r="G75" s="10" t="s">
        <v>16</v>
      </c>
      <c r="H75" s="10" t="s">
        <v>16</v>
      </c>
      <c r="I75" s="7" t="s">
        <v>3512</v>
      </c>
      <c r="J75" s="7" t="s">
        <v>347</v>
      </c>
      <c r="K75" s="7" t="s">
        <v>3513</v>
      </c>
      <c r="L75" s="7" t="s">
        <v>3514</v>
      </c>
      <c r="M75" s="7" t="s">
        <v>3515</v>
      </c>
      <c r="N75" s="7" t="s">
        <v>3516</v>
      </c>
      <c r="O75" s="7" t="s">
        <v>3517</v>
      </c>
      <c r="P75" s="7"/>
      <c r="Q75" s="7" t="n">
        <v>26</v>
      </c>
    </row>
    <row r="76" customFormat="false" ht="73.5" hidden="false" customHeight="true" outlineLevel="0" collapsed="false">
      <c r="A76" s="7" t="n">
        <v>72</v>
      </c>
      <c r="B76" s="7" t="s">
        <v>26</v>
      </c>
      <c r="C76" s="7" t="s">
        <v>3217</v>
      </c>
      <c r="D76" s="7" t="s">
        <v>3218</v>
      </c>
      <c r="E76" s="7" t="s">
        <v>3511</v>
      </c>
      <c r="F76" s="7" t="n">
        <v>74</v>
      </c>
      <c r="G76" s="10" t="s">
        <v>16</v>
      </c>
      <c r="H76" s="10" t="s">
        <v>16</v>
      </c>
      <c r="I76" s="7" t="s">
        <v>3518</v>
      </c>
      <c r="J76" s="7" t="s">
        <v>513</v>
      </c>
      <c r="K76" s="7" t="s">
        <v>3519</v>
      </c>
      <c r="L76" s="7" t="s">
        <v>3520</v>
      </c>
      <c r="M76" s="7" t="s">
        <v>3521</v>
      </c>
      <c r="N76" s="7" t="s">
        <v>3360</v>
      </c>
      <c r="O76" s="7" t="s">
        <v>3517</v>
      </c>
      <c r="P76" s="7"/>
      <c r="Q76" s="7" t="n">
        <v>26</v>
      </c>
    </row>
    <row r="77" customFormat="false" ht="73.5" hidden="false" customHeight="true" outlineLevel="0" collapsed="false">
      <c r="A77" s="7" t="n">
        <v>73</v>
      </c>
      <c r="B77" s="7" t="s">
        <v>26</v>
      </c>
      <c r="C77" s="7" t="s">
        <v>3217</v>
      </c>
      <c r="D77" s="7" t="s">
        <v>3218</v>
      </c>
      <c r="E77" s="7" t="s">
        <v>3511</v>
      </c>
      <c r="F77" s="7" t="n">
        <v>75</v>
      </c>
      <c r="G77" s="10" t="s">
        <v>16</v>
      </c>
      <c r="H77" s="10" t="s">
        <v>16</v>
      </c>
      <c r="I77" s="7" t="s">
        <v>3518</v>
      </c>
      <c r="J77" s="7" t="s">
        <v>518</v>
      </c>
      <c r="K77" s="7" t="s">
        <v>3522</v>
      </c>
      <c r="L77" s="7" t="s">
        <v>3523</v>
      </c>
      <c r="M77" s="7" t="s">
        <v>3524</v>
      </c>
      <c r="N77" s="7" t="s">
        <v>3525</v>
      </c>
      <c r="O77" s="7" t="s">
        <v>3517</v>
      </c>
      <c r="P77" s="7"/>
      <c r="Q77" s="7" t="n">
        <v>27</v>
      </c>
    </row>
    <row r="78" customFormat="false" ht="73.5" hidden="false" customHeight="true" outlineLevel="0" collapsed="false">
      <c r="A78" s="7" t="n">
        <v>74</v>
      </c>
      <c r="B78" s="7" t="s">
        <v>26</v>
      </c>
      <c r="C78" s="7" t="s">
        <v>3217</v>
      </c>
      <c r="D78" s="7" t="s">
        <v>3218</v>
      </c>
      <c r="E78" s="7" t="s">
        <v>3511</v>
      </c>
      <c r="F78" s="7" t="n">
        <v>76</v>
      </c>
      <c r="G78" s="10" t="s">
        <v>16</v>
      </c>
      <c r="H78" s="10" t="s">
        <v>16</v>
      </c>
      <c r="I78" s="7" t="s">
        <v>3518</v>
      </c>
      <c r="J78" s="7" t="s">
        <v>525</v>
      </c>
      <c r="K78" s="7" t="s">
        <v>3526</v>
      </c>
      <c r="L78" s="7" t="s">
        <v>3527</v>
      </c>
      <c r="M78" s="7" t="s">
        <v>3528</v>
      </c>
      <c r="N78" s="7" t="s">
        <v>3529</v>
      </c>
      <c r="O78" s="7" t="s">
        <v>3517</v>
      </c>
      <c r="P78" s="7"/>
      <c r="Q78" s="7" t="n">
        <v>27</v>
      </c>
    </row>
    <row r="79" customFormat="false" ht="73.5" hidden="false" customHeight="true" outlineLevel="0" collapsed="false">
      <c r="A79" s="7" t="n">
        <v>75</v>
      </c>
      <c r="B79" s="7" t="s">
        <v>26</v>
      </c>
      <c r="C79" s="7" t="s">
        <v>3217</v>
      </c>
      <c r="D79" s="7" t="s">
        <v>3218</v>
      </c>
      <c r="E79" s="7" t="s">
        <v>3511</v>
      </c>
      <c r="F79" s="7" t="n">
        <v>77</v>
      </c>
      <c r="G79" s="10" t="s">
        <v>16</v>
      </c>
      <c r="H79" s="10" t="s">
        <v>16</v>
      </c>
      <c r="I79" s="7" t="s">
        <v>3518</v>
      </c>
      <c r="J79" s="7" t="s">
        <v>531</v>
      </c>
      <c r="K79" s="7" t="s">
        <v>3530</v>
      </c>
      <c r="L79" s="7" t="s">
        <v>3531</v>
      </c>
      <c r="M79" s="7" t="s">
        <v>3423</v>
      </c>
      <c r="N79" s="7" t="s">
        <v>3360</v>
      </c>
      <c r="O79" s="7" t="s">
        <v>3517</v>
      </c>
      <c r="P79" s="7"/>
      <c r="Q79" s="7" t="n">
        <v>27</v>
      </c>
    </row>
    <row r="80" customFormat="false" ht="73.5" hidden="false" customHeight="true" outlineLevel="0" collapsed="false">
      <c r="A80" s="7" t="n">
        <v>76</v>
      </c>
      <c r="B80" s="7" t="s">
        <v>26</v>
      </c>
      <c r="C80" s="7" t="s">
        <v>3217</v>
      </c>
      <c r="D80" s="7" t="s">
        <v>3218</v>
      </c>
      <c r="E80" s="7" t="s">
        <v>3511</v>
      </c>
      <c r="F80" s="7" t="n">
        <v>78</v>
      </c>
      <c r="G80" s="10" t="s">
        <v>16</v>
      </c>
      <c r="H80" s="10" t="s">
        <v>16</v>
      </c>
      <c r="I80" s="7" t="s">
        <v>3518</v>
      </c>
      <c r="J80" s="7" t="s">
        <v>536</v>
      </c>
      <c r="K80" s="7" t="s">
        <v>3532</v>
      </c>
      <c r="L80" s="7" t="s">
        <v>3422</v>
      </c>
      <c r="M80" s="7" t="s">
        <v>3533</v>
      </c>
      <c r="N80" s="7" t="s">
        <v>3534</v>
      </c>
      <c r="O80" s="7" t="s">
        <v>3517</v>
      </c>
      <c r="P80" s="7"/>
      <c r="Q80" s="7" t="n">
        <v>27</v>
      </c>
    </row>
    <row r="81" customFormat="false" ht="73.5" hidden="false" customHeight="true" outlineLevel="0" collapsed="false">
      <c r="A81" s="7" t="n">
        <v>77</v>
      </c>
      <c r="B81" s="7" t="s">
        <v>26</v>
      </c>
      <c r="C81" s="7" t="s">
        <v>3217</v>
      </c>
      <c r="D81" s="7" t="s">
        <v>3218</v>
      </c>
      <c r="E81" s="7" t="s">
        <v>3511</v>
      </c>
      <c r="F81" s="7" t="n">
        <v>79</v>
      </c>
      <c r="G81" s="10" t="s">
        <v>16</v>
      </c>
      <c r="H81" s="10" t="s">
        <v>16</v>
      </c>
      <c r="I81" s="7" t="s">
        <v>3518</v>
      </c>
      <c r="J81" s="7" t="s">
        <v>542</v>
      </c>
      <c r="K81" s="7" t="s">
        <v>3535</v>
      </c>
      <c r="L81" s="7" t="s">
        <v>3536</v>
      </c>
      <c r="M81" s="7" t="s">
        <v>3537</v>
      </c>
      <c r="N81" s="7" t="s">
        <v>3538</v>
      </c>
      <c r="O81" s="7" t="s">
        <v>3517</v>
      </c>
      <c r="P81" s="7"/>
      <c r="Q81" s="7" t="n">
        <v>27</v>
      </c>
    </row>
    <row r="82" customFormat="false" ht="73.5" hidden="false" customHeight="true" outlineLevel="0" collapsed="false">
      <c r="A82" s="7" t="n">
        <v>78</v>
      </c>
      <c r="B82" s="7" t="s">
        <v>26</v>
      </c>
      <c r="C82" s="7" t="s">
        <v>3217</v>
      </c>
      <c r="D82" s="7" t="s">
        <v>3218</v>
      </c>
      <c r="E82" s="7" t="s">
        <v>3511</v>
      </c>
      <c r="F82" s="7" t="n">
        <v>80</v>
      </c>
      <c r="G82" s="10" t="s">
        <v>16</v>
      </c>
      <c r="H82" s="10" t="s">
        <v>16</v>
      </c>
      <c r="I82" s="7" t="s">
        <v>3518</v>
      </c>
      <c r="J82" s="7" t="s">
        <v>548</v>
      </c>
      <c r="K82" s="7" t="s">
        <v>3539</v>
      </c>
      <c r="L82" s="7" t="s">
        <v>3540</v>
      </c>
      <c r="M82" s="7" t="s">
        <v>3541</v>
      </c>
      <c r="N82" s="7" t="s">
        <v>3542</v>
      </c>
      <c r="O82" s="7" t="s">
        <v>3517</v>
      </c>
      <c r="P82" s="7"/>
      <c r="Q82" s="7" t="n">
        <v>28</v>
      </c>
    </row>
    <row r="83" customFormat="false" ht="73.5" hidden="false" customHeight="true" outlineLevel="0" collapsed="false">
      <c r="A83" s="7" t="n">
        <v>79</v>
      </c>
      <c r="B83" s="7" t="s">
        <v>26</v>
      </c>
      <c r="C83" s="7" t="s">
        <v>3217</v>
      </c>
      <c r="D83" s="7" t="s">
        <v>3218</v>
      </c>
      <c r="E83" s="7" t="s">
        <v>3511</v>
      </c>
      <c r="F83" s="7" t="n">
        <v>81</v>
      </c>
      <c r="G83" s="10" t="s">
        <v>16</v>
      </c>
      <c r="H83" s="10" t="s">
        <v>16</v>
      </c>
      <c r="I83" s="7" t="s">
        <v>3518</v>
      </c>
      <c r="J83" s="7" t="s">
        <v>555</v>
      </c>
      <c r="K83" s="7" t="s">
        <v>3543</v>
      </c>
      <c r="L83" s="7" t="s">
        <v>3544</v>
      </c>
      <c r="M83" s="7" t="s">
        <v>3545</v>
      </c>
      <c r="N83" s="7" t="s">
        <v>3546</v>
      </c>
      <c r="O83" s="7" t="s">
        <v>3517</v>
      </c>
      <c r="P83" s="7"/>
      <c r="Q83" s="7" t="n">
        <v>28</v>
      </c>
    </row>
    <row r="84" customFormat="false" ht="73.5" hidden="false" customHeight="true" outlineLevel="0" collapsed="false">
      <c r="A84" s="7" t="n">
        <v>80</v>
      </c>
      <c r="B84" s="7" t="s">
        <v>26</v>
      </c>
      <c r="C84" s="7" t="s">
        <v>3217</v>
      </c>
      <c r="D84" s="7" t="s">
        <v>3218</v>
      </c>
      <c r="E84" s="7" t="s">
        <v>3511</v>
      </c>
      <c r="F84" s="7" t="n">
        <v>82</v>
      </c>
      <c r="G84" s="10" t="s">
        <v>16</v>
      </c>
      <c r="H84" s="10" t="s">
        <v>16</v>
      </c>
      <c r="I84" s="7" t="s">
        <v>3518</v>
      </c>
      <c r="J84" s="7" t="s">
        <v>561</v>
      </c>
      <c r="K84" s="7" t="s">
        <v>3547</v>
      </c>
      <c r="L84" s="7" t="s">
        <v>3548</v>
      </c>
      <c r="M84" s="7" t="s">
        <v>3549</v>
      </c>
      <c r="N84" s="7" t="s">
        <v>3360</v>
      </c>
      <c r="O84" s="7" t="s">
        <v>3517</v>
      </c>
      <c r="P84" s="7"/>
      <c r="Q84" s="7" t="n">
        <v>28</v>
      </c>
    </row>
    <row r="85" customFormat="false" ht="73.5" hidden="false" customHeight="true" outlineLevel="0" collapsed="false">
      <c r="A85" s="7" t="n">
        <v>81</v>
      </c>
      <c r="B85" s="7" t="s">
        <v>26</v>
      </c>
      <c r="C85" s="7" t="s">
        <v>3217</v>
      </c>
      <c r="D85" s="7" t="s">
        <v>3218</v>
      </c>
      <c r="E85" s="7" t="s">
        <v>3511</v>
      </c>
      <c r="F85" s="7" t="n">
        <v>83</v>
      </c>
      <c r="G85" s="10" t="s">
        <v>16</v>
      </c>
      <c r="H85" s="10" t="s">
        <v>16</v>
      </c>
      <c r="I85" s="7" t="s">
        <v>3518</v>
      </c>
      <c r="J85" s="7" t="s">
        <v>566</v>
      </c>
      <c r="K85" s="7" t="s">
        <v>3550</v>
      </c>
      <c r="L85" s="7" t="s">
        <v>3551</v>
      </c>
      <c r="M85" s="7" t="s">
        <v>3552</v>
      </c>
      <c r="N85" s="7" t="s">
        <v>3553</v>
      </c>
      <c r="O85" s="7" t="s">
        <v>3517</v>
      </c>
      <c r="P85" s="7"/>
      <c r="Q85" s="7" t="n">
        <v>28</v>
      </c>
    </row>
    <row r="86" customFormat="false" ht="73.5" hidden="false" customHeight="true" outlineLevel="0" collapsed="false">
      <c r="A86" s="7" t="n">
        <v>82</v>
      </c>
      <c r="B86" s="7" t="s">
        <v>26</v>
      </c>
      <c r="C86" s="7" t="s">
        <v>3217</v>
      </c>
      <c r="D86" s="7" t="s">
        <v>3218</v>
      </c>
      <c r="E86" s="7" t="s">
        <v>3511</v>
      </c>
      <c r="F86" s="7" t="n">
        <v>84</v>
      </c>
      <c r="G86" s="10" t="s">
        <v>16</v>
      </c>
      <c r="H86" s="10" t="s">
        <v>16</v>
      </c>
      <c r="I86" s="7" t="s">
        <v>3518</v>
      </c>
      <c r="J86" s="7" t="s">
        <v>572</v>
      </c>
      <c r="K86" s="7" t="s">
        <v>3554</v>
      </c>
      <c r="L86" s="7" t="s">
        <v>3555</v>
      </c>
      <c r="M86" s="7" t="s">
        <v>3556</v>
      </c>
      <c r="N86" s="7" t="s">
        <v>3557</v>
      </c>
      <c r="O86" s="7" t="s">
        <v>3517</v>
      </c>
      <c r="P86" s="7"/>
      <c r="Q86" s="7" t="n">
        <v>29</v>
      </c>
    </row>
    <row r="87" customFormat="false" ht="73.5" hidden="false" customHeight="true" outlineLevel="0" collapsed="false">
      <c r="A87" s="7" t="n">
        <v>83</v>
      </c>
      <c r="B87" s="7" t="s">
        <v>26</v>
      </c>
      <c r="C87" s="7" t="s">
        <v>3217</v>
      </c>
      <c r="D87" s="7" t="s">
        <v>3218</v>
      </c>
      <c r="E87" s="7" t="s">
        <v>3511</v>
      </c>
      <c r="F87" s="7" t="n">
        <v>85</v>
      </c>
      <c r="G87" s="10" t="s">
        <v>16</v>
      </c>
      <c r="H87" s="10" t="s">
        <v>16</v>
      </c>
      <c r="I87" s="7" t="s">
        <v>3518</v>
      </c>
      <c r="J87" s="7" t="s">
        <v>579</v>
      </c>
      <c r="K87" s="7" t="s">
        <v>3558</v>
      </c>
      <c r="L87" s="7" t="s">
        <v>3559</v>
      </c>
      <c r="M87" s="7" t="s">
        <v>3428</v>
      </c>
      <c r="N87" s="7" t="s">
        <v>3560</v>
      </c>
      <c r="O87" s="7" t="s">
        <v>3517</v>
      </c>
      <c r="P87" s="7"/>
      <c r="Q87" s="7" t="n">
        <v>29</v>
      </c>
    </row>
    <row r="88" customFormat="false" ht="73.5" hidden="false" customHeight="true" outlineLevel="0" collapsed="false">
      <c r="A88" s="7" t="n">
        <v>84</v>
      </c>
      <c r="B88" s="7" t="s">
        <v>26</v>
      </c>
      <c r="C88" s="7" t="s">
        <v>3217</v>
      </c>
      <c r="D88" s="7" t="s">
        <v>3218</v>
      </c>
      <c r="E88" s="7" t="s">
        <v>3511</v>
      </c>
      <c r="F88" s="7" t="n">
        <v>86</v>
      </c>
      <c r="G88" s="10" t="s">
        <v>16</v>
      </c>
      <c r="H88" s="10" t="s">
        <v>16</v>
      </c>
      <c r="I88" s="7" t="s">
        <v>3518</v>
      </c>
      <c r="J88" s="7" t="s">
        <v>585</v>
      </c>
      <c r="K88" s="7" t="s">
        <v>3561</v>
      </c>
      <c r="L88" s="7" t="s">
        <v>3562</v>
      </c>
      <c r="M88" s="7" t="s">
        <v>3563</v>
      </c>
      <c r="N88" s="7" t="s">
        <v>3564</v>
      </c>
      <c r="O88" s="7" t="s">
        <v>3517</v>
      </c>
      <c r="P88" s="7"/>
      <c r="Q88" s="7" t="n">
        <v>29</v>
      </c>
    </row>
    <row r="89" customFormat="false" ht="73.5" hidden="false" customHeight="true" outlineLevel="0" collapsed="false">
      <c r="A89" s="7" t="n">
        <v>85</v>
      </c>
      <c r="B89" s="7" t="s">
        <v>26</v>
      </c>
      <c r="C89" s="7" t="s">
        <v>3217</v>
      </c>
      <c r="D89" s="7" t="s">
        <v>3218</v>
      </c>
      <c r="E89" s="7" t="s">
        <v>3511</v>
      </c>
      <c r="F89" s="7" t="n">
        <v>87</v>
      </c>
      <c r="G89" s="10" t="s">
        <v>16</v>
      </c>
      <c r="H89" s="10" t="s">
        <v>16</v>
      </c>
      <c r="I89" s="7" t="s">
        <v>3518</v>
      </c>
      <c r="J89" s="7" t="s">
        <v>591</v>
      </c>
      <c r="K89" s="7" t="s">
        <v>3565</v>
      </c>
      <c r="L89" s="7" t="s">
        <v>3566</v>
      </c>
      <c r="M89" s="7" t="s">
        <v>3567</v>
      </c>
      <c r="N89" s="7" t="s">
        <v>3568</v>
      </c>
      <c r="O89" s="7" t="s">
        <v>3517</v>
      </c>
      <c r="P89" s="7"/>
      <c r="Q89" s="7" t="n">
        <v>29</v>
      </c>
    </row>
    <row r="90" customFormat="false" ht="73.5" hidden="false" customHeight="true" outlineLevel="0" collapsed="false">
      <c r="A90" s="7" t="n">
        <v>86</v>
      </c>
      <c r="B90" s="7" t="s">
        <v>26</v>
      </c>
      <c r="C90" s="7" t="s">
        <v>3217</v>
      </c>
      <c r="D90" s="7" t="s">
        <v>3218</v>
      </c>
      <c r="E90" s="7" t="s">
        <v>3511</v>
      </c>
      <c r="F90" s="7" t="n">
        <v>88</v>
      </c>
      <c r="G90" s="10" t="s">
        <v>16</v>
      </c>
      <c r="H90" s="10" t="s">
        <v>16</v>
      </c>
      <c r="I90" s="7" t="s">
        <v>3518</v>
      </c>
      <c r="J90" s="7" t="s">
        <v>597</v>
      </c>
      <c r="K90" s="7" t="s">
        <v>3569</v>
      </c>
      <c r="L90" s="7" t="s">
        <v>3570</v>
      </c>
      <c r="M90" s="7" t="s">
        <v>3571</v>
      </c>
      <c r="N90" s="7" t="s">
        <v>3572</v>
      </c>
      <c r="O90" s="7" t="s">
        <v>3517</v>
      </c>
      <c r="P90" s="7"/>
      <c r="Q90" s="7" t="n">
        <v>30</v>
      </c>
    </row>
    <row r="91" customFormat="false" ht="73.5" hidden="false" customHeight="true" outlineLevel="0" collapsed="false">
      <c r="A91" s="7" t="n">
        <v>87</v>
      </c>
      <c r="B91" s="7" t="s">
        <v>26</v>
      </c>
      <c r="C91" s="7" t="s">
        <v>3217</v>
      </c>
      <c r="D91" s="7" t="s">
        <v>3218</v>
      </c>
      <c r="E91" s="7" t="s">
        <v>3511</v>
      </c>
      <c r="F91" s="7" t="n">
        <v>90</v>
      </c>
      <c r="G91" s="10" t="s">
        <v>16</v>
      </c>
      <c r="H91" s="10" t="s">
        <v>16</v>
      </c>
      <c r="I91" s="7" t="s">
        <v>3518</v>
      </c>
      <c r="J91" s="7" t="s">
        <v>604</v>
      </c>
      <c r="K91" s="7" t="s">
        <v>3573</v>
      </c>
      <c r="L91" s="7" t="s">
        <v>3574</v>
      </c>
      <c r="M91" s="7" t="s">
        <v>3575</v>
      </c>
      <c r="N91" s="7" t="s">
        <v>3576</v>
      </c>
      <c r="O91" s="7" t="s">
        <v>3517</v>
      </c>
      <c r="P91" s="7"/>
      <c r="Q91" s="7" t="n">
        <v>30</v>
      </c>
    </row>
    <row r="92" customFormat="false" ht="73.5" hidden="false" customHeight="true" outlineLevel="0" collapsed="false">
      <c r="A92" s="7" t="n">
        <v>88</v>
      </c>
      <c r="B92" s="7" t="s">
        <v>26</v>
      </c>
      <c r="C92" s="7" t="s">
        <v>3217</v>
      </c>
      <c r="D92" s="7" t="s">
        <v>3218</v>
      </c>
      <c r="E92" s="7" t="s">
        <v>3511</v>
      </c>
      <c r="F92" s="7" t="n">
        <v>91</v>
      </c>
      <c r="G92" s="10" t="s">
        <v>16</v>
      </c>
      <c r="H92" s="10" t="s">
        <v>16</v>
      </c>
      <c r="I92" s="7" t="s">
        <v>3518</v>
      </c>
      <c r="J92" s="7" t="s">
        <v>610</v>
      </c>
      <c r="K92" s="7" t="s">
        <v>3577</v>
      </c>
      <c r="L92" s="7" t="s">
        <v>3578</v>
      </c>
      <c r="M92" s="7" t="s">
        <v>3579</v>
      </c>
      <c r="N92" s="7" t="s">
        <v>3580</v>
      </c>
      <c r="O92" s="7" t="s">
        <v>3517</v>
      </c>
      <c r="P92" s="7"/>
      <c r="Q92" s="7" t="n">
        <v>30</v>
      </c>
    </row>
    <row r="93" customFormat="false" ht="73.5" hidden="false" customHeight="true" outlineLevel="0" collapsed="false">
      <c r="A93" s="7" t="n">
        <v>89</v>
      </c>
      <c r="B93" s="7" t="s">
        <v>26</v>
      </c>
      <c r="C93" s="7" t="s">
        <v>3217</v>
      </c>
      <c r="D93" s="7" t="s">
        <v>3218</v>
      </c>
      <c r="E93" s="7" t="s">
        <v>3511</v>
      </c>
      <c r="F93" s="7" t="n">
        <v>92</v>
      </c>
      <c r="G93" s="10" t="s">
        <v>16</v>
      </c>
      <c r="H93" s="10" t="s">
        <v>16</v>
      </c>
      <c r="I93" s="7" t="s">
        <v>3518</v>
      </c>
      <c r="J93" s="7" t="s">
        <v>616</v>
      </c>
      <c r="K93" s="7" t="s">
        <v>3581</v>
      </c>
      <c r="L93" s="7" t="s">
        <v>3582</v>
      </c>
      <c r="M93" s="7" t="s">
        <v>3583</v>
      </c>
      <c r="N93" s="7" t="s">
        <v>3584</v>
      </c>
      <c r="O93" s="7" t="s">
        <v>3517</v>
      </c>
      <c r="P93" s="7"/>
      <c r="Q93" s="7" t="n">
        <v>31</v>
      </c>
    </row>
    <row r="94" customFormat="false" ht="73.5" hidden="false" customHeight="true" outlineLevel="0" collapsed="false">
      <c r="A94" s="7" t="n">
        <v>90</v>
      </c>
      <c r="B94" s="7" t="s">
        <v>26</v>
      </c>
      <c r="C94" s="7" t="s">
        <v>3217</v>
      </c>
      <c r="D94" s="7" t="s">
        <v>3218</v>
      </c>
      <c r="E94" s="7" t="s">
        <v>3511</v>
      </c>
      <c r="F94" s="7" t="n">
        <v>93</v>
      </c>
      <c r="G94" s="10" t="s">
        <v>16</v>
      </c>
      <c r="H94" s="10" t="s">
        <v>16</v>
      </c>
      <c r="I94" s="7" t="s">
        <v>3518</v>
      </c>
      <c r="J94" s="7" t="s">
        <v>623</v>
      </c>
      <c r="K94" s="7" t="s">
        <v>3585</v>
      </c>
      <c r="L94" s="7" t="s">
        <v>3586</v>
      </c>
      <c r="M94" s="7" t="s">
        <v>3587</v>
      </c>
      <c r="N94" s="7" t="s">
        <v>3588</v>
      </c>
      <c r="O94" s="7" t="s">
        <v>3517</v>
      </c>
      <c r="P94" s="7"/>
      <c r="Q94" s="7" t="n">
        <v>31</v>
      </c>
    </row>
    <row r="95" customFormat="false" ht="73.5" hidden="false" customHeight="true" outlineLevel="0" collapsed="false">
      <c r="A95" s="7" t="n">
        <v>91</v>
      </c>
      <c r="B95" s="7" t="s">
        <v>26</v>
      </c>
      <c r="C95" s="7" t="s">
        <v>3217</v>
      </c>
      <c r="D95" s="7" t="s">
        <v>3218</v>
      </c>
      <c r="E95" s="7" t="s">
        <v>3511</v>
      </c>
      <c r="F95" s="7" t="n">
        <v>94</v>
      </c>
      <c r="G95" s="10" t="s">
        <v>16</v>
      </c>
      <c r="H95" s="10" t="s">
        <v>16</v>
      </c>
      <c r="I95" s="7" t="s">
        <v>3518</v>
      </c>
      <c r="J95" s="7" t="s">
        <v>629</v>
      </c>
      <c r="K95" s="7" t="s">
        <v>3589</v>
      </c>
      <c r="L95" s="7" t="s">
        <v>3590</v>
      </c>
      <c r="M95" s="7" t="s">
        <v>3591</v>
      </c>
      <c r="N95" s="7" t="s">
        <v>3592</v>
      </c>
      <c r="O95" s="7" t="s">
        <v>3517</v>
      </c>
      <c r="P95" s="7"/>
      <c r="Q95" s="7" t="n">
        <v>31</v>
      </c>
    </row>
    <row r="96" customFormat="false" ht="73.5" hidden="false" customHeight="true" outlineLevel="0" collapsed="false">
      <c r="A96" s="7" t="n">
        <v>92</v>
      </c>
      <c r="B96" s="7" t="s">
        <v>26</v>
      </c>
      <c r="C96" s="7" t="s">
        <v>3217</v>
      </c>
      <c r="D96" s="7" t="s">
        <v>3218</v>
      </c>
      <c r="E96" s="7" t="s">
        <v>3511</v>
      </c>
      <c r="F96" s="7" t="n">
        <v>95</v>
      </c>
      <c r="G96" s="10" t="s">
        <v>16</v>
      </c>
      <c r="H96" s="10" t="s">
        <v>16</v>
      </c>
      <c r="I96" s="7" t="s">
        <v>3518</v>
      </c>
      <c r="J96" s="7" t="s">
        <v>635</v>
      </c>
      <c r="K96" s="7" t="s">
        <v>3593</v>
      </c>
      <c r="L96" s="7" t="s">
        <v>3594</v>
      </c>
      <c r="M96" s="7" t="s">
        <v>3595</v>
      </c>
      <c r="N96" s="7" t="s">
        <v>3596</v>
      </c>
      <c r="O96" s="7" t="s">
        <v>3517</v>
      </c>
      <c r="P96" s="7"/>
      <c r="Q96" s="7" t="n">
        <v>31</v>
      </c>
    </row>
    <row r="97" customFormat="false" ht="73.5" hidden="false" customHeight="true" outlineLevel="0" collapsed="false">
      <c r="A97" s="7" t="n">
        <v>93</v>
      </c>
      <c r="B97" s="7" t="s">
        <v>26</v>
      </c>
      <c r="C97" s="7" t="s">
        <v>3217</v>
      </c>
      <c r="D97" s="7" t="s">
        <v>3218</v>
      </c>
      <c r="E97" s="7" t="s">
        <v>3511</v>
      </c>
      <c r="F97" s="7" t="n">
        <v>96</v>
      </c>
      <c r="G97" s="10" t="s">
        <v>16</v>
      </c>
      <c r="H97" s="10" t="s">
        <v>16</v>
      </c>
      <c r="I97" s="7" t="s">
        <v>3518</v>
      </c>
      <c r="J97" s="7" t="s">
        <v>641</v>
      </c>
      <c r="K97" s="7" t="s">
        <v>3597</v>
      </c>
      <c r="L97" s="7" t="s">
        <v>3598</v>
      </c>
      <c r="M97" s="7" t="s">
        <v>3599</v>
      </c>
      <c r="N97" s="7" t="s">
        <v>3600</v>
      </c>
      <c r="O97" s="7" t="s">
        <v>3517</v>
      </c>
      <c r="P97" s="7"/>
      <c r="Q97" s="7" t="n">
        <v>32</v>
      </c>
    </row>
    <row r="98" customFormat="false" ht="135" hidden="false" customHeight="true" outlineLevel="0" collapsed="false">
      <c r="A98" s="7" t="n">
        <v>94</v>
      </c>
      <c r="B98" s="7" t="s">
        <v>26</v>
      </c>
      <c r="C98" s="7" t="s">
        <v>3217</v>
      </c>
      <c r="D98" s="7" t="s">
        <v>3218</v>
      </c>
      <c r="E98" s="7" t="s">
        <v>3601</v>
      </c>
      <c r="F98" s="7" t="n">
        <v>97</v>
      </c>
      <c r="G98" s="10" t="s">
        <v>16</v>
      </c>
      <c r="H98" s="10" t="s">
        <v>16</v>
      </c>
      <c r="I98" s="7" t="s">
        <v>3602</v>
      </c>
      <c r="J98" s="7" t="s">
        <v>650</v>
      </c>
      <c r="K98" s="7" t="s">
        <v>3603</v>
      </c>
      <c r="L98" s="7" t="s">
        <v>3604</v>
      </c>
      <c r="M98" s="7" t="s">
        <v>3605</v>
      </c>
      <c r="N98" s="7" t="s">
        <v>3606</v>
      </c>
      <c r="O98" s="7" t="s">
        <v>3607</v>
      </c>
      <c r="P98" s="7"/>
      <c r="Q98" s="7" t="n">
        <v>33</v>
      </c>
    </row>
    <row r="99" customFormat="false" ht="73.5" hidden="false" customHeight="true" outlineLevel="0" collapsed="false">
      <c r="A99" s="7" t="n">
        <v>95</v>
      </c>
      <c r="B99" s="7" t="s">
        <v>26</v>
      </c>
      <c r="C99" s="7" t="s">
        <v>3217</v>
      </c>
      <c r="D99" s="7" t="s">
        <v>3218</v>
      </c>
      <c r="E99" s="7" t="s">
        <v>3601</v>
      </c>
      <c r="F99" s="7" t="n">
        <v>98</v>
      </c>
      <c r="G99" s="10" t="s">
        <v>16</v>
      </c>
      <c r="H99" s="10" t="s">
        <v>16</v>
      </c>
      <c r="I99" s="7" t="s">
        <v>3608</v>
      </c>
      <c r="J99" s="7" t="s">
        <v>658</v>
      </c>
      <c r="K99" s="7" t="s">
        <v>3609</v>
      </c>
      <c r="L99" s="7" t="s">
        <v>3610</v>
      </c>
      <c r="M99" s="7" t="s">
        <v>3611</v>
      </c>
      <c r="N99" s="7" t="s">
        <v>3612</v>
      </c>
      <c r="O99" s="7" t="s">
        <v>3607</v>
      </c>
      <c r="P99" s="7"/>
      <c r="Q99" s="7" t="n">
        <v>33</v>
      </c>
    </row>
    <row r="100" customFormat="false" ht="73.5" hidden="false" customHeight="true" outlineLevel="0" collapsed="false">
      <c r="A100" s="7" t="n">
        <v>96</v>
      </c>
      <c r="B100" s="7" t="s">
        <v>26</v>
      </c>
      <c r="C100" s="7" t="s">
        <v>3217</v>
      </c>
      <c r="D100" s="7" t="s">
        <v>3218</v>
      </c>
      <c r="E100" s="7" t="s">
        <v>3601</v>
      </c>
      <c r="F100" s="7" t="n">
        <v>99</v>
      </c>
      <c r="G100" s="10" t="s">
        <v>16</v>
      </c>
      <c r="H100" s="10" t="s">
        <v>16</v>
      </c>
      <c r="I100" s="7" t="s">
        <v>3608</v>
      </c>
      <c r="J100" s="7" t="s">
        <v>664</v>
      </c>
      <c r="K100" s="7" t="s">
        <v>3613</v>
      </c>
      <c r="L100" s="7" t="s">
        <v>3614</v>
      </c>
      <c r="M100" s="7" t="s">
        <v>3615</v>
      </c>
      <c r="N100" s="7" t="s">
        <v>3616</v>
      </c>
      <c r="O100" s="7" t="s">
        <v>3607</v>
      </c>
      <c r="P100" s="7"/>
      <c r="Q100" s="7" t="n">
        <v>33</v>
      </c>
    </row>
    <row r="101" customFormat="false" ht="73.5" hidden="false" customHeight="true" outlineLevel="0" collapsed="false">
      <c r="A101" s="7" t="n">
        <v>97</v>
      </c>
      <c r="B101" s="7" t="s">
        <v>26</v>
      </c>
      <c r="C101" s="7" t="s">
        <v>3217</v>
      </c>
      <c r="D101" s="7" t="s">
        <v>3218</v>
      </c>
      <c r="E101" s="7" t="s">
        <v>3601</v>
      </c>
      <c r="F101" s="7" t="n">
        <v>100</v>
      </c>
      <c r="G101" s="10" t="s">
        <v>16</v>
      </c>
      <c r="H101" s="10" t="s">
        <v>16</v>
      </c>
      <c r="I101" s="7" t="s">
        <v>3608</v>
      </c>
      <c r="J101" s="7" t="s">
        <v>670</v>
      </c>
      <c r="K101" s="7" t="s">
        <v>3617</v>
      </c>
      <c r="L101" s="7" t="s">
        <v>3618</v>
      </c>
      <c r="M101" s="7" t="s">
        <v>3619</v>
      </c>
      <c r="N101" s="7" t="s">
        <v>3620</v>
      </c>
      <c r="O101" s="7" t="s">
        <v>3607</v>
      </c>
      <c r="P101" s="7"/>
      <c r="Q101" s="7" t="n">
        <v>34</v>
      </c>
    </row>
    <row r="102" customFormat="false" ht="73.5" hidden="false" customHeight="true" outlineLevel="0" collapsed="false">
      <c r="A102" s="7" t="n">
        <v>98</v>
      </c>
      <c r="B102" s="7" t="s">
        <v>26</v>
      </c>
      <c r="C102" s="7" t="s">
        <v>3217</v>
      </c>
      <c r="D102" s="7" t="s">
        <v>3218</v>
      </c>
      <c r="E102" s="7" t="s">
        <v>3601</v>
      </c>
      <c r="F102" s="7" t="n">
        <v>101</v>
      </c>
      <c r="G102" s="10" t="s">
        <v>16</v>
      </c>
      <c r="H102" s="10" t="s">
        <v>16</v>
      </c>
      <c r="I102" s="7" t="s">
        <v>3608</v>
      </c>
      <c r="J102" s="7" t="s">
        <v>677</v>
      </c>
      <c r="K102" s="7" t="s">
        <v>3621</v>
      </c>
      <c r="L102" s="7" t="s">
        <v>3622</v>
      </c>
      <c r="M102" s="7" t="s">
        <v>3623</v>
      </c>
      <c r="N102" s="7" t="s">
        <v>3624</v>
      </c>
      <c r="O102" s="7" t="s">
        <v>3607</v>
      </c>
      <c r="P102" s="7"/>
      <c r="Q102" s="7" t="n">
        <v>34</v>
      </c>
    </row>
    <row r="103" customFormat="false" ht="160.5" hidden="false" customHeight="true" outlineLevel="0" collapsed="false">
      <c r="A103" s="7" t="n">
        <v>99</v>
      </c>
      <c r="B103" s="7" t="s">
        <v>26</v>
      </c>
      <c r="C103" s="7" t="s">
        <v>3217</v>
      </c>
      <c r="D103" s="7" t="s">
        <v>3218</v>
      </c>
      <c r="E103" s="7" t="s">
        <v>3601</v>
      </c>
      <c r="F103" s="7" t="n">
        <v>102</v>
      </c>
      <c r="G103" s="10" t="s">
        <v>16</v>
      </c>
      <c r="H103" s="10" t="s">
        <v>16</v>
      </c>
      <c r="I103" s="7" t="s">
        <v>3625</v>
      </c>
      <c r="J103" s="7" t="s">
        <v>685</v>
      </c>
      <c r="K103" s="7" t="s">
        <v>3626</v>
      </c>
      <c r="L103" s="7" t="s">
        <v>3627</v>
      </c>
      <c r="M103" s="7" t="s">
        <v>3628</v>
      </c>
      <c r="N103" s="7" t="s">
        <v>3629</v>
      </c>
      <c r="O103" s="7" t="s">
        <v>3630</v>
      </c>
      <c r="P103" s="7"/>
      <c r="Q103" s="7" t="n">
        <v>35</v>
      </c>
    </row>
    <row r="104" customFormat="false" ht="73.5" hidden="false" customHeight="true" outlineLevel="0" collapsed="false">
      <c r="A104" s="7" t="n">
        <v>100</v>
      </c>
      <c r="B104" s="7" t="s">
        <v>26</v>
      </c>
      <c r="C104" s="7" t="s">
        <v>3217</v>
      </c>
      <c r="D104" s="7" t="s">
        <v>3218</v>
      </c>
      <c r="E104" s="7" t="s">
        <v>3601</v>
      </c>
      <c r="F104" s="7" t="n">
        <v>103</v>
      </c>
      <c r="G104" s="10" t="s">
        <v>16</v>
      </c>
      <c r="H104" s="10" t="s">
        <v>16</v>
      </c>
      <c r="I104" s="7" t="s">
        <v>3631</v>
      </c>
      <c r="J104" s="7" t="s">
        <v>693</v>
      </c>
      <c r="K104" s="7" t="s">
        <v>3632</v>
      </c>
      <c r="L104" s="7" t="s">
        <v>3633</v>
      </c>
      <c r="M104" s="7" t="s">
        <v>3634</v>
      </c>
      <c r="N104" s="7" t="s">
        <v>3360</v>
      </c>
      <c r="O104" s="7" t="s">
        <v>3630</v>
      </c>
      <c r="P104" s="7"/>
      <c r="Q104" s="7" t="n">
        <v>35</v>
      </c>
    </row>
    <row r="105" customFormat="false" ht="73.5" hidden="false" customHeight="true" outlineLevel="0" collapsed="false">
      <c r="A105" s="7" t="n">
        <v>101</v>
      </c>
      <c r="B105" s="7" t="s">
        <v>26</v>
      </c>
      <c r="C105" s="7" t="s">
        <v>3217</v>
      </c>
      <c r="D105" s="7" t="s">
        <v>3218</v>
      </c>
      <c r="E105" s="7" t="s">
        <v>3601</v>
      </c>
      <c r="F105" s="7" t="n">
        <v>104</v>
      </c>
      <c r="G105" s="10" t="s">
        <v>16</v>
      </c>
      <c r="H105" s="10" t="s">
        <v>16</v>
      </c>
      <c r="I105" s="7" t="s">
        <v>3631</v>
      </c>
      <c r="J105" s="7" t="s">
        <v>698</v>
      </c>
      <c r="K105" s="7" t="s">
        <v>3635</v>
      </c>
      <c r="L105" s="7" t="s">
        <v>3636</v>
      </c>
      <c r="M105" s="7" t="s">
        <v>3637</v>
      </c>
      <c r="N105" s="7" t="s">
        <v>3510</v>
      </c>
      <c r="O105" s="7" t="s">
        <v>3630</v>
      </c>
      <c r="P105" s="7"/>
      <c r="Q105" s="7" t="n">
        <v>36</v>
      </c>
    </row>
    <row r="106" customFormat="false" ht="73.5" hidden="false" customHeight="true" outlineLevel="0" collapsed="false">
      <c r="A106" s="7" t="n">
        <v>102</v>
      </c>
      <c r="B106" s="7" t="s">
        <v>26</v>
      </c>
      <c r="C106" s="7" t="s">
        <v>3217</v>
      </c>
      <c r="D106" s="7" t="s">
        <v>3218</v>
      </c>
      <c r="E106" s="7" t="s">
        <v>3601</v>
      </c>
      <c r="F106" s="7" t="n">
        <v>105</v>
      </c>
      <c r="G106" s="10" t="s">
        <v>16</v>
      </c>
      <c r="H106" s="10" t="s">
        <v>16</v>
      </c>
      <c r="I106" s="7" t="s">
        <v>3638</v>
      </c>
      <c r="J106" s="7" t="s">
        <v>705</v>
      </c>
      <c r="K106" s="7" t="s">
        <v>3639</v>
      </c>
      <c r="L106" s="7" t="s">
        <v>3640</v>
      </c>
      <c r="M106" s="7" t="s">
        <v>3641</v>
      </c>
      <c r="N106" s="7" t="s">
        <v>3642</v>
      </c>
      <c r="O106" s="7" t="s">
        <v>3643</v>
      </c>
      <c r="P106" s="7"/>
      <c r="Q106" s="7" t="n">
        <v>36</v>
      </c>
    </row>
    <row r="107" customFormat="false" ht="73.5" hidden="false" customHeight="true" outlineLevel="0" collapsed="false">
      <c r="A107" s="7" t="n">
        <v>103</v>
      </c>
      <c r="B107" s="7" t="s">
        <v>26</v>
      </c>
      <c r="C107" s="7" t="s">
        <v>3217</v>
      </c>
      <c r="D107" s="7" t="s">
        <v>3218</v>
      </c>
      <c r="E107" s="7" t="s">
        <v>3601</v>
      </c>
      <c r="F107" s="7" t="n">
        <v>106</v>
      </c>
      <c r="G107" s="10" t="s">
        <v>16</v>
      </c>
      <c r="H107" s="10" t="s">
        <v>16</v>
      </c>
      <c r="I107" s="7" t="s">
        <v>3644</v>
      </c>
      <c r="J107" s="7" t="s">
        <v>713</v>
      </c>
      <c r="K107" s="7" t="s">
        <v>3645</v>
      </c>
      <c r="L107" s="7" t="s">
        <v>3592</v>
      </c>
      <c r="M107" s="7" t="s">
        <v>3646</v>
      </c>
      <c r="N107" s="7" t="s">
        <v>3647</v>
      </c>
      <c r="O107" s="7" t="s">
        <v>3643</v>
      </c>
      <c r="P107" s="7"/>
      <c r="Q107" s="7" t="n">
        <v>36</v>
      </c>
    </row>
    <row r="108" customFormat="false" ht="73.5" hidden="false" customHeight="true" outlineLevel="0" collapsed="false">
      <c r="A108" s="7" t="n">
        <v>104</v>
      </c>
      <c r="B108" s="7" t="s">
        <v>26</v>
      </c>
      <c r="C108" s="7" t="s">
        <v>3217</v>
      </c>
      <c r="D108" s="7" t="s">
        <v>3218</v>
      </c>
      <c r="E108" s="7" t="s">
        <v>3601</v>
      </c>
      <c r="F108" s="7" t="n">
        <v>107</v>
      </c>
      <c r="G108" s="10" t="s">
        <v>16</v>
      </c>
      <c r="H108" s="10" t="s">
        <v>16</v>
      </c>
      <c r="I108" s="7" t="s">
        <v>3644</v>
      </c>
      <c r="J108" s="7" t="s">
        <v>719</v>
      </c>
      <c r="K108" s="7" t="s">
        <v>3648</v>
      </c>
      <c r="L108" s="7" t="s">
        <v>3649</v>
      </c>
      <c r="M108" s="7" t="s">
        <v>3650</v>
      </c>
      <c r="N108" s="7" t="s">
        <v>3651</v>
      </c>
      <c r="O108" s="7" t="s">
        <v>3643</v>
      </c>
      <c r="P108" s="7"/>
      <c r="Q108" s="7" t="n">
        <v>37</v>
      </c>
    </row>
    <row r="109" customFormat="false" ht="73.5" hidden="false" customHeight="true" outlineLevel="0" collapsed="false">
      <c r="A109" s="7" t="n">
        <v>105</v>
      </c>
      <c r="B109" s="7" t="s">
        <v>26</v>
      </c>
      <c r="C109" s="7" t="s">
        <v>3217</v>
      </c>
      <c r="D109" s="7" t="s">
        <v>3218</v>
      </c>
      <c r="E109" s="7" t="s">
        <v>3601</v>
      </c>
      <c r="F109" s="7" t="n">
        <v>108</v>
      </c>
      <c r="G109" s="10" t="s">
        <v>16</v>
      </c>
      <c r="H109" s="10" t="s">
        <v>16</v>
      </c>
      <c r="I109" s="7" t="s">
        <v>3644</v>
      </c>
      <c r="J109" s="7" t="s">
        <v>726</v>
      </c>
      <c r="K109" s="7" t="s">
        <v>3652</v>
      </c>
      <c r="L109" s="7" t="s">
        <v>3653</v>
      </c>
      <c r="M109" s="7" t="s">
        <v>3654</v>
      </c>
      <c r="N109" s="7" t="s">
        <v>3655</v>
      </c>
      <c r="O109" s="7" t="s">
        <v>3643</v>
      </c>
      <c r="P109" s="7"/>
      <c r="Q109" s="7" t="n">
        <v>37</v>
      </c>
    </row>
    <row r="110" customFormat="false" ht="73.5" hidden="false" customHeight="true" outlineLevel="0" collapsed="false">
      <c r="A110" s="7" t="n">
        <v>106</v>
      </c>
      <c r="B110" s="7" t="s">
        <v>26</v>
      </c>
      <c r="C110" s="7" t="s">
        <v>3217</v>
      </c>
      <c r="D110" s="7" t="s">
        <v>3218</v>
      </c>
      <c r="E110" s="7" t="s">
        <v>3601</v>
      </c>
      <c r="F110" s="7" t="n">
        <v>109</v>
      </c>
      <c r="G110" s="10" t="s">
        <v>16</v>
      </c>
      <c r="H110" s="10" t="s">
        <v>16</v>
      </c>
      <c r="I110" s="7" t="s">
        <v>3656</v>
      </c>
      <c r="J110" s="7" t="s">
        <v>733</v>
      </c>
      <c r="K110" s="7" t="s">
        <v>3657</v>
      </c>
      <c r="L110" s="7" t="s">
        <v>3658</v>
      </c>
      <c r="M110" s="7" t="s">
        <v>3659</v>
      </c>
      <c r="N110" s="7" t="s">
        <v>3660</v>
      </c>
      <c r="O110" s="7" t="s">
        <v>3661</v>
      </c>
      <c r="P110" s="7"/>
      <c r="Q110" s="7" t="n">
        <v>38</v>
      </c>
    </row>
    <row r="111" customFormat="false" ht="73.5" hidden="false" customHeight="true" outlineLevel="0" collapsed="false">
      <c r="A111" s="7" t="n">
        <v>107</v>
      </c>
      <c r="B111" s="7" t="s">
        <v>26</v>
      </c>
      <c r="C111" s="7" t="s">
        <v>3217</v>
      </c>
      <c r="D111" s="7" t="s">
        <v>3218</v>
      </c>
      <c r="E111" s="7" t="s">
        <v>3601</v>
      </c>
      <c r="F111" s="7" t="n">
        <v>110</v>
      </c>
      <c r="G111" s="10" t="s">
        <v>16</v>
      </c>
      <c r="H111" s="10" t="s">
        <v>16</v>
      </c>
      <c r="I111" s="7" t="s">
        <v>3662</v>
      </c>
      <c r="J111" s="7" t="s">
        <v>685</v>
      </c>
      <c r="K111" s="7" t="s">
        <v>3663</v>
      </c>
      <c r="L111" s="7" t="s">
        <v>3664</v>
      </c>
      <c r="M111" s="7" t="s">
        <v>3665</v>
      </c>
      <c r="N111" s="7" t="s">
        <v>3666</v>
      </c>
      <c r="O111" s="7" t="s">
        <v>3661</v>
      </c>
      <c r="P111" s="7"/>
      <c r="Q111" s="7" t="n">
        <v>38</v>
      </c>
    </row>
    <row r="112" customFormat="false" ht="160.5" hidden="false" customHeight="true" outlineLevel="0" collapsed="false">
      <c r="A112" s="7" t="n">
        <v>108</v>
      </c>
      <c r="B112" s="7" t="s">
        <v>26</v>
      </c>
      <c r="C112" s="7" t="s">
        <v>3217</v>
      </c>
      <c r="D112" s="7" t="s">
        <v>3218</v>
      </c>
      <c r="E112" s="7" t="s">
        <v>3601</v>
      </c>
      <c r="F112" s="7" t="n">
        <v>111</v>
      </c>
      <c r="G112" s="10" t="s">
        <v>16</v>
      </c>
      <c r="H112" s="10" t="s">
        <v>16</v>
      </c>
      <c r="I112" s="7" t="s">
        <v>3667</v>
      </c>
      <c r="J112" s="7" t="s">
        <v>748</v>
      </c>
      <c r="K112" s="7" t="s">
        <v>3668</v>
      </c>
      <c r="L112" s="7" t="s">
        <v>3669</v>
      </c>
      <c r="M112" s="7" t="s">
        <v>3670</v>
      </c>
      <c r="N112" s="7" t="s">
        <v>3510</v>
      </c>
      <c r="O112" s="7" t="s">
        <v>3671</v>
      </c>
      <c r="P112" s="7"/>
      <c r="Q112" s="7" t="n">
        <v>39</v>
      </c>
    </row>
    <row r="113" customFormat="false" ht="73.5" hidden="false" customHeight="true" outlineLevel="0" collapsed="false">
      <c r="A113" s="7" t="n">
        <v>109</v>
      </c>
      <c r="B113" s="7" t="s">
        <v>26</v>
      </c>
      <c r="C113" s="7" t="s">
        <v>3217</v>
      </c>
      <c r="D113" s="7" t="s">
        <v>3218</v>
      </c>
      <c r="E113" s="7" t="s">
        <v>3601</v>
      </c>
      <c r="F113" s="7" t="n">
        <v>112</v>
      </c>
      <c r="G113" s="10" t="s">
        <v>16</v>
      </c>
      <c r="H113" s="10" t="s">
        <v>16</v>
      </c>
      <c r="I113" s="7" t="s">
        <v>3672</v>
      </c>
      <c r="J113" s="7" t="s">
        <v>755</v>
      </c>
      <c r="K113" s="7" t="s">
        <v>3673</v>
      </c>
      <c r="L113" s="7" t="s">
        <v>3674</v>
      </c>
      <c r="M113" s="7" t="s">
        <v>3675</v>
      </c>
      <c r="N113" s="7" t="s">
        <v>3676</v>
      </c>
      <c r="O113" s="7" t="s">
        <v>3671</v>
      </c>
      <c r="P113" s="7"/>
      <c r="Q113" s="7" t="n">
        <v>39</v>
      </c>
    </row>
    <row r="114" customFormat="false" ht="73.5" hidden="false" customHeight="true" outlineLevel="0" collapsed="false">
      <c r="A114" s="7" t="n">
        <v>110</v>
      </c>
      <c r="B114" s="7" t="s">
        <v>26</v>
      </c>
      <c r="C114" s="7" t="s">
        <v>3217</v>
      </c>
      <c r="D114" s="7" t="s">
        <v>3218</v>
      </c>
      <c r="E114" s="7" t="s">
        <v>3601</v>
      </c>
      <c r="F114" s="7" t="n">
        <v>113</v>
      </c>
      <c r="G114" s="10" t="s">
        <v>16</v>
      </c>
      <c r="H114" s="10" t="s">
        <v>16</v>
      </c>
      <c r="I114" s="7" t="s">
        <v>3672</v>
      </c>
      <c r="J114" s="7" t="s">
        <v>761</v>
      </c>
      <c r="K114" s="7" t="s">
        <v>3677</v>
      </c>
      <c r="L114" s="7" t="s">
        <v>3678</v>
      </c>
      <c r="M114" s="7" t="s">
        <v>3679</v>
      </c>
      <c r="N114" s="7" t="s">
        <v>3680</v>
      </c>
      <c r="O114" s="7" t="s">
        <v>3671</v>
      </c>
      <c r="P114" s="7"/>
      <c r="Q114" s="7" t="n">
        <v>40</v>
      </c>
    </row>
    <row r="115" customFormat="false" ht="73.5" hidden="false" customHeight="true" outlineLevel="0" collapsed="false">
      <c r="A115" s="7" t="n">
        <v>111</v>
      </c>
      <c r="B115" s="7" t="s">
        <v>26</v>
      </c>
      <c r="C115" s="7" t="s">
        <v>3217</v>
      </c>
      <c r="D115" s="7" t="s">
        <v>3218</v>
      </c>
      <c r="E115" s="7" t="s">
        <v>3601</v>
      </c>
      <c r="F115" s="7" t="n">
        <v>114</v>
      </c>
      <c r="G115" s="10" t="s">
        <v>16</v>
      </c>
      <c r="H115" s="10" t="s">
        <v>16</v>
      </c>
      <c r="I115" s="7" t="s">
        <v>3672</v>
      </c>
      <c r="J115" s="7" t="s">
        <v>768</v>
      </c>
      <c r="K115" s="7" t="s">
        <v>3681</v>
      </c>
      <c r="L115" s="7" t="s">
        <v>3682</v>
      </c>
      <c r="M115" s="7" t="s">
        <v>3683</v>
      </c>
      <c r="N115" s="7" t="s">
        <v>3684</v>
      </c>
      <c r="O115" s="7" t="s">
        <v>3671</v>
      </c>
      <c r="P115" s="7"/>
      <c r="Q115" s="7" t="n">
        <v>40</v>
      </c>
    </row>
    <row r="116" customFormat="false" ht="73.5" hidden="false" customHeight="true" outlineLevel="0" collapsed="false">
      <c r="A116" s="7" t="n">
        <v>112</v>
      </c>
      <c r="B116" s="7" t="s">
        <v>26</v>
      </c>
      <c r="C116" s="7" t="s">
        <v>3217</v>
      </c>
      <c r="D116" s="7" t="s">
        <v>3218</v>
      </c>
      <c r="E116" s="7" t="s">
        <v>3601</v>
      </c>
      <c r="F116" s="7" t="n">
        <v>115</v>
      </c>
      <c r="G116" s="10" t="s">
        <v>16</v>
      </c>
      <c r="H116" s="10" t="s">
        <v>16</v>
      </c>
      <c r="I116" s="7" t="s">
        <v>3672</v>
      </c>
      <c r="J116" s="7" t="s">
        <v>774</v>
      </c>
      <c r="K116" s="7" t="s">
        <v>3685</v>
      </c>
      <c r="L116" s="7" t="s">
        <v>3686</v>
      </c>
      <c r="M116" s="7" t="s">
        <v>3687</v>
      </c>
      <c r="N116" s="7" t="s">
        <v>3688</v>
      </c>
      <c r="O116" s="7" t="s">
        <v>3671</v>
      </c>
      <c r="P116" s="7"/>
      <c r="Q116" s="7" t="n">
        <v>40</v>
      </c>
    </row>
    <row r="117" customFormat="false" ht="73.5" hidden="false" customHeight="true" outlineLevel="0" collapsed="false">
      <c r="A117" s="7" t="n">
        <v>113</v>
      </c>
      <c r="B117" s="7" t="s">
        <v>26</v>
      </c>
      <c r="C117" s="7" t="s">
        <v>3217</v>
      </c>
      <c r="D117" s="7" t="s">
        <v>3218</v>
      </c>
      <c r="E117" s="7" t="s">
        <v>3601</v>
      </c>
      <c r="F117" s="7" t="n">
        <v>116</v>
      </c>
      <c r="G117" s="10" t="s">
        <v>16</v>
      </c>
      <c r="H117" s="10" t="s">
        <v>16</v>
      </c>
      <c r="I117" s="7" t="s">
        <v>3672</v>
      </c>
      <c r="J117" s="7" t="s">
        <v>780</v>
      </c>
      <c r="K117" s="7" t="s">
        <v>3689</v>
      </c>
      <c r="L117" s="7" t="s">
        <v>3690</v>
      </c>
      <c r="M117" s="7" t="s">
        <v>3691</v>
      </c>
      <c r="N117" s="7" t="s">
        <v>3692</v>
      </c>
      <c r="O117" s="7" t="s">
        <v>3671</v>
      </c>
      <c r="P117" s="7"/>
      <c r="Q117" s="7" t="n">
        <v>41</v>
      </c>
    </row>
    <row r="118" customFormat="false" ht="73.5" hidden="false" customHeight="true" outlineLevel="0" collapsed="false">
      <c r="A118" s="7" t="n">
        <v>114</v>
      </c>
      <c r="B118" s="7" t="s">
        <v>26</v>
      </c>
      <c r="C118" s="7" t="s">
        <v>3217</v>
      </c>
      <c r="D118" s="7" t="s">
        <v>3218</v>
      </c>
      <c r="E118" s="7" t="s">
        <v>3601</v>
      </c>
      <c r="F118" s="7" t="n">
        <v>117</v>
      </c>
      <c r="G118" s="10" t="s">
        <v>16</v>
      </c>
      <c r="H118" s="10" t="s">
        <v>16</v>
      </c>
      <c r="I118" s="7" t="s">
        <v>3672</v>
      </c>
      <c r="J118" s="7" t="s">
        <v>787</v>
      </c>
      <c r="K118" s="7" t="s">
        <v>3693</v>
      </c>
      <c r="L118" s="7" t="s">
        <v>3694</v>
      </c>
      <c r="M118" s="7" t="s">
        <v>3695</v>
      </c>
      <c r="N118" s="7" t="s">
        <v>3360</v>
      </c>
      <c r="O118" s="7" t="s">
        <v>3671</v>
      </c>
      <c r="P118" s="7"/>
      <c r="Q118" s="7" t="n">
        <v>41</v>
      </c>
    </row>
    <row r="119" customFormat="false" ht="73.5" hidden="false" customHeight="true" outlineLevel="0" collapsed="false">
      <c r="A119" s="7" t="n">
        <v>115</v>
      </c>
      <c r="B119" s="7" t="s">
        <v>26</v>
      </c>
      <c r="C119" s="7" t="s">
        <v>3217</v>
      </c>
      <c r="D119" s="7" t="s">
        <v>3218</v>
      </c>
      <c r="E119" s="7" t="s">
        <v>3601</v>
      </c>
      <c r="F119" s="7" t="n">
        <v>118</v>
      </c>
      <c r="G119" s="10" t="s">
        <v>16</v>
      </c>
      <c r="H119" s="10" t="s">
        <v>16</v>
      </c>
      <c r="I119" s="7" t="s">
        <v>3672</v>
      </c>
      <c r="J119" s="7" t="s">
        <v>792</v>
      </c>
      <c r="K119" s="7" t="s">
        <v>3696</v>
      </c>
      <c r="L119" s="7" t="s">
        <v>3697</v>
      </c>
      <c r="M119" s="7" t="s">
        <v>3698</v>
      </c>
      <c r="N119" s="7" t="s">
        <v>3699</v>
      </c>
      <c r="O119" s="7" t="s">
        <v>3671</v>
      </c>
      <c r="P119" s="7"/>
      <c r="Q119" s="7" t="n">
        <v>41</v>
      </c>
    </row>
    <row r="120" customFormat="false" ht="73.5" hidden="false" customHeight="true" outlineLevel="0" collapsed="false">
      <c r="A120" s="7" t="n">
        <v>116</v>
      </c>
      <c r="B120" s="7" t="s">
        <v>26</v>
      </c>
      <c r="C120" s="7" t="s">
        <v>3217</v>
      </c>
      <c r="D120" s="7" t="s">
        <v>3218</v>
      </c>
      <c r="E120" s="7" t="s">
        <v>3601</v>
      </c>
      <c r="F120" s="7" t="n">
        <v>119</v>
      </c>
      <c r="G120" s="10" t="s">
        <v>16</v>
      </c>
      <c r="H120" s="10" t="s">
        <v>16</v>
      </c>
      <c r="I120" s="7" t="s">
        <v>3672</v>
      </c>
      <c r="J120" s="7" t="s">
        <v>798</v>
      </c>
      <c r="K120" s="7" t="s">
        <v>3700</v>
      </c>
      <c r="L120" s="7" t="s">
        <v>3701</v>
      </c>
      <c r="M120" s="7" t="s">
        <v>3702</v>
      </c>
      <c r="N120" s="7" t="s">
        <v>3703</v>
      </c>
      <c r="O120" s="7" t="s">
        <v>3671</v>
      </c>
      <c r="P120" s="7"/>
      <c r="Q120" s="7" t="n">
        <v>42</v>
      </c>
    </row>
    <row r="121" customFormat="false" ht="73.5" hidden="false" customHeight="true" outlineLevel="0" collapsed="false">
      <c r="A121" s="7" t="n">
        <v>117</v>
      </c>
      <c r="B121" s="7" t="s">
        <v>26</v>
      </c>
      <c r="C121" s="7" t="s">
        <v>3217</v>
      </c>
      <c r="D121" s="7" t="s">
        <v>3218</v>
      </c>
      <c r="E121" s="7" t="s">
        <v>3601</v>
      </c>
      <c r="F121" s="7" t="n">
        <v>120</v>
      </c>
      <c r="G121" s="10" t="s">
        <v>16</v>
      </c>
      <c r="H121" s="10" t="s">
        <v>16</v>
      </c>
      <c r="I121" s="7" t="s">
        <v>3672</v>
      </c>
      <c r="J121" s="7" t="s">
        <v>805</v>
      </c>
      <c r="K121" s="7" t="s">
        <v>3704</v>
      </c>
      <c r="L121" s="7" t="s">
        <v>3705</v>
      </c>
      <c r="M121" s="7" t="s">
        <v>3706</v>
      </c>
      <c r="N121" s="7" t="s">
        <v>3360</v>
      </c>
      <c r="O121" s="7" t="s">
        <v>3671</v>
      </c>
      <c r="P121" s="7"/>
      <c r="Q121" s="7" t="n">
        <v>42</v>
      </c>
    </row>
    <row r="122" customFormat="false" ht="369" hidden="false" customHeight="true" outlineLevel="0" collapsed="false">
      <c r="A122" s="7" t="n">
        <v>118</v>
      </c>
      <c r="B122" s="7" t="s">
        <v>26</v>
      </c>
      <c r="C122" s="7" t="s">
        <v>3217</v>
      </c>
      <c r="D122" s="7" t="s">
        <v>3218</v>
      </c>
      <c r="E122" s="7" t="s">
        <v>3707</v>
      </c>
      <c r="F122" s="7" t="n">
        <v>121</v>
      </c>
      <c r="G122" s="10" t="s">
        <v>16</v>
      </c>
      <c r="H122" s="10" t="s">
        <v>16</v>
      </c>
      <c r="I122" s="7" t="s">
        <v>3708</v>
      </c>
      <c r="J122" s="7" t="s">
        <v>815</v>
      </c>
      <c r="K122" s="7" t="s">
        <v>3709</v>
      </c>
      <c r="L122" s="7" t="s">
        <v>3710</v>
      </c>
      <c r="M122" s="7" t="s">
        <v>3423</v>
      </c>
      <c r="N122" s="7" t="s">
        <v>3224</v>
      </c>
      <c r="O122" s="7" t="s">
        <v>3711</v>
      </c>
      <c r="P122" s="7"/>
      <c r="Q122" s="7" t="n">
        <v>44</v>
      </c>
    </row>
    <row r="123" customFormat="false" ht="73.5" hidden="false" customHeight="true" outlineLevel="0" collapsed="false">
      <c r="A123" s="7" t="n">
        <v>119</v>
      </c>
      <c r="B123" s="7" t="s">
        <v>26</v>
      </c>
      <c r="C123" s="7" t="s">
        <v>3217</v>
      </c>
      <c r="D123" s="7" t="s">
        <v>3218</v>
      </c>
      <c r="E123" s="7" t="s">
        <v>3707</v>
      </c>
      <c r="F123" s="7" t="n">
        <v>122</v>
      </c>
      <c r="G123" s="10" t="s">
        <v>16</v>
      </c>
      <c r="H123" s="10" t="s">
        <v>16</v>
      </c>
      <c r="I123" s="7" t="s">
        <v>3712</v>
      </c>
      <c r="J123" s="7" t="s">
        <v>821</v>
      </c>
      <c r="K123" s="7" t="s">
        <v>3713</v>
      </c>
      <c r="L123" s="7" t="s">
        <v>3714</v>
      </c>
      <c r="M123" s="7" t="s">
        <v>3715</v>
      </c>
      <c r="N123" s="7" t="s">
        <v>3360</v>
      </c>
      <c r="O123" s="7" t="s">
        <v>3711</v>
      </c>
      <c r="P123" s="7"/>
      <c r="Q123" s="7" t="n">
        <v>44</v>
      </c>
    </row>
    <row r="124" customFormat="false" ht="73.5" hidden="false" customHeight="true" outlineLevel="0" collapsed="false">
      <c r="A124" s="7" t="n">
        <v>120</v>
      </c>
      <c r="B124" s="7" t="s">
        <v>26</v>
      </c>
      <c r="C124" s="7" t="s">
        <v>3217</v>
      </c>
      <c r="D124" s="7" t="s">
        <v>3218</v>
      </c>
      <c r="E124" s="7" t="s">
        <v>3707</v>
      </c>
      <c r="F124" s="7" t="n">
        <v>123</v>
      </c>
      <c r="G124" s="10" t="s">
        <v>16</v>
      </c>
      <c r="H124" s="10" t="s">
        <v>16</v>
      </c>
      <c r="I124" s="7" t="s">
        <v>3716</v>
      </c>
      <c r="J124" s="7" t="s">
        <v>827</v>
      </c>
      <c r="K124" s="7" t="s">
        <v>3717</v>
      </c>
      <c r="L124" s="7" t="s">
        <v>3718</v>
      </c>
      <c r="M124" s="7" t="s">
        <v>3224</v>
      </c>
      <c r="N124" s="7" t="s">
        <v>3655</v>
      </c>
      <c r="O124" s="7" t="s">
        <v>3719</v>
      </c>
      <c r="P124" s="7"/>
      <c r="Q124" s="7" t="n">
        <v>44</v>
      </c>
    </row>
    <row r="125" customFormat="false" ht="73.5" hidden="false" customHeight="true" outlineLevel="0" collapsed="false">
      <c r="A125" s="7" t="n">
        <v>121</v>
      </c>
      <c r="B125" s="7" t="s">
        <v>26</v>
      </c>
      <c r="C125" s="7" t="s">
        <v>3217</v>
      </c>
      <c r="D125" s="7" t="s">
        <v>3218</v>
      </c>
      <c r="E125" s="7" t="s">
        <v>3707</v>
      </c>
      <c r="F125" s="7" t="n">
        <v>124</v>
      </c>
      <c r="G125" s="10" t="s">
        <v>16</v>
      </c>
      <c r="H125" s="10" t="s">
        <v>16</v>
      </c>
      <c r="I125" s="7" t="s">
        <v>3720</v>
      </c>
      <c r="J125" s="7" t="s">
        <v>834</v>
      </c>
      <c r="K125" s="7" t="s">
        <v>3721</v>
      </c>
      <c r="L125" s="7" t="s">
        <v>3722</v>
      </c>
      <c r="M125" s="7" t="s">
        <v>3723</v>
      </c>
      <c r="N125" s="7" t="s">
        <v>3224</v>
      </c>
      <c r="O125" s="7" t="s">
        <v>3719</v>
      </c>
      <c r="P125" s="7"/>
      <c r="Q125" s="7" t="n">
        <v>45</v>
      </c>
    </row>
    <row r="126" customFormat="false" ht="73.5" hidden="false" customHeight="true" outlineLevel="0" collapsed="false">
      <c r="A126" s="7" t="n">
        <v>122</v>
      </c>
      <c r="B126" s="7" t="s">
        <v>26</v>
      </c>
      <c r="C126" s="7" t="s">
        <v>3217</v>
      </c>
      <c r="D126" s="7" t="s">
        <v>3218</v>
      </c>
      <c r="E126" s="7" t="s">
        <v>3707</v>
      </c>
      <c r="F126" s="7" t="n">
        <v>125</v>
      </c>
      <c r="G126" s="10" t="s">
        <v>16</v>
      </c>
      <c r="H126" s="10" t="s">
        <v>16</v>
      </c>
      <c r="I126" s="7" t="s">
        <v>3720</v>
      </c>
      <c r="J126" s="7" t="s">
        <v>840</v>
      </c>
      <c r="K126" s="7" t="s">
        <v>3724</v>
      </c>
      <c r="L126" s="7" t="s">
        <v>3725</v>
      </c>
      <c r="M126" s="7" t="s">
        <v>3726</v>
      </c>
      <c r="N126" s="7" t="s">
        <v>3727</v>
      </c>
      <c r="O126" s="7" t="s">
        <v>3719</v>
      </c>
      <c r="P126" s="7"/>
      <c r="Q126" s="7" t="n">
        <v>45</v>
      </c>
    </row>
    <row r="127" customFormat="false" ht="73.5" hidden="false" customHeight="true" outlineLevel="0" collapsed="false">
      <c r="A127" s="7" t="n">
        <v>123</v>
      </c>
      <c r="B127" s="7" t="s">
        <v>26</v>
      </c>
      <c r="C127" s="7" t="s">
        <v>3217</v>
      </c>
      <c r="D127" s="7" t="s">
        <v>3218</v>
      </c>
      <c r="E127" s="7" t="s">
        <v>3707</v>
      </c>
      <c r="F127" s="7" t="n">
        <v>126</v>
      </c>
      <c r="G127" s="10" t="s">
        <v>16</v>
      </c>
      <c r="H127" s="10" t="s">
        <v>16</v>
      </c>
      <c r="I127" s="7" t="s">
        <v>3720</v>
      </c>
      <c r="J127" s="7" t="s">
        <v>846</v>
      </c>
      <c r="K127" s="7" t="s">
        <v>3728</v>
      </c>
      <c r="L127" s="7" t="s">
        <v>3729</v>
      </c>
      <c r="M127" s="7" t="s">
        <v>3730</v>
      </c>
      <c r="N127" s="7" t="s">
        <v>3731</v>
      </c>
      <c r="O127" s="7" t="s">
        <v>3719</v>
      </c>
      <c r="P127" s="7"/>
      <c r="Q127" s="7" t="n">
        <v>45</v>
      </c>
    </row>
    <row r="128" customFormat="false" ht="73.5" hidden="false" customHeight="true" outlineLevel="0" collapsed="false">
      <c r="A128" s="7" t="n">
        <v>124</v>
      </c>
      <c r="B128" s="7" t="s">
        <v>26</v>
      </c>
      <c r="C128" s="7" t="s">
        <v>3217</v>
      </c>
      <c r="D128" s="7" t="s">
        <v>3218</v>
      </c>
      <c r="E128" s="7" t="s">
        <v>3707</v>
      </c>
      <c r="F128" s="7" t="n">
        <v>127</v>
      </c>
      <c r="G128" s="10" t="s">
        <v>16</v>
      </c>
      <c r="H128" s="10" t="s">
        <v>16</v>
      </c>
      <c r="I128" s="7" t="s">
        <v>3720</v>
      </c>
      <c r="J128" s="7" t="s">
        <v>852</v>
      </c>
      <c r="K128" s="7" t="s">
        <v>3732</v>
      </c>
      <c r="L128" s="7" t="s">
        <v>3733</v>
      </c>
      <c r="M128" s="7" t="s">
        <v>3734</v>
      </c>
      <c r="N128" s="7" t="s">
        <v>3360</v>
      </c>
      <c r="O128" s="7" t="s">
        <v>3719</v>
      </c>
      <c r="P128" s="7"/>
      <c r="Q128" s="7" t="n">
        <v>45</v>
      </c>
    </row>
    <row r="129" customFormat="false" ht="73.5" hidden="false" customHeight="true" outlineLevel="0" collapsed="false">
      <c r="A129" s="7" t="n">
        <v>125</v>
      </c>
      <c r="B129" s="7" t="s">
        <v>26</v>
      </c>
      <c r="C129" s="7" t="s">
        <v>3217</v>
      </c>
      <c r="D129" s="7" t="s">
        <v>3218</v>
      </c>
      <c r="E129" s="7" t="s">
        <v>3707</v>
      </c>
      <c r="F129" s="7" t="n">
        <v>128</v>
      </c>
      <c r="G129" s="10" t="s">
        <v>16</v>
      </c>
      <c r="H129" s="10" t="s">
        <v>16</v>
      </c>
      <c r="I129" s="7" t="s">
        <v>3720</v>
      </c>
      <c r="J129" s="7" t="s">
        <v>857</v>
      </c>
      <c r="K129" s="7" t="s">
        <v>3735</v>
      </c>
      <c r="L129" s="7" t="s">
        <v>3736</v>
      </c>
      <c r="M129" s="7" t="s">
        <v>3737</v>
      </c>
      <c r="N129" s="7" t="s">
        <v>3738</v>
      </c>
      <c r="O129" s="7" t="s">
        <v>3719</v>
      </c>
      <c r="P129" s="7"/>
      <c r="Q129" s="7" t="n">
        <v>46</v>
      </c>
    </row>
    <row r="130" customFormat="false" ht="73.5" hidden="false" customHeight="true" outlineLevel="0" collapsed="false">
      <c r="A130" s="7" t="n">
        <v>126</v>
      </c>
      <c r="B130" s="7" t="s">
        <v>26</v>
      </c>
      <c r="C130" s="7" t="s">
        <v>3217</v>
      </c>
      <c r="D130" s="7" t="s">
        <v>3218</v>
      </c>
      <c r="E130" s="7" t="s">
        <v>3707</v>
      </c>
      <c r="F130" s="7" t="n">
        <v>129</v>
      </c>
      <c r="G130" s="10" t="s">
        <v>16</v>
      </c>
      <c r="H130" s="10" t="s">
        <v>16</v>
      </c>
      <c r="I130" s="7" t="s">
        <v>3720</v>
      </c>
      <c r="J130" s="7" t="s">
        <v>864</v>
      </c>
      <c r="K130" s="7" t="s">
        <v>3739</v>
      </c>
      <c r="L130" s="7" t="s">
        <v>3740</v>
      </c>
      <c r="M130" s="7" t="s">
        <v>3741</v>
      </c>
      <c r="N130" s="7" t="s">
        <v>3360</v>
      </c>
      <c r="O130" s="7" t="s">
        <v>3719</v>
      </c>
      <c r="P130" s="7"/>
      <c r="Q130" s="7" t="n">
        <v>46</v>
      </c>
    </row>
    <row r="131" customFormat="false" ht="73.5" hidden="false" customHeight="true" outlineLevel="0" collapsed="false">
      <c r="A131" s="7" t="n">
        <v>127</v>
      </c>
      <c r="B131" s="7" t="s">
        <v>26</v>
      </c>
      <c r="C131" s="7" t="s">
        <v>3217</v>
      </c>
      <c r="D131" s="7" t="s">
        <v>3218</v>
      </c>
      <c r="E131" s="7" t="s">
        <v>3707</v>
      </c>
      <c r="F131" s="7" t="n">
        <v>130</v>
      </c>
      <c r="G131" s="10" t="s">
        <v>16</v>
      </c>
      <c r="H131" s="10" t="s">
        <v>16</v>
      </c>
      <c r="I131" s="7" t="s">
        <v>3720</v>
      </c>
      <c r="J131" s="7" t="s">
        <v>869</v>
      </c>
      <c r="K131" s="7" t="s">
        <v>3742</v>
      </c>
      <c r="L131" s="7" t="s">
        <v>3743</v>
      </c>
      <c r="M131" s="7" t="s">
        <v>3744</v>
      </c>
      <c r="N131" s="7" t="s">
        <v>3360</v>
      </c>
      <c r="O131" s="7" t="s">
        <v>3719</v>
      </c>
      <c r="P131" s="7"/>
      <c r="Q131" s="7" t="n">
        <v>46</v>
      </c>
    </row>
    <row r="132" customFormat="false" ht="73.5" hidden="false" customHeight="true" outlineLevel="0" collapsed="false">
      <c r="A132" s="7" t="n">
        <v>128</v>
      </c>
      <c r="B132" s="7" t="s">
        <v>26</v>
      </c>
      <c r="C132" s="7" t="s">
        <v>3217</v>
      </c>
      <c r="D132" s="7" t="s">
        <v>3218</v>
      </c>
      <c r="E132" s="7" t="s">
        <v>3707</v>
      </c>
      <c r="F132" s="7" t="n">
        <v>131</v>
      </c>
      <c r="G132" s="10" t="s">
        <v>16</v>
      </c>
      <c r="H132" s="10" t="s">
        <v>16</v>
      </c>
      <c r="I132" s="7" t="s">
        <v>3720</v>
      </c>
      <c r="J132" s="7" t="s">
        <v>874</v>
      </c>
      <c r="K132" s="7" t="s">
        <v>3745</v>
      </c>
      <c r="L132" s="7" t="s">
        <v>3746</v>
      </c>
      <c r="M132" s="7" t="s">
        <v>3747</v>
      </c>
      <c r="N132" s="7" t="s">
        <v>3224</v>
      </c>
      <c r="O132" s="7" t="s">
        <v>3719</v>
      </c>
      <c r="P132" s="7"/>
      <c r="Q132" s="7" t="n">
        <v>46</v>
      </c>
    </row>
    <row r="133" customFormat="false" ht="73.5" hidden="false" customHeight="true" outlineLevel="0" collapsed="false">
      <c r="A133" s="7" t="n">
        <v>129</v>
      </c>
      <c r="B133" s="7" t="s">
        <v>26</v>
      </c>
      <c r="C133" s="7" t="s">
        <v>3217</v>
      </c>
      <c r="D133" s="7" t="s">
        <v>3218</v>
      </c>
      <c r="E133" s="7" t="s">
        <v>3707</v>
      </c>
      <c r="F133" s="7" t="n">
        <v>132</v>
      </c>
      <c r="G133" s="10" t="s">
        <v>16</v>
      </c>
      <c r="H133" s="10" t="s">
        <v>16</v>
      </c>
      <c r="I133" s="7" t="s">
        <v>3720</v>
      </c>
      <c r="J133" s="7" t="s">
        <v>879</v>
      </c>
      <c r="K133" s="7" t="s">
        <v>3748</v>
      </c>
      <c r="L133" s="7" t="s">
        <v>3749</v>
      </c>
      <c r="M133" s="7" t="s">
        <v>3750</v>
      </c>
      <c r="N133" s="7" t="s">
        <v>3360</v>
      </c>
      <c r="O133" s="7" t="s">
        <v>3719</v>
      </c>
      <c r="P133" s="7"/>
      <c r="Q133" s="7" t="n">
        <v>47</v>
      </c>
    </row>
    <row r="134" customFormat="false" ht="73.5" hidden="false" customHeight="true" outlineLevel="0" collapsed="false">
      <c r="A134" s="7" t="n">
        <v>130</v>
      </c>
      <c r="B134" s="7" t="s">
        <v>26</v>
      </c>
      <c r="C134" s="7" t="s">
        <v>3217</v>
      </c>
      <c r="D134" s="7" t="s">
        <v>3218</v>
      </c>
      <c r="E134" s="7" t="s">
        <v>3707</v>
      </c>
      <c r="F134" s="7" t="n">
        <v>133</v>
      </c>
      <c r="G134" s="10" t="s">
        <v>16</v>
      </c>
      <c r="H134" s="10" t="s">
        <v>16</v>
      </c>
      <c r="I134" s="7" t="s">
        <v>3720</v>
      </c>
      <c r="J134" s="7" t="s">
        <v>885</v>
      </c>
      <c r="K134" s="7" t="s">
        <v>3751</v>
      </c>
      <c r="L134" s="7" t="s">
        <v>3752</v>
      </c>
      <c r="M134" s="7" t="s">
        <v>3753</v>
      </c>
      <c r="N134" s="7" t="s">
        <v>3754</v>
      </c>
      <c r="O134" s="7" t="s">
        <v>3719</v>
      </c>
      <c r="P134" s="7"/>
      <c r="Q134" s="7" t="n">
        <v>47</v>
      </c>
    </row>
    <row r="135" customFormat="false" ht="73.5" hidden="false" customHeight="true" outlineLevel="0" collapsed="false">
      <c r="A135" s="7" t="n">
        <v>131</v>
      </c>
      <c r="B135" s="7" t="s">
        <v>26</v>
      </c>
      <c r="C135" s="7" t="s">
        <v>3217</v>
      </c>
      <c r="D135" s="7" t="s">
        <v>3218</v>
      </c>
      <c r="E135" s="7" t="s">
        <v>3707</v>
      </c>
      <c r="F135" s="7" t="n">
        <v>134</v>
      </c>
      <c r="G135" s="10" t="s">
        <v>16</v>
      </c>
      <c r="H135" s="10" t="s">
        <v>16</v>
      </c>
      <c r="I135" s="7" t="s">
        <v>3720</v>
      </c>
      <c r="J135" s="7" t="s">
        <v>891</v>
      </c>
      <c r="K135" s="7" t="s">
        <v>3755</v>
      </c>
      <c r="L135" s="7" t="s">
        <v>3756</v>
      </c>
      <c r="M135" s="7" t="s">
        <v>3757</v>
      </c>
      <c r="N135" s="7" t="s">
        <v>3758</v>
      </c>
      <c r="O135" s="7" t="s">
        <v>3719</v>
      </c>
      <c r="P135" s="7"/>
      <c r="Q135" s="7" t="n">
        <v>47</v>
      </c>
    </row>
    <row r="136" customFormat="false" ht="73.5" hidden="false" customHeight="true" outlineLevel="0" collapsed="false">
      <c r="A136" s="7" t="n">
        <v>132</v>
      </c>
      <c r="B136" s="7" t="s">
        <v>26</v>
      </c>
      <c r="C136" s="7" t="s">
        <v>3217</v>
      </c>
      <c r="D136" s="7" t="s">
        <v>3218</v>
      </c>
      <c r="E136" s="7" t="s">
        <v>3707</v>
      </c>
      <c r="F136" s="7" t="n">
        <v>135</v>
      </c>
      <c r="G136" s="10" t="s">
        <v>16</v>
      </c>
      <c r="H136" s="10" t="s">
        <v>16</v>
      </c>
      <c r="I136" s="7" t="s">
        <v>3720</v>
      </c>
      <c r="J136" s="7" t="s">
        <v>897</v>
      </c>
      <c r="K136" s="7" t="s">
        <v>3759</v>
      </c>
      <c r="L136" s="7" t="s">
        <v>3760</v>
      </c>
      <c r="M136" s="7" t="s">
        <v>3761</v>
      </c>
      <c r="N136" s="7" t="s">
        <v>3762</v>
      </c>
      <c r="O136" s="7" t="s">
        <v>3719</v>
      </c>
      <c r="P136" s="7"/>
      <c r="Q136" s="7" t="n">
        <v>47</v>
      </c>
    </row>
    <row r="137" customFormat="false" ht="73.5" hidden="false" customHeight="true" outlineLevel="0" collapsed="false">
      <c r="A137" s="7" t="n">
        <v>133</v>
      </c>
      <c r="B137" s="7" t="s">
        <v>26</v>
      </c>
      <c r="C137" s="7" t="s">
        <v>3217</v>
      </c>
      <c r="D137" s="7" t="s">
        <v>3218</v>
      </c>
      <c r="E137" s="7" t="s">
        <v>3707</v>
      </c>
      <c r="F137" s="7" t="n">
        <v>136</v>
      </c>
      <c r="G137" s="10" t="s">
        <v>16</v>
      </c>
      <c r="H137" s="10" t="s">
        <v>16</v>
      </c>
      <c r="I137" s="7" t="s">
        <v>3720</v>
      </c>
      <c r="J137" s="7" t="s">
        <v>903</v>
      </c>
      <c r="K137" s="7" t="s">
        <v>3763</v>
      </c>
      <c r="L137" s="7" t="s">
        <v>3764</v>
      </c>
      <c r="M137" s="7" t="s">
        <v>3765</v>
      </c>
      <c r="N137" s="7" t="s">
        <v>3766</v>
      </c>
      <c r="O137" s="7" t="s">
        <v>3719</v>
      </c>
      <c r="P137" s="7"/>
      <c r="Q137" s="7" t="n">
        <v>48</v>
      </c>
    </row>
    <row r="138" customFormat="false" ht="73.5" hidden="false" customHeight="true" outlineLevel="0" collapsed="false">
      <c r="A138" s="7" t="n">
        <v>134</v>
      </c>
      <c r="B138" s="7" t="s">
        <v>26</v>
      </c>
      <c r="C138" s="7" t="s">
        <v>3217</v>
      </c>
      <c r="D138" s="7" t="s">
        <v>3218</v>
      </c>
      <c r="E138" s="7" t="s">
        <v>3707</v>
      </c>
      <c r="F138" s="7" t="n">
        <v>137</v>
      </c>
      <c r="G138" s="10" t="s">
        <v>16</v>
      </c>
      <c r="H138" s="10" t="s">
        <v>16</v>
      </c>
      <c r="I138" s="7" t="s">
        <v>3720</v>
      </c>
      <c r="J138" s="7" t="s">
        <v>910</v>
      </c>
      <c r="K138" s="7" t="s">
        <v>3767</v>
      </c>
      <c r="L138" s="7" t="s">
        <v>3768</v>
      </c>
      <c r="M138" s="7" t="s">
        <v>3769</v>
      </c>
      <c r="N138" s="7" t="s">
        <v>3770</v>
      </c>
      <c r="O138" s="7" t="s">
        <v>3719</v>
      </c>
      <c r="P138" s="7"/>
      <c r="Q138" s="7" t="n">
        <v>48</v>
      </c>
    </row>
    <row r="139" customFormat="false" ht="73.5" hidden="false" customHeight="true" outlineLevel="0" collapsed="false">
      <c r="A139" s="7" t="n">
        <v>135</v>
      </c>
      <c r="B139" s="7" t="s">
        <v>26</v>
      </c>
      <c r="C139" s="7" t="s">
        <v>3217</v>
      </c>
      <c r="D139" s="7" t="s">
        <v>3218</v>
      </c>
      <c r="E139" s="7" t="s">
        <v>3707</v>
      </c>
      <c r="F139" s="7" t="n">
        <v>138</v>
      </c>
      <c r="G139" s="10" t="s">
        <v>16</v>
      </c>
      <c r="H139" s="10" t="s">
        <v>16</v>
      </c>
      <c r="I139" s="7" t="s">
        <v>3771</v>
      </c>
      <c r="J139" s="7" t="s">
        <v>917</v>
      </c>
      <c r="K139" s="7" t="s">
        <v>3772</v>
      </c>
      <c r="L139" s="7" t="s">
        <v>3773</v>
      </c>
      <c r="M139" s="7" t="s">
        <v>3774</v>
      </c>
      <c r="N139" s="7" t="s">
        <v>3775</v>
      </c>
      <c r="O139" s="7" t="s">
        <v>3776</v>
      </c>
      <c r="P139" s="7"/>
      <c r="Q139" s="7" t="n">
        <v>48</v>
      </c>
    </row>
    <row r="140" customFormat="false" ht="73.5" hidden="false" customHeight="true" outlineLevel="0" collapsed="false">
      <c r="A140" s="7" t="n">
        <v>136</v>
      </c>
      <c r="B140" s="7" t="s">
        <v>26</v>
      </c>
      <c r="C140" s="7" t="s">
        <v>3217</v>
      </c>
      <c r="D140" s="7" t="s">
        <v>3218</v>
      </c>
      <c r="E140" s="7" t="s">
        <v>3707</v>
      </c>
      <c r="F140" s="7" t="n">
        <v>139</v>
      </c>
      <c r="G140" s="10" t="s">
        <v>16</v>
      </c>
      <c r="H140" s="10" t="s">
        <v>16</v>
      </c>
      <c r="I140" s="7" t="s">
        <v>3777</v>
      </c>
      <c r="J140" s="7" t="s">
        <v>925</v>
      </c>
      <c r="K140" s="7" t="s">
        <v>3778</v>
      </c>
      <c r="L140" s="7" t="s">
        <v>3779</v>
      </c>
      <c r="M140" s="7" t="s">
        <v>3780</v>
      </c>
      <c r="N140" s="7" t="s">
        <v>3781</v>
      </c>
      <c r="O140" s="7" t="s">
        <v>3776</v>
      </c>
      <c r="P140" s="7"/>
      <c r="Q140" s="7" t="n">
        <v>49</v>
      </c>
    </row>
    <row r="141" customFormat="false" ht="121.5" hidden="false" customHeight="true" outlineLevel="0" collapsed="false">
      <c r="A141" s="7" t="n">
        <v>137</v>
      </c>
      <c r="B141" s="7" t="s">
        <v>26</v>
      </c>
      <c r="C141" s="7" t="s">
        <v>3217</v>
      </c>
      <c r="D141" s="7" t="s">
        <v>3218</v>
      </c>
      <c r="E141" s="7" t="s">
        <v>3707</v>
      </c>
      <c r="F141" s="7" t="n">
        <v>140</v>
      </c>
      <c r="G141" s="10" t="s">
        <v>16</v>
      </c>
      <c r="H141" s="10" t="s">
        <v>16</v>
      </c>
      <c r="I141" s="7" t="s">
        <v>3782</v>
      </c>
      <c r="J141" s="7" t="s">
        <v>934</v>
      </c>
      <c r="K141" s="7" t="s">
        <v>3783</v>
      </c>
      <c r="L141" s="7" t="s">
        <v>3784</v>
      </c>
      <c r="M141" s="7" t="s">
        <v>3785</v>
      </c>
      <c r="N141" s="7" t="s">
        <v>3786</v>
      </c>
      <c r="O141" s="7" t="s">
        <v>3787</v>
      </c>
      <c r="P141" s="7"/>
      <c r="Q141" s="7" t="n">
        <v>49</v>
      </c>
    </row>
    <row r="142" customFormat="false" ht="73.5" hidden="false" customHeight="true" outlineLevel="0" collapsed="false">
      <c r="A142" s="7" t="n">
        <v>138</v>
      </c>
      <c r="B142" s="7" t="s">
        <v>26</v>
      </c>
      <c r="C142" s="7" t="s">
        <v>3217</v>
      </c>
      <c r="D142" s="7" t="s">
        <v>3218</v>
      </c>
      <c r="E142" s="7" t="s">
        <v>3707</v>
      </c>
      <c r="F142" s="7" t="n">
        <v>141</v>
      </c>
      <c r="G142" s="10" t="s">
        <v>16</v>
      </c>
      <c r="H142" s="10" t="s">
        <v>16</v>
      </c>
      <c r="I142" s="7" t="s">
        <v>3788</v>
      </c>
      <c r="J142" s="7" t="s">
        <v>942</v>
      </c>
      <c r="K142" s="7" t="s">
        <v>3789</v>
      </c>
      <c r="L142" s="7" t="s">
        <v>3790</v>
      </c>
      <c r="M142" s="7" t="s">
        <v>3791</v>
      </c>
      <c r="N142" s="7" t="s">
        <v>3224</v>
      </c>
      <c r="O142" s="7" t="s">
        <v>3787</v>
      </c>
      <c r="P142" s="7"/>
      <c r="Q142" s="7" t="n">
        <v>50</v>
      </c>
    </row>
    <row r="143" customFormat="false" ht="73.5" hidden="false" customHeight="true" outlineLevel="0" collapsed="false">
      <c r="A143" s="7" t="n">
        <v>139</v>
      </c>
      <c r="B143" s="7" t="s">
        <v>26</v>
      </c>
      <c r="C143" s="7" t="s">
        <v>3217</v>
      </c>
      <c r="D143" s="7" t="s">
        <v>3218</v>
      </c>
      <c r="E143" s="7" t="s">
        <v>3707</v>
      </c>
      <c r="F143" s="7" t="n">
        <v>142</v>
      </c>
      <c r="G143" s="10" t="s">
        <v>16</v>
      </c>
      <c r="H143" s="10" t="s">
        <v>16</v>
      </c>
      <c r="I143" s="7" t="s">
        <v>3788</v>
      </c>
      <c r="J143" s="7" t="s">
        <v>948</v>
      </c>
      <c r="K143" s="7" t="s">
        <v>3792</v>
      </c>
      <c r="L143" s="7" t="s">
        <v>3793</v>
      </c>
      <c r="M143" s="7" t="s">
        <v>3794</v>
      </c>
      <c r="N143" s="7" t="s">
        <v>3360</v>
      </c>
      <c r="O143" s="7" t="s">
        <v>3787</v>
      </c>
      <c r="P143" s="7"/>
      <c r="Q143" s="7" t="n">
        <v>50</v>
      </c>
    </row>
    <row r="144" customFormat="false" ht="160.5" hidden="false" customHeight="true" outlineLevel="0" collapsed="false">
      <c r="A144" s="7" t="n">
        <v>140</v>
      </c>
      <c r="B144" s="7" t="s">
        <v>26</v>
      </c>
      <c r="C144" s="7" t="s">
        <v>3217</v>
      </c>
      <c r="D144" s="7" t="s">
        <v>3218</v>
      </c>
      <c r="E144" s="7" t="s">
        <v>3707</v>
      </c>
      <c r="F144" s="7" t="n">
        <v>143</v>
      </c>
      <c r="G144" s="10" t="s">
        <v>16</v>
      </c>
      <c r="H144" s="10" t="s">
        <v>16</v>
      </c>
      <c r="I144" s="7" t="s">
        <v>3795</v>
      </c>
      <c r="J144" s="7" t="s">
        <v>956</v>
      </c>
      <c r="K144" s="7" t="s">
        <v>3796</v>
      </c>
      <c r="L144" s="7" t="s">
        <v>3797</v>
      </c>
      <c r="M144" s="7" t="s">
        <v>3798</v>
      </c>
      <c r="N144" s="7" t="s">
        <v>3655</v>
      </c>
      <c r="O144" s="7" t="s">
        <v>3799</v>
      </c>
      <c r="P144" s="7"/>
      <c r="Q144" s="7" t="n">
        <v>51</v>
      </c>
    </row>
    <row r="145" customFormat="false" ht="73.5" hidden="false" customHeight="true" outlineLevel="0" collapsed="false">
      <c r="A145" s="7" t="n">
        <v>141</v>
      </c>
      <c r="B145" s="7" t="s">
        <v>26</v>
      </c>
      <c r="C145" s="7" t="s">
        <v>3217</v>
      </c>
      <c r="D145" s="7" t="s">
        <v>3218</v>
      </c>
      <c r="E145" s="7" t="s">
        <v>3707</v>
      </c>
      <c r="F145" s="7" t="n">
        <v>144</v>
      </c>
      <c r="G145" s="10" t="s">
        <v>16</v>
      </c>
      <c r="H145" s="10" t="s">
        <v>16</v>
      </c>
      <c r="I145" s="7" t="s">
        <v>3800</v>
      </c>
      <c r="J145" s="7" t="s">
        <v>963</v>
      </c>
      <c r="K145" s="7" t="s">
        <v>3801</v>
      </c>
      <c r="L145" s="7" t="s">
        <v>3802</v>
      </c>
      <c r="M145" s="7" t="s">
        <v>3803</v>
      </c>
      <c r="N145" s="7" t="s">
        <v>3804</v>
      </c>
      <c r="O145" s="7" t="s">
        <v>3799</v>
      </c>
      <c r="P145" s="7"/>
      <c r="Q145" s="7" t="n">
        <v>51</v>
      </c>
    </row>
    <row r="146" customFormat="false" ht="408" hidden="false" customHeight="true" outlineLevel="0" collapsed="false">
      <c r="A146" s="7" t="n">
        <v>142</v>
      </c>
      <c r="B146" s="7" t="s">
        <v>26</v>
      </c>
      <c r="C146" s="7" t="s">
        <v>3217</v>
      </c>
      <c r="D146" s="7" t="s">
        <v>3218</v>
      </c>
      <c r="E146" s="7" t="s">
        <v>3805</v>
      </c>
      <c r="F146" s="7" t="n">
        <v>145</v>
      </c>
      <c r="G146" s="10" t="s">
        <v>16</v>
      </c>
      <c r="H146" s="10" t="s">
        <v>16</v>
      </c>
      <c r="I146" s="7" t="s">
        <v>3806</v>
      </c>
      <c r="J146" s="7" t="s">
        <v>981</v>
      </c>
      <c r="K146" s="7" t="s">
        <v>3807</v>
      </c>
      <c r="L146" s="7" t="s">
        <v>3808</v>
      </c>
      <c r="M146" s="7" t="s">
        <v>3809</v>
      </c>
      <c r="N146" s="7" t="s">
        <v>3224</v>
      </c>
      <c r="O146" s="7" t="s">
        <v>3810</v>
      </c>
      <c r="P146" s="7"/>
      <c r="Q146" s="7" t="n">
        <v>54</v>
      </c>
    </row>
    <row r="147" customFormat="false" ht="73.5" hidden="false" customHeight="true" outlineLevel="0" collapsed="false">
      <c r="A147" s="7" t="n">
        <v>143</v>
      </c>
      <c r="B147" s="7" t="s">
        <v>26</v>
      </c>
      <c r="C147" s="7" t="s">
        <v>3217</v>
      </c>
      <c r="D147" s="7" t="s">
        <v>3218</v>
      </c>
      <c r="E147" s="7" t="s">
        <v>3805</v>
      </c>
      <c r="F147" s="7" t="n">
        <v>146</v>
      </c>
      <c r="G147" s="10" t="s">
        <v>16</v>
      </c>
      <c r="H147" s="10" t="s">
        <v>16</v>
      </c>
      <c r="I147" s="7" t="s">
        <v>3811</v>
      </c>
      <c r="J147" s="7" t="s">
        <v>988</v>
      </c>
      <c r="K147" s="7" t="s">
        <v>3812</v>
      </c>
      <c r="L147" s="7" t="s">
        <v>3813</v>
      </c>
      <c r="M147" s="7" t="s">
        <v>3814</v>
      </c>
      <c r="N147" s="7" t="s">
        <v>3647</v>
      </c>
      <c r="O147" s="7" t="s">
        <v>3810</v>
      </c>
      <c r="P147" s="7"/>
      <c r="Q147" s="7" t="n">
        <v>54</v>
      </c>
    </row>
    <row r="148" customFormat="false" ht="73.5" hidden="false" customHeight="true" outlineLevel="0" collapsed="false">
      <c r="A148" s="7" t="n">
        <v>144</v>
      </c>
      <c r="B148" s="7" t="s">
        <v>26</v>
      </c>
      <c r="C148" s="7" t="s">
        <v>3217</v>
      </c>
      <c r="D148" s="7" t="s">
        <v>3218</v>
      </c>
      <c r="E148" s="7" t="s">
        <v>3805</v>
      </c>
      <c r="F148" s="7" t="n">
        <v>147</v>
      </c>
      <c r="G148" s="10" t="s">
        <v>16</v>
      </c>
      <c r="H148" s="10" t="s">
        <v>16</v>
      </c>
      <c r="I148" s="7" t="s">
        <v>3811</v>
      </c>
      <c r="J148" s="7" t="s">
        <v>993</v>
      </c>
      <c r="K148" s="7" t="s">
        <v>3815</v>
      </c>
      <c r="L148" s="7" t="s">
        <v>3816</v>
      </c>
      <c r="M148" s="7" t="s">
        <v>3817</v>
      </c>
      <c r="N148" s="7" t="s">
        <v>3224</v>
      </c>
      <c r="O148" s="7" t="s">
        <v>3810</v>
      </c>
      <c r="P148" s="7"/>
      <c r="Q148" s="7" t="n">
        <v>55</v>
      </c>
    </row>
    <row r="149" customFormat="false" ht="73.5" hidden="false" customHeight="true" outlineLevel="0" collapsed="false">
      <c r="A149" s="7" t="n">
        <v>145</v>
      </c>
      <c r="B149" s="7" t="s">
        <v>26</v>
      </c>
      <c r="C149" s="7" t="s">
        <v>3217</v>
      </c>
      <c r="D149" s="7" t="s">
        <v>3218</v>
      </c>
      <c r="E149" s="7" t="s">
        <v>3805</v>
      </c>
      <c r="F149" s="7" t="n">
        <v>148</v>
      </c>
      <c r="G149" s="10" t="s">
        <v>16</v>
      </c>
      <c r="H149" s="10" t="s">
        <v>16</v>
      </c>
      <c r="I149" s="7" t="s">
        <v>3811</v>
      </c>
      <c r="J149" s="7" t="s">
        <v>999</v>
      </c>
      <c r="K149" s="7" t="s">
        <v>3818</v>
      </c>
      <c r="L149" s="7" t="s">
        <v>3819</v>
      </c>
      <c r="M149" s="7" t="s">
        <v>3820</v>
      </c>
      <c r="N149" s="7" t="s">
        <v>3821</v>
      </c>
      <c r="O149" s="7" t="s">
        <v>3810</v>
      </c>
      <c r="P149" s="7"/>
      <c r="Q149" s="7" t="n">
        <v>55</v>
      </c>
    </row>
    <row r="150" customFormat="false" ht="73.5" hidden="false" customHeight="true" outlineLevel="0" collapsed="false">
      <c r="A150" s="7" t="n">
        <v>146</v>
      </c>
      <c r="B150" s="7" t="s">
        <v>26</v>
      </c>
      <c r="C150" s="7" t="s">
        <v>3217</v>
      </c>
      <c r="D150" s="7" t="s">
        <v>3218</v>
      </c>
      <c r="E150" s="7" t="s">
        <v>3805</v>
      </c>
      <c r="F150" s="7" t="n">
        <v>149</v>
      </c>
      <c r="G150" s="10" t="s">
        <v>16</v>
      </c>
      <c r="H150" s="10" t="s">
        <v>16</v>
      </c>
      <c r="I150" s="7" t="s">
        <v>3811</v>
      </c>
      <c r="J150" s="7" t="s">
        <v>1005</v>
      </c>
      <c r="K150" s="7" t="s">
        <v>3822</v>
      </c>
      <c r="L150" s="7" t="s">
        <v>3823</v>
      </c>
      <c r="M150" s="7" t="s">
        <v>3824</v>
      </c>
      <c r="N150" s="7" t="s">
        <v>3825</v>
      </c>
      <c r="O150" s="7" t="s">
        <v>3810</v>
      </c>
      <c r="P150" s="7"/>
      <c r="Q150" s="7" t="n">
        <v>55</v>
      </c>
    </row>
    <row r="151" customFormat="false" ht="73.5" hidden="false" customHeight="true" outlineLevel="0" collapsed="false">
      <c r="A151" s="7" t="n">
        <v>147</v>
      </c>
      <c r="B151" s="7" t="s">
        <v>26</v>
      </c>
      <c r="C151" s="7" t="s">
        <v>3217</v>
      </c>
      <c r="D151" s="7" t="s">
        <v>3218</v>
      </c>
      <c r="E151" s="7" t="s">
        <v>3805</v>
      </c>
      <c r="F151" s="7" t="n">
        <v>150</v>
      </c>
      <c r="G151" s="10" t="s">
        <v>16</v>
      </c>
      <c r="H151" s="10" t="s">
        <v>16</v>
      </c>
      <c r="I151" s="7" t="s">
        <v>3811</v>
      </c>
      <c r="J151" s="7" t="s">
        <v>1011</v>
      </c>
      <c r="K151" s="7" t="s">
        <v>3826</v>
      </c>
      <c r="L151" s="7" t="s">
        <v>3827</v>
      </c>
      <c r="M151" s="7" t="s">
        <v>3828</v>
      </c>
      <c r="N151" s="7" t="s">
        <v>3829</v>
      </c>
      <c r="O151" s="7" t="s">
        <v>3810</v>
      </c>
      <c r="P151" s="7"/>
      <c r="Q151" s="7" t="n">
        <v>55</v>
      </c>
    </row>
    <row r="152" customFormat="false" ht="73.5" hidden="false" customHeight="true" outlineLevel="0" collapsed="false">
      <c r="A152" s="7" t="n">
        <v>148</v>
      </c>
      <c r="B152" s="7" t="s">
        <v>26</v>
      </c>
      <c r="C152" s="7" t="s">
        <v>3217</v>
      </c>
      <c r="D152" s="7" t="s">
        <v>3218</v>
      </c>
      <c r="E152" s="7" t="s">
        <v>3805</v>
      </c>
      <c r="F152" s="7" t="n">
        <v>151</v>
      </c>
      <c r="G152" s="10" t="s">
        <v>16</v>
      </c>
      <c r="H152" s="10" t="s">
        <v>16</v>
      </c>
      <c r="I152" s="7" t="s">
        <v>3811</v>
      </c>
      <c r="J152" s="7" t="s">
        <v>1017</v>
      </c>
      <c r="K152" s="7" t="s">
        <v>3830</v>
      </c>
      <c r="L152" s="7" t="s">
        <v>3831</v>
      </c>
      <c r="M152" s="7" t="s">
        <v>3832</v>
      </c>
      <c r="N152" s="7" t="s">
        <v>3833</v>
      </c>
      <c r="O152" s="7" t="s">
        <v>3810</v>
      </c>
      <c r="P152" s="7"/>
      <c r="Q152" s="7" t="n">
        <v>56</v>
      </c>
    </row>
    <row r="153" customFormat="false" ht="73.5" hidden="false" customHeight="true" outlineLevel="0" collapsed="false">
      <c r="A153" s="7" t="n">
        <v>149</v>
      </c>
      <c r="B153" s="7" t="s">
        <v>26</v>
      </c>
      <c r="C153" s="7" t="s">
        <v>3217</v>
      </c>
      <c r="D153" s="7" t="s">
        <v>3218</v>
      </c>
      <c r="E153" s="7" t="s">
        <v>3805</v>
      </c>
      <c r="F153" s="7" t="n">
        <v>152</v>
      </c>
      <c r="G153" s="10" t="s">
        <v>16</v>
      </c>
      <c r="H153" s="10" t="s">
        <v>16</v>
      </c>
      <c r="I153" s="7" t="s">
        <v>3811</v>
      </c>
      <c r="J153" s="7" t="s">
        <v>1024</v>
      </c>
      <c r="K153" s="7" t="s">
        <v>3834</v>
      </c>
      <c r="L153" s="7" t="s">
        <v>3835</v>
      </c>
      <c r="M153" s="7" t="s">
        <v>3836</v>
      </c>
      <c r="N153" s="7" t="s">
        <v>3837</v>
      </c>
      <c r="O153" s="7" t="s">
        <v>3810</v>
      </c>
      <c r="P153" s="7"/>
      <c r="Q153" s="7" t="n">
        <v>56</v>
      </c>
    </row>
    <row r="154" customFormat="false" ht="73.5" hidden="false" customHeight="true" outlineLevel="0" collapsed="false">
      <c r="A154" s="7" t="n">
        <v>150</v>
      </c>
      <c r="B154" s="7" t="s">
        <v>26</v>
      </c>
      <c r="C154" s="7" t="s">
        <v>3217</v>
      </c>
      <c r="D154" s="7" t="s">
        <v>3218</v>
      </c>
      <c r="E154" s="7" t="s">
        <v>3805</v>
      </c>
      <c r="F154" s="7" t="n">
        <v>153</v>
      </c>
      <c r="G154" s="10" t="s">
        <v>16</v>
      </c>
      <c r="H154" s="10" t="s">
        <v>16</v>
      </c>
      <c r="I154" s="7" t="s">
        <v>3811</v>
      </c>
      <c r="J154" s="7" t="s">
        <v>1030</v>
      </c>
      <c r="K154" s="7" t="s">
        <v>3838</v>
      </c>
      <c r="L154" s="7" t="s">
        <v>3839</v>
      </c>
      <c r="M154" s="7" t="s">
        <v>3840</v>
      </c>
      <c r="N154" s="7" t="s">
        <v>3837</v>
      </c>
      <c r="O154" s="7" t="s">
        <v>3810</v>
      </c>
      <c r="P154" s="7"/>
      <c r="Q154" s="7" t="n">
        <v>56</v>
      </c>
    </row>
    <row r="155" customFormat="false" ht="73.5" hidden="false" customHeight="true" outlineLevel="0" collapsed="false">
      <c r="A155" s="7" t="n">
        <v>151</v>
      </c>
      <c r="B155" s="7" t="s">
        <v>26</v>
      </c>
      <c r="C155" s="7" t="s">
        <v>3217</v>
      </c>
      <c r="D155" s="7" t="s">
        <v>3218</v>
      </c>
      <c r="E155" s="7" t="s">
        <v>3805</v>
      </c>
      <c r="F155" s="7" t="n">
        <v>154</v>
      </c>
      <c r="G155" s="10" t="s">
        <v>16</v>
      </c>
      <c r="H155" s="10" t="s">
        <v>16</v>
      </c>
      <c r="I155" s="7" t="s">
        <v>3811</v>
      </c>
      <c r="J155" s="7" t="s">
        <v>1035</v>
      </c>
      <c r="K155" s="7" t="s">
        <v>3841</v>
      </c>
      <c r="L155" s="7" t="s">
        <v>3842</v>
      </c>
      <c r="M155" s="7" t="s">
        <v>3843</v>
      </c>
      <c r="N155" s="7" t="s">
        <v>3844</v>
      </c>
      <c r="O155" s="7" t="s">
        <v>3810</v>
      </c>
      <c r="P155" s="7"/>
      <c r="Q155" s="7" t="n">
        <v>57</v>
      </c>
    </row>
    <row r="156" customFormat="false" ht="73.5" hidden="false" customHeight="true" outlineLevel="0" collapsed="false">
      <c r="A156" s="7" t="n">
        <v>152</v>
      </c>
      <c r="B156" s="7" t="s">
        <v>26</v>
      </c>
      <c r="C156" s="7" t="s">
        <v>3217</v>
      </c>
      <c r="D156" s="7" t="s">
        <v>3218</v>
      </c>
      <c r="E156" s="7" t="s">
        <v>3805</v>
      </c>
      <c r="F156" s="7" t="n">
        <v>155</v>
      </c>
      <c r="G156" s="10" t="s">
        <v>16</v>
      </c>
      <c r="H156" s="10" t="s">
        <v>16</v>
      </c>
      <c r="I156" s="7" t="s">
        <v>3811</v>
      </c>
      <c r="J156" s="7" t="s">
        <v>1042</v>
      </c>
      <c r="K156" s="7" t="s">
        <v>3845</v>
      </c>
      <c r="L156" s="7" t="s">
        <v>3846</v>
      </c>
      <c r="M156" s="7" t="s">
        <v>3847</v>
      </c>
      <c r="N156" s="7" t="s">
        <v>3848</v>
      </c>
      <c r="O156" s="7" t="s">
        <v>3810</v>
      </c>
      <c r="P156" s="7"/>
      <c r="Q156" s="7" t="n">
        <v>57</v>
      </c>
    </row>
    <row r="157" customFormat="false" ht="73.5" hidden="false" customHeight="true" outlineLevel="0" collapsed="false">
      <c r="A157" s="7" t="n">
        <v>153</v>
      </c>
      <c r="B157" s="7" t="s">
        <v>26</v>
      </c>
      <c r="C157" s="7" t="s">
        <v>3217</v>
      </c>
      <c r="D157" s="7" t="s">
        <v>3218</v>
      </c>
      <c r="E157" s="7" t="s">
        <v>3805</v>
      </c>
      <c r="F157" s="7" t="n">
        <v>156</v>
      </c>
      <c r="G157" s="10" t="s">
        <v>16</v>
      </c>
      <c r="H157" s="10" t="s">
        <v>16</v>
      </c>
      <c r="I157" s="7" t="s">
        <v>3811</v>
      </c>
      <c r="J157" s="7" t="s">
        <v>1048</v>
      </c>
      <c r="K157" s="7" t="s">
        <v>3849</v>
      </c>
      <c r="L157" s="7" t="s">
        <v>3850</v>
      </c>
      <c r="M157" s="7" t="s">
        <v>3851</v>
      </c>
      <c r="N157" s="7" t="s">
        <v>3852</v>
      </c>
      <c r="O157" s="7" t="s">
        <v>3810</v>
      </c>
      <c r="P157" s="7"/>
      <c r="Q157" s="7" t="n">
        <v>57</v>
      </c>
    </row>
    <row r="158" customFormat="false" ht="73.5" hidden="false" customHeight="true" outlineLevel="0" collapsed="false">
      <c r="A158" s="7" t="n">
        <v>154</v>
      </c>
      <c r="B158" s="7" t="s">
        <v>26</v>
      </c>
      <c r="C158" s="7" t="s">
        <v>3217</v>
      </c>
      <c r="D158" s="7" t="s">
        <v>3218</v>
      </c>
      <c r="E158" s="7" t="s">
        <v>3805</v>
      </c>
      <c r="F158" s="7" t="n">
        <v>157</v>
      </c>
      <c r="G158" s="10" t="s">
        <v>16</v>
      </c>
      <c r="H158" s="10" t="s">
        <v>16</v>
      </c>
      <c r="I158" s="7" t="s">
        <v>3811</v>
      </c>
      <c r="J158" s="7" t="s">
        <v>1054</v>
      </c>
      <c r="K158" s="7" t="s">
        <v>3853</v>
      </c>
      <c r="L158" s="7" t="s">
        <v>3854</v>
      </c>
      <c r="M158" s="7" t="s">
        <v>3855</v>
      </c>
      <c r="N158" s="7" t="s">
        <v>3856</v>
      </c>
      <c r="O158" s="7" t="s">
        <v>3810</v>
      </c>
      <c r="P158" s="7"/>
      <c r="Q158" s="7" t="n">
        <v>57</v>
      </c>
    </row>
    <row r="159" customFormat="false" ht="73.5" hidden="false" customHeight="true" outlineLevel="0" collapsed="false">
      <c r="A159" s="7" t="n">
        <v>155</v>
      </c>
      <c r="B159" s="7" t="s">
        <v>26</v>
      </c>
      <c r="C159" s="7" t="s">
        <v>3217</v>
      </c>
      <c r="D159" s="7" t="s">
        <v>3218</v>
      </c>
      <c r="E159" s="7" t="s">
        <v>3805</v>
      </c>
      <c r="F159" s="7" t="n">
        <v>158</v>
      </c>
      <c r="G159" s="10" t="s">
        <v>16</v>
      </c>
      <c r="H159" s="10" t="s">
        <v>16</v>
      </c>
      <c r="I159" s="7" t="s">
        <v>3811</v>
      </c>
      <c r="J159" s="7" t="s">
        <v>1060</v>
      </c>
      <c r="K159" s="7" t="s">
        <v>3857</v>
      </c>
      <c r="L159" s="7" t="s">
        <v>3858</v>
      </c>
      <c r="M159" s="7" t="s">
        <v>3859</v>
      </c>
      <c r="N159" s="7" t="s">
        <v>3860</v>
      </c>
      <c r="O159" s="7" t="s">
        <v>3810</v>
      </c>
      <c r="P159" s="7"/>
      <c r="Q159" s="7" t="n">
        <v>58</v>
      </c>
    </row>
    <row r="160" customFormat="false" ht="73.5" hidden="false" customHeight="true" outlineLevel="0" collapsed="false">
      <c r="A160" s="7" t="n">
        <v>156</v>
      </c>
      <c r="B160" s="7" t="s">
        <v>26</v>
      </c>
      <c r="C160" s="7" t="s">
        <v>3217</v>
      </c>
      <c r="D160" s="7" t="s">
        <v>3218</v>
      </c>
      <c r="E160" s="7" t="s">
        <v>3805</v>
      </c>
      <c r="F160" s="7" t="n">
        <v>159</v>
      </c>
      <c r="G160" s="10" t="s">
        <v>16</v>
      </c>
      <c r="H160" s="10" t="s">
        <v>16</v>
      </c>
      <c r="I160" s="7" t="s">
        <v>3811</v>
      </c>
      <c r="J160" s="7" t="s">
        <v>1067</v>
      </c>
      <c r="K160" s="7" t="s">
        <v>3861</v>
      </c>
      <c r="L160" s="7" t="s">
        <v>3862</v>
      </c>
      <c r="M160" s="7" t="s">
        <v>3863</v>
      </c>
      <c r="N160" s="7" t="s">
        <v>3864</v>
      </c>
      <c r="O160" s="7" t="s">
        <v>3810</v>
      </c>
      <c r="P160" s="7"/>
      <c r="Q160" s="7" t="n">
        <v>58</v>
      </c>
    </row>
    <row r="161" customFormat="false" ht="73.5" hidden="false" customHeight="true" outlineLevel="0" collapsed="false">
      <c r="A161" s="7" t="n">
        <v>157</v>
      </c>
      <c r="B161" s="7" t="s">
        <v>26</v>
      </c>
      <c r="C161" s="7" t="s">
        <v>3217</v>
      </c>
      <c r="D161" s="7" t="s">
        <v>3218</v>
      </c>
      <c r="E161" s="7" t="s">
        <v>3805</v>
      </c>
      <c r="F161" s="7" t="n">
        <v>160</v>
      </c>
      <c r="G161" s="10" t="s">
        <v>16</v>
      </c>
      <c r="H161" s="10" t="s">
        <v>16</v>
      </c>
      <c r="I161" s="7" t="s">
        <v>3811</v>
      </c>
      <c r="J161" s="7" t="s">
        <v>1073</v>
      </c>
      <c r="K161" s="7" t="s">
        <v>3865</v>
      </c>
      <c r="L161" s="7" t="s">
        <v>3866</v>
      </c>
      <c r="M161" s="7" t="s">
        <v>3867</v>
      </c>
      <c r="N161" s="7" t="s">
        <v>3224</v>
      </c>
      <c r="O161" s="7" t="s">
        <v>3810</v>
      </c>
      <c r="P161" s="7"/>
      <c r="Q161" s="7" t="n">
        <v>58</v>
      </c>
    </row>
    <row r="162" customFormat="false" ht="73.5" hidden="false" customHeight="true" outlineLevel="0" collapsed="false">
      <c r="A162" s="7" t="n">
        <v>158</v>
      </c>
      <c r="B162" s="7" t="s">
        <v>26</v>
      </c>
      <c r="C162" s="7" t="s">
        <v>3217</v>
      </c>
      <c r="D162" s="7" t="s">
        <v>3218</v>
      </c>
      <c r="E162" s="7" t="s">
        <v>3805</v>
      </c>
      <c r="F162" s="7" t="n">
        <v>161</v>
      </c>
      <c r="G162" s="10" t="s">
        <v>16</v>
      </c>
      <c r="H162" s="10" t="s">
        <v>16</v>
      </c>
      <c r="I162" s="7" t="s">
        <v>3811</v>
      </c>
      <c r="J162" s="7" t="s">
        <v>1078</v>
      </c>
      <c r="K162" s="7" t="s">
        <v>3868</v>
      </c>
      <c r="L162" s="7" t="s">
        <v>3869</v>
      </c>
      <c r="M162" s="7" t="s">
        <v>3870</v>
      </c>
      <c r="N162" s="7" t="s">
        <v>3871</v>
      </c>
      <c r="O162" s="7" t="s">
        <v>3810</v>
      </c>
      <c r="P162" s="7"/>
      <c r="Q162" s="7" t="n">
        <v>59</v>
      </c>
    </row>
    <row r="163" customFormat="false" ht="73.5" hidden="false" customHeight="true" outlineLevel="0" collapsed="false">
      <c r="A163" s="7" t="n">
        <v>159</v>
      </c>
      <c r="B163" s="7" t="s">
        <v>26</v>
      </c>
      <c r="C163" s="7" t="s">
        <v>3217</v>
      </c>
      <c r="D163" s="7" t="s">
        <v>3218</v>
      </c>
      <c r="E163" s="7" t="s">
        <v>3805</v>
      </c>
      <c r="F163" s="7" t="n">
        <v>162</v>
      </c>
      <c r="G163" s="10" t="s">
        <v>16</v>
      </c>
      <c r="H163" s="10" t="s">
        <v>16</v>
      </c>
      <c r="I163" s="7" t="s">
        <v>3811</v>
      </c>
      <c r="J163" s="7" t="s">
        <v>1085</v>
      </c>
      <c r="K163" s="7" t="s">
        <v>3872</v>
      </c>
      <c r="L163" s="7" t="s">
        <v>3873</v>
      </c>
      <c r="M163" s="7" t="s">
        <v>3874</v>
      </c>
      <c r="N163" s="7" t="s">
        <v>3875</v>
      </c>
      <c r="O163" s="7" t="s">
        <v>3810</v>
      </c>
      <c r="P163" s="7"/>
      <c r="Q163" s="7" t="n">
        <v>59</v>
      </c>
    </row>
    <row r="164" customFormat="false" ht="73.5" hidden="false" customHeight="true" outlineLevel="0" collapsed="false">
      <c r="A164" s="7" t="n">
        <v>160</v>
      </c>
      <c r="B164" s="7" t="s">
        <v>26</v>
      </c>
      <c r="C164" s="7" t="s">
        <v>3217</v>
      </c>
      <c r="D164" s="7" t="s">
        <v>3218</v>
      </c>
      <c r="E164" s="7" t="s">
        <v>3805</v>
      </c>
      <c r="F164" s="7" t="n">
        <v>163</v>
      </c>
      <c r="G164" s="10" t="s">
        <v>16</v>
      </c>
      <c r="H164" s="10" t="s">
        <v>16</v>
      </c>
      <c r="I164" s="7" t="s">
        <v>3811</v>
      </c>
      <c r="J164" s="7" t="s">
        <v>1091</v>
      </c>
      <c r="K164" s="7" t="s">
        <v>3876</v>
      </c>
      <c r="L164" s="7" t="s">
        <v>3877</v>
      </c>
      <c r="M164" s="7" t="s">
        <v>3878</v>
      </c>
      <c r="N164" s="7" t="s">
        <v>3879</v>
      </c>
      <c r="O164" s="7" t="s">
        <v>3810</v>
      </c>
      <c r="P164" s="7"/>
      <c r="Q164" s="7" t="n">
        <v>59</v>
      </c>
    </row>
    <row r="165" customFormat="false" ht="73.5" hidden="false" customHeight="true" outlineLevel="0" collapsed="false">
      <c r="A165" s="7" t="n">
        <v>161</v>
      </c>
      <c r="B165" s="7" t="s">
        <v>26</v>
      </c>
      <c r="C165" s="7" t="s">
        <v>3217</v>
      </c>
      <c r="D165" s="7" t="s">
        <v>3218</v>
      </c>
      <c r="E165" s="7" t="s">
        <v>3805</v>
      </c>
      <c r="F165" s="7" t="n">
        <v>164</v>
      </c>
      <c r="G165" s="10" t="s">
        <v>16</v>
      </c>
      <c r="H165" s="10" t="s">
        <v>16</v>
      </c>
      <c r="I165" s="7" t="s">
        <v>3811</v>
      </c>
      <c r="J165" s="7" t="s">
        <v>1097</v>
      </c>
      <c r="K165" s="7" t="s">
        <v>3880</v>
      </c>
      <c r="L165" s="7" t="s">
        <v>3881</v>
      </c>
      <c r="M165" s="7" t="s">
        <v>3882</v>
      </c>
      <c r="N165" s="7" t="s">
        <v>3883</v>
      </c>
      <c r="O165" s="7" t="s">
        <v>3810</v>
      </c>
      <c r="P165" s="7"/>
      <c r="Q165" s="7" t="n">
        <v>59</v>
      </c>
    </row>
    <row r="166" customFormat="false" ht="73.5" hidden="false" customHeight="true" outlineLevel="0" collapsed="false">
      <c r="A166" s="7" t="n">
        <v>162</v>
      </c>
      <c r="B166" s="7" t="s">
        <v>26</v>
      </c>
      <c r="C166" s="7" t="s">
        <v>3217</v>
      </c>
      <c r="D166" s="7" t="s">
        <v>3218</v>
      </c>
      <c r="E166" s="7" t="s">
        <v>3805</v>
      </c>
      <c r="F166" s="7" t="n">
        <v>165</v>
      </c>
      <c r="G166" s="10" t="s">
        <v>16</v>
      </c>
      <c r="H166" s="10" t="s">
        <v>16</v>
      </c>
      <c r="I166" s="7" t="s">
        <v>3811</v>
      </c>
      <c r="J166" s="7" t="s">
        <v>1103</v>
      </c>
      <c r="K166" s="7" t="s">
        <v>3884</v>
      </c>
      <c r="L166" s="7" t="s">
        <v>3885</v>
      </c>
      <c r="M166" s="7" t="s">
        <v>3886</v>
      </c>
      <c r="N166" s="7" t="s">
        <v>3837</v>
      </c>
      <c r="O166" s="7" t="s">
        <v>3810</v>
      </c>
      <c r="P166" s="7"/>
      <c r="Q166" s="7" t="n">
        <v>60</v>
      </c>
    </row>
    <row r="167" customFormat="false" ht="73.5" hidden="false" customHeight="true" outlineLevel="0" collapsed="false">
      <c r="A167" s="7" t="n">
        <v>163</v>
      </c>
      <c r="B167" s="7" t="s">
        <v>26</v>
      </c>
      <c r="C167" s="7" t="s">
        <v>3217</v>
      </c>
      <c r="D167" s="7" t="s">
        <v>3218</v>
      </c>
      <c r="E167" s="7" t="s">
        <v>3805</v>
      </c>
      <c r="F167" s="7" t="n">
        <v>166</v>
      </c>
      <c r="G167" s="10" t="s">
        <v>16</v>
      </c>
      <c r="H167" s="10" t="s">
        <v>16</v>
      </c>
      <c r="I167" s="7" t="s">
        <v>3811</v>
      </c>
      <c r="J167" s="7" t="s">
        <v>1109</v>
      </c>
      <c r="K167" s="7" t="s">
        <v>3887</v>
      </c>
      <c r="L167" s="7" t="s">
        <v>3888</v>
      </c>
      <c r="M167" s="7" t="s">
        <v>3889</v>
      </c>
      <c r="N167" s="7" t="s">
        <v>3890</v>
      </c>
      <c r="O167" s="7" t="s">
        <v>3810</v>
      </c>
      <c r="P167" s="7"/>
      <c r="Q167" s="7" t="n">
        <v>60</v>
      </c>
    </row>
    <row r="168" customFormat="false" ht="73.5" hidden="false" customHeight="true" outlineLevel="0" collapsed="false">
      <c r="A168" s="7" t="n">
        <v>164</v>
      </c>
      <c r="B168" s="7" t="s">
        <v>26</v>
      </c>
      <c r="C168" s="7" t="s">
        <v>3217</v>
      </c>
      <c r="D168" s="7" t="s">
        <v>3218</v>
      </c>
      <c r="E168" s="7" t="s">
        <v>3805</v>
      </c>
      <c r="F168" s="7" t="n">
        <v>167</v>
      </c>
      <c r="G168" s="10" t="s">
        <v>16</v>
      </c>
      <c r="H168" s="10" t="s">
        <v>16</v>
      </c>
      <c r="I168" s="7" t="s">
        <v>3811</v>
      </c>
      <c r="J168" s="7" t="s">
        <v>1115</v>
      </c>
      <c r="K168" s="7" t="s">
        <v>3891</v>
      </c>
      <c r="L168" s="7" t="s">
        <v>3892</v>
      </c>
      <c r="M168" s="7" t="s">
        <v>3893</v>
      </c>
      <c r="N168" s="7" t="s">
        <v>3837</v>
      </c>
      <c r="O168" s="7" t="s">
        <v>3810</v>
      </c>
      <c r="P168" s="7"/>
      <c r="Q168" s="7" t="n">
        <v>60</v>
      </c>
    </row>
    <row r="169" customFormat="false" ht="73.5" hidden="false" customHeight="true" outlineLevel="0" collapsed="false">
      <c r="A169" s="7" t="n">
        <v>165</v>
      </c>
      <c r="B169" s="7" t="s">
        <v>26</v>
      </c>
      <c r="C169" s="7" t="s">
        <v>3217</v>
      </c>
      <c r="D169" s="7" t="s">
        <v>3218</v>
      </c>
      <c r="E169" s="7" t="s">
        <v>3805</v>
      </c>
      <c r="F169" s="7" t="n">
        <v>168</v>
      </c>
      <c r="G169" s="10" t="s">
        <v>16</v>
      </c>
      <c r="H169" s="10" t="s">
        <v>16</v>
      </c>
      <c r="I169" s="7" t="s">
        <v>3811</v>
      </c>
      <c r="J169" s="7" t="s">
        <v>1120</v>
      </c>
      <c r="K169" s="7" t="s">
        <v>3894</v>
      </c>
      <c r="L169" s="7" t="s">
        <v>3895</v>
      </c>
      <c r="M169" s="7" t="s">
        <v>3896</v>
      </c>
      <c r="N169" s="7" t="s">
        <v>3897</v>
      </c>
      <c r="O169" s="7" t="s">
        <v>3810</v>
      </c>
      <c r="P169" s="7"/>
      <c r="Q169" s="7" t="n">
        <v>61</v>
      </c>
    </row>
    <row r="170" customFormat="false" ht="135" hidden="false" customHeight="true" outlineLevel="0" collapsed="false">
      <c r="A170" s="7" t="n">
        <v>166</v>
      </c>
      <c r="B170" s="7" t="s">
        <v>29</v>
      </c>
      <c r="C170" s="7" t="s">
        <v>3217</v>
      </c>
      <c r="D170" s="7" t="s">
        <v>3898</v>
      </c>
      <c r="E170" s="7" t="s">
        <v>3899</v>
      </c>
      <c r="F170" s="7" t="n">
        <v>91</v>
      </c>
      <c r="G170" s="10" t="s">
        <v>16</v>
      </c>
      <c r="H170" s="10" t="s">
        <v>16</v>
      </c>
      <c r="I170" s="7" t="s">
        <v>3900</v>
      </c>
      <c r="J170" s="7" t="s">
        <v>1129</v>
      </c>
      <c r="K170" s="7" t="s">
        <v>3901</v>
      </c>
      <c r="L170" s="7" t="s">
        <v>3902</v>
      </c>
      <c r="M170" s="7" t="s">
        <v>3903</v>
      </c>
      <c r="N170" s="7" t="s">
        <v>3904</v>
      </c>
      <c r="O170" s="7" t="s">
        <v>3905</v>
      </c>
      <c r="P170" s="7"/>
      <c r="Q170" s="7" t="n">
        <v>20</v>
      </c>
    </row>
    <row r="171" customFormat="false" ht="73.5" hidden="false" customHeight="true" outlineLevel="0" collapsed="false">
      <c r="A171" s="7" t="n">
        <v>167</v>
      </c>
      <c r="B171" s="7" t="s">
        <v>29</v>
      </c>
      <c r="C171" s="7" t="s">
        <v>3217</v>
      </c>
      <c r="D171" s="7" t="s">
        <v>3898</v>
      </c>
      <c r="E171" s="7" t="s">
        <v>3899</v>
      </c>
      <c r="F171" s="7" t="n">
        <v>92</v>
      </c>
      <c r="G171" s="10" t="s">
        <v>16</v>
      </c>
      <c r="H171" s="10" t="s">
        <v>16</v>
      </c>
      <c r="I171" s="7" t="s">
        <v>3906</v>
      </c>
      <c r="J171" s="7" t="s">
        <v>1137</v>
      </c>
      <c r="K171" s="7" t="s">
        <v>3907</v>
      </c>
      <c r="L171" s="7" t="s">
        <v>3908</v>
      </c>
      <c r="M171" s="7" t="s">
        <v>3909</v>
      </c>
      <c r="N171" s="7" t="s">
        <v>3910</v>
      </c>
      <c r="O171" s="7" t="s">
        <v>3905</v>
      </c>
      <c r="P171" s="7"/>
      <c r="Q171" s="7" t="n">
        <v>20</v>
      </c>
    </row>
    <row r="172" customFormat="false" ht="73.5" hidden="false" customHeight="true" outlineLevel="0" collapsed="false">
      <c r="A172" s="7" t="n">
        <v>168</v>
      </c>
      <c r="B172" s="7" t="s">
        <v>29</v>
      </c>
      <c r="C172" s="7" t="s">
        <v>3217</v>
      </c>
      <c r="D172" s="7" t="s">
        <v>3898</v>
      </c>
      <c r="E172" s="7" t="s">
        <v>3899</v>
      </c>
      <c r="F172" s="7" t="n">
        <v>93</v>
      </c>
      <c r="G172" s="10" t="s">
        <v>16</v>
      </c>
      <c r="H172" s="10" t="s">
        <v>16</v>
      </c>
      <c r="I172" s="7" t="s">
        <v>3906</v>
      </c>
      <c r="J172" s="7" t="s">
        <v>1143</v>
      </c>
      <c r="K172" s="7" t="s">
        <v>3911</v>
      </c>
      <c r="L172" s="7" t="s">
        <v>3912</v>
      </c>
      <c r="M172" s="7" t="s">
        <v>3913</v>
      </c>
      <c r="N172" s="7" t="s">
        <v>3914</v>
      </c>
      <c r="O172" s="7" t="s">
        <v>3905</v>
      </c>
      <c r="P172" s="7"/>
      <c r="Q172" s="7" t="n">
        <v>20</v>
      </c>
    </row>
    <row r="173" customFormat="false" ht="73.5" hidden="false" customHeight="true" outlineLevel="0" collapsed="false">
      <c r="A173" s="7" t="n">
        <v>169</v>
      </c>
      <c r="B173" s="7" t="s">
        <v>29</v>
      </c>
      <c r="C173" s="7" t="s">
        <v>3217</v>
      </c>
      <c r="D173" s="7" t="s">
        <v>3898</v>
      </c>
      <c r="E173" s="7" t="s">
        <v>3899</v>
      </c>
      <c r="F173" s="7" t="n">
        <v>94</v>
      </c>
      <c r="G173" s="10" t="s">
        <v>16</v>
      </c>
      <c r="H173" s="10" t="s">
        <v>16</v>
      </c>
      <c r="I173" s="7" t="s">
        <v>3906</v>
      </c>
      <c r="J173" s="7" t="s">
        <v>1149</v>
      </c>
      <c r="K173" s="7" t="s">
        <v>3915</v>
      </c>
      <c r="L173" s="7" t="s">
        <v>3916</v>
      </c>
      <c r="M173" s="7" t="s">
        <v>3917</v>
      </c>
      <c r="N173" s="7" t="s">
        <v>3918</v>
      </c>
      <c r="O173" s="7" t="s">
        <v>3905</v>
      </c>
      <c r="P173" s="7"/>
      <c r="Q173" s="7" t="n">
        <v>21</v>
      </c>
    </row>
    <row r="174" customFormat="false" ht="73.5" hidden="false" customHeight="true" outlineLevel="0" collapsed="false">
      <c r="A174" s="7" t="n">
        <v>170</v>
      </c>
      <c r="B174" s="7" t="s">
        <v>29</v>
      </c>
      <c r="C174" s="7" t="s">
        <v>3217</v>
      </c>
      <c r="D174" s="7" t="s">
        <v>3898</v>
      </c>
      <c r="E174" s="7" t="s">
        <v>3899</v>
      </c>
      <c r="F174" s="7" t="n">
        <v>95</v>
      </c>
      <c r="G174" s="10" t="s">
        <v>16</v>
      </c>
      <c r="H174" s="10" t="s">
        <v>16</v>
      </c>
      <c r="I174" s="7" t="s">
        <v>3906</v>
      </c>
      <c r="J174" s="7" t="s">
        <v>1156</v>
      </c>
      <c r="K174" s="7" t="s">
        <v>3919</v>
      </c>
      <c r="L174" s="7" t="s">
        <v>3920</v>
      </c>
      <c r="M174" s="7" t="s">
        <v>3921</v>
      </c>
      <c r="N174" s="7" t="s">
        <v>3922</v>
      </c>
      <c r="O174" s="7" t="s">
        <v>3905</v>
      </c>
      <c r="P174" s="7"/>
      <c r="Q174" s="7" t="n">
        <v>21</v>
      </c>
    </row>
    <row r="175" customFormat="false" ht="73.5" hidden="false" customHeight="true" outlineLevel="0" collapsed="false">
      <c r="A175" s="7" t="n">
        <v>171</v>
      </c>
      <c r="B175" s="7" t="s">
        <v>29</v>
      </c>
      <c r="C175" s="7" t="s">
        <v>3217</v>
      </c>
      <c r="D175" s="7" t="s">
        <v>3898</v>
      </c>
      <c r="E175" s="7" t="s">
        <v>3899</v>
      </c>
      <c r="F175" s="7" t="n">
        <v>96</v>
      </c>
      <c r="G175" s="10" t="s">
        <v>16</v>
      </c>
      <c r="H175" s="10" t="s">
        <v>16</v>
      </c>
      <c r="I175" s="7" t="s">
        <v>3906</v>
      </c>
      <c r="J175" s="7" t="s">
        <v>1162</v>
      </c>
      <c r="K175" s="7" t="s">
        <v>3923</v>
      </c>
      <c r="L175" s="7" t="s">
        <v>3924</v>
      </c>
      <c r="M175" s="7" t="s">
        <v>3925</v>
      </c>
      <c r="N175" s="7" t="s">
        <v>3926</v>
      </c>
      <c r="O175" s="7" t="s">
        <v>3905</v>
      </c>
      <c r="P175" s="7"/>
      <c r="Q175" s="7" t="n">
        <v>21</v>
      </c>
    </row>
    <row r="176" customFormat="false" ht="73.5" hidden="false" customHeight="true" outlineLevel="0" collapsed="false">
      <c r="A176" s="7" t="n">
        <v>172</v>
      </c>
      <c r="B176" s="7" t="s">
        <v>29</v>
      </c>
      <c r="C176" s="7" t="s">
        <v>3217</v>
      </c>
      <c r="D176" s="7" t="s">
        <v>3898</v>
      </c>
      <c r="E176" s="7" t="s">
        <v>3927</v>
      </c>
      <c r="F176" s="7" t="n">
        <v>97</v>
      </c>
      <c r="G176" s="10" t="s">
        <v>16</v>
      </c>
      <c r="H176" s="10" t="s">
        <v>16</v>
      </c>
      <c r="I176" s="7" t="s">
        <v>3928</v>
      </c>
      <c r="J176" s="7" t="s">
        <v>1169</v>
      </c>
      <c r="K176" s="7" t="s">
        <v>3929</v>
      </c>
      <c r="L176" s="7" t="s">
        <v>3930</v>
      </c>
      <c r="M176" s="7" t="s">
        <v>3931</v>
      </c>
      <c r="N176" s="7" t="s">
        <v>3932</v>
      </c>
      <c r="O176" s="7" t="s">
        <v>3933</v>
      </c>
      <c r="P176" s="7"/>
      <c r="Q176" s="7" t="n">
        <v>22</v>
      </c>
    </row>
    <row r="177" customFormat="false" ht="73.5" hidden="false" customHeight="true" outlineLevel="0" collapsed="false">
      <c r="A177" s="7" t="n">
        <v>173</v>
      </c>
      <c r="B177" s="7" t="s">
        <v>29</v>
      </c>
      <c r="C177" s="7" t="s">
        <v>3217</v>
      </c>
      <c r="D177" s="7" t="s">
        <v>3898</v>
      </c>
      <c r="E177" s="7" t="s">
        <v>3927</v>
      </c>
      <c r="F177" s="7" t="n">
        <v>98</v>
      </c>
      <c r="G177" s="10" t="s">
        <v>16</v>
      </c>
      <c r="H177" s="10" t="s">
        <v>16</v>
      </c>
      <c r="I177" s="7" t="s">
        <v>3934</v>
      </c>
      <c r="J177" s="7" t="s">
        <v>1177</v>
      </c>
      <c r="K177" s="7" t="s">
        <v>3935</v>
      </c>
      <c r="L177" s="7" t="s">
        <v>3936</v>
      </c>
      <c r="M177" s="7" t="s">
        <v>3937</v>
      </c>
      <c r="N177" s="7" t="s">
        <v>3938</v>
      </c>
      <c r="O177" s="7" t="s">
        <v>3933</v>
      </c>
      <c r="P177" s="7"/>
      <c r="Q177" s="7" t="n">
        <v>22</v>
      </c>
    </row>
    <row r="178" customFormat="false" ht="73.5" hidden="false" customHeight="true" outlineLevel="0" collapsed="false">
      <c r="A178" s="7" t="n">
        <v>174</v>
      </c>
      <c r="B178" s="7" t="s">
        <v>29</v>
      </c>
      <c r="C178" s="7" t="s">
        <v>3217</v>
      </c>
      <c r="D178" s="7" t="s">
        <v>3898</v>
      </c>
      <c r="E178" s="7" t="s">
        <v>3927</v>
      </c>
      <c r="F178" s="7" t="n">
        <v>99</v>
      </c>
      <c r="G178" s="10" t="s">
        <v>16</v>
      </c>
      <c r="H178" s="10" t="s">
        <v>16</v>
      </c>
      <c r="I178" s="7" t="s">
        <v>3934</v>
      </c>
      <c r="J178" s="7" t="s">
        <v>1183</v>
      </c>
      <c r="K178" s="7" t="s">
        <v>3939</v>
      </c>
      <c r="L178" s="7" t="s">
        <v>3940</v>
      </c>
      <c r="M178" s="7" t="s">
        <v>3941</v>
      </c>
      <c r="N178" s="7" t="s">
        <v>3942</v>
      </c>
      <c r="O178" s="7" t="s">
        <v>3933</v>
      </c>
      <c r="P178" s="7"/>
      <c r="Q178" s="7" t="n">
        <v>22</v>
      </c>
    </row>
    <row r="179" customFormat="false" ht="73.5" hidden="false" customHeight="true" outlineLevel="0" collapsed="false">
      <c r="A179" s="7" t="n">
        <v>175</v>
      </c>
      <c r="B179" s="7" t="s">
        <v>29</v>
      </c>
      <c r="C179" s="7" t="s">
        <v>3217</v>
      </c>
      <c r="D179" s="7" t="s">
        <v>3898</v>
      </c>
      <c r="E179" s="7" t="s">
        <v>3927</v>
      </c>
      <c r="F179" s="7" t="n">
        <v>100</v>
      </c>
      <c r="G179" s="10" t="s">
        <v>16</v>
      </c>
      <c r="H179" s="10" t="s">
        <v>16</v>
      </c>
      <c r="I179" s="7" t="s">
        <v>3934</v>
      </c>
      <c r="J179" s="7" t="s">
        <v>1189</v>
      </c>
      <c r="K179" s="7" t="s">
        <v>3943</v>
      </c>
      <c r="L179" s="7" t="s">
        <v>3944</v>
      </c>
      <c r="M179" s="7" t="s">
        <v>3945</v>
      </c>
      <c r="N179" s="7" t="s">
        <v>3946</v>
      </c>
      <c r="O179" s="7" t="s">
        <v>3933</v>
      </c>
      <c r="P179" s="7"/>
      <c r="Q179" s="7" t="n">
        <v>23</v>
      </c>
    </row>
    <row r="180" customFormat="false" ht="73.5" hidden="false" customHeight="true" outlineLevel="0" collapsed="false">
      <c r="A180" s="7" t="n">
        <v>176</v>
      </c>
      <c r="B180" s="7" t="s">
        <v>29</v>
      </c>
      <c r="C180" s="7" t="s">
        <v>3217</v>
      </c>
      <c r="D180" s="7" t="s">
        <v>3898</v>
      </c>
      <c r="E180" s="7" t="s">
        <v>3927</v>
      </c>
      <c r="F180" s="7" t="n">
        <v>101</v>
      </c>
      <c r="G180" s="10" t="s">
        <v>16</v>
      </c>
      <c r="H180" s="10" t="s">
        <v>16</v>
      </c>
      <c r="I180" s="7" t="s">
        <v>3934</v>
      </c>
      <c r="J180" s="7" t="s">
        <v>1196</v>
      </c>
      <c r="K180" s="7" t="s">
        <v>3947</v>
      </c>
      <c r="L180" s="7" t="s">
        <v>3948</v>
      </c>
      <c r="M180" s="7" t="s">
        <v>3949</v>
      </c>
      <c r="N180" s="7" t="s">
        <v>3950</v>
      </c>
      <c r="O180" s="7" t="s">
        <v>3933</v>
      </c>
      <c r="P180" s="7"/>
      <c r="Q180" s="7" t="n">
        <v>23</v>
      </c>
    </row>
    <row r="181" customFormat="false" ht="73.5" hidden="false" customHeight="true" outlineLevel="0" collapsed="false">
      <c r="A181" s="7" t="n">
        <v>177</v>
      </c>
      <c r="B181" s="7" t="s">
        <v>29</v>
      </c>
      <c r="C181" s="7" t="s">
        <v>3217</v>
      </c>
      <c r="D181" s="7" t="s">
        <v>3898</v>
      </c>
      <c r="E181" s="7" t="s">
        <v>3927</v>
      </c>
      <c r="F181" s="7" t="n">
        <v>102</v>
      </c>
      <c r="G181" s="10" t="s">
        <v>16</v>
      </c>
      <c r="H181" s="10" t="s">
        <v>16</v>
      </c>
      <c r="I181" s="7" t="s">
        <v>3934</v>
      </c>
      <c r="J181" s="7" t="s">
        <v>1202</v>
      </c>
      <c r="K181" s="7" t="s">
        <v>3951</v>
      </c>
      <c r="L181" s="7" t="s">
        <v>3952</v>
      </c>
      <c r="M181" s="7" t="s">
        <v>3953</v>
      </c>
      <c r="N181" s="7" t="s">
        <v>3954</v>
      </c>
      <c r="O181" s="7" t="s">
        <v>3933</v>
      </c>
      <c r="P181" s="7"/>
      <c r="Q181" s="7" t="n">
        <v>23</v>
      </c>
    </row>
    <row r="182" customFormat="false" ht="174" hidden="false" customHeight="true" outlineLevel="0" collapsed="false">
      <c r="A182" s="7" t="n">
        <v>178</v>
      </c>
      <c r="B182" s="7" t="s">
        <v>29</v>
      </c>
      <c r="C182" s="7" t="s">
        <v>3217</v>
      </c>
      <c r="D182" s="7" t="s">
        <v>3898</v>
      </c>
      <c r="E182" s="7" t="s">
        <v>3955</v>
      </c>
      <c r="F182" s="7" t="n">
        <v>103</v>
      </c>
      <c r="G182" s="10" t="s">
        <v>16</v>
      </c>
      <c r="H182" s="10" t="s">
        <v>16</v>
      </c>
      <c r="I182" s="7" t="s">
        <v>3956</v>
      </c>
      <c r="J182" s="7" t="s">
        <v>1211</v>
      </c>
      <c r="K182" s="7" t="s">
        <v>3957</v>
      </c>
      <c r="L182" s="7" t="s">
        <v>3958</v>
      </c>
      <c r="M182" s="7" t="s">
        <v>3959</v>
      </c>
      <c r="N182" s="7" t="s">
        <v>3960</v>
      </c>
      <c r="O182" s="7" t="s">
        <v>3961</v>
      </c>
      <c r="P182" s="7"/>
      <c r="Q182" s="7" t="n">
        <v>24</v>
      </c>
    </row>
    <row r="183" customFormat="false" ht="73.5" hidden="false" customHeight="true" outlineLevel="0" collapsed="false">
      <c r="A183" s="7" t="n">
        <v>179</v>
      </c>
      <c r="B183" s="7" t="s">
        <v>29</v>
      </c>
      <c r="C183" s="7" t="s">
        <v>3217</v>
      </c>
      <c r="D183" s="7" t="s">
        <v>3898</v>
      </c>
      <c r="E183" s="7" t="s">
        <v>3955</v>
      </c>
      <c r="F183" s="7" t="n">
        <v>104</v>
      </c>
      <c r="G183" s="10" t="s">
        <v>16</v>
      </c>
      <c r="H183" s="10" t="s">
        <v>16</v>
      </c>
      <c r="I183" s="7" t="s">
        <v>3962</v>
      </c>
      <c r="J183" s="7" t="s">
        <v>1219</v>
      </c>
      <c r="K183" s="7" t="s">
        <v>3963</v>
      </c>
      <c r="L183" s="7" t="s">
        <v>3964</v>
      </c>
      <c r="M183" s="7" t="s">
        <v>3965</v>
      </c>
      <c r="N183" s="7" t="s">
        <v>3966</v>
      </c>
      <c r="O183" s="7" t="s">
        <v>3961</v>
      </c>
      <c r="P183" s="7"/>
      <c r="Q183" s="7" t="n">
        <v>24</v>
      </c>
    </row>
    <row r="184" customFormat="false" ht="73.5" hidden="false" customHeight="true" outlineLevel="0" collapsed="false">
      <c r="A184" s="7" t="n">
        <v>180</v>
      </c>
      <c r="B184" s="7" t="s">
        <v>29</v>
      </c>
      <c r="C184" s="7" t="s">
        <v>3217</v>
      </c>
      <c r="D184" s="7" t="s">
        <v>3898</v>
      </c>
      <c r="E184" s="7" t="s">
        <v>3955</v>
      </c>
      <c r="F184" s="7" t="n">
        <v>105</v>
      </c>
      <c r="G184" s="10" t="s">
        <v>16</v>
      </c>
      <c r="H184" s="10" t="s">
        <v>16</v>
      </c>
      <c r="I184" s="7" t="s">
        <v>3962</v>
      </c>
      <c r="J184" s="7" t="s">
        <v>1225</v>
      </c>
      <c r="K184" s="7" t="s">
        <v>3967</v>
      </c>
      <c r="L184" s="7" t="s">
        <v>3968</v>
      </c>
      <c r="M184" s="7" t="s">
        <v>3969</v>
      </c>
      <c r="N184" s="7" t="s">
        <v>3970</v>
      </c>
      <c r="O184" s="7" t="s">
        <v>3961</v>
      </c>
      <c r="P184" s="7"/>
      <c r="Q184" s="7" t="n">
        <v>24</v>
      </c>
    </row>
    <row r="185" customFormat="false" ht="73.5" hidden="false" customHeight="true" outlineLevel="0" collapsed="false">
      <c r="A185" s="7" t="n">
        <v>181</v>
      </c>
      <c r="B185" s="7" t="s">
        <v>29</v>
      </c>
      <c r="C185" s="7" t="s">
        <v>3217</v>
      </c>
      <c r="D185" s="7" t="s">
        <v>3898</v>
      </c>
      <c r="E185" s="7" t="s">
        <v>3955</v>
      </c>
      <c r="F185" s="7" t="n">
        <v>106</v>
      </c>
      <c r="G185" s="10" t="s">
        <v>16</v>
      </c>
      <c r="H185" s="10" t="s">
        <v>16</v>
      </c>
      <c r="I185" s="7" t="s">
        <v>3962</v>
      </c>
      <c r="J185" s="7" t="s">
        <v>1231</v>
      </c>
      <c r="K185" s="7" t="s">
        <v>3971</v>
      </c>
      <c r="L185" s="7" t="s">
        <v>3972</v>
      </c>
      <c r="M185" s="7" t="s">
        <v>3973</v>
      </c>
      <c r="N185" s="7" t="s">
        <v>3974</v>
      </c>
      <c r="O185" s="7" t="s">
        <v>3961</v>
      </c>
      <c r="P185" s="7"/>
      <c r="Q185" s="7" t="n">
        <v>25</v>
      </c>
    </row>
    <row r="186" customFormat="false" ht="73.5" hidden="false" customHeight="true" outlineLevel="0" collapsed="false">
      <c r="A186" s="7" t="n">
        <v>182</v>
      </c>
      <c r="B186" s="7" t="s">
        <v>29</v>
      </c>
      <c r="C186" s="7" t="s">
        <v>3217</v>
      </c>
      <c r="D186" s="7" t="s">
        <v>3898</v>
      </c>
      <c r="E186" s="7" t="s">
        <v>3955</v>
      </c>
      <c r="F186" s="7" t="n">
        <v>107</v>
      </c>
      <c r="G186" s="10" t="s">
        <v>16</v>
      </c>
      <c r="H186" s="10" t="s">
        <v>16</v>
      </c>
      <c r="I186" s="7" t="s">
        <v>3962</v>
      </c>
      <c r="J186" s="7" t="s">
        <v>1238</v>
      </c>
      <c r="K186" s="7" t="s">
        <v>3975</v>
      </c>
      <c r="L186" s="7" t="s">
        <v>3976</v>
      </c>
      <c r="M186" s="7" t="s">
        <v>3977</v>
      </c>
      <c r="N186" s="7" t="s">
        <v>3978</v>
      </c>
      <c r="O186" s="7" t="s">
        <v>3961</v>
      </c>
      <c r="P186" s="7"/>
      <c r="Q186" s="7" t="n">
        <v>25</v>
      </c>
    </row>
    <row r="187" customFormat="false" ht="73.5" hidden="false" customHeight="true" outlineLevel="0" collapsed="false">
      <c r="A187" s="7" t="n">
        <v>183</v>
      </c>
      <c r="B187" s="7" t="s">
        <v>29</v>
      </c>
      <c r="C187" s="7" t="s">
        <v>3217</v>
      </c>
      <c r="D187" s="7" t="s">
        <v>3898</v>
      </c>
      <c r="E187" s="7" t="s">
        <v>3955</v>
      </c>
      <c r="F187" s="7" t="n">
        <v>108</v>
      </c>
      <c r="G187" s="10" t="s">
        <v>16</v>
      </c>
      <c r="H187" s="10" t="s">
        <v>16</v>
      </c>
      <c r="I187" s="7" t="s">
        <v>3962</v>
      </c>
      <c r="J187" s="7" t="s">
        <v>1244</v>
      </c>
      <c r="K187" s="7" t="s">
        <v>3979</v>
      </c>
      <c r="L187" s="7" t="s">
        <v>3980</v>
      </c>
      <c r="M187" s="7" t="s">
        <v>3981</v>
      </c>
      <c r="N187" s="7" t="s">
        <v>3982</v>
      </c>
      <c r="O187" s="7" t="s">
        <v>3961</v>
      </c>
      <c r="P187" s="7"/>
      <c r="Q187" s="7" t="n">
        <v>25</v>
      </c>
    </row>
    <row r="188" customFormat="false" ht="135" hidden="false" customHeight="true" outlineLevel="0" collapsed="false">
      <c r="A188" s="7" t="n">
        <v>184</v>
      </c>
      <c r="B188" s="7" t="s">
        <v>29</v>
      </c>
      <c r="C188" s="7" t="s">
        <v>3217</v>
      </c>
      <c r="D188" s="7" t="s">
        <v>3898</v>
      </c>
      <c r="E188" s="7" t="s">
        <v>3983</v>
      </c>
      <c r="F188" s="7" t="n">
        <v>109</v>
      </c>
      <c r="G188" s="10" t="s">
        <v>16</v>
      </c>
      <c r="H188" s="10" t="s">
        <v>16</v>
      </c>
      <c r="I188" s="7" t="s">
        <v>3900</v>
      </c>
      <c r="J188" s="7" t="s">
        <v>1250</v>
      </c>
      <c r="K188" s="7" t="s">
        <v>3984</v>
      </c>
      <c r="L188" s="7" t="s">
        <v>3985</v>
      </c>
      <c r="M188" s="7" t="s">
        <v>3986</v>
      </c>
      <c r="N188" s="7" t="s">
        <v>3987</v>
      </c>
      <c r="O188" s="7" t="s">
        <v>3905</v>
      </c>
      <c r="P188" s="7"/>
      <c r="Q188" s="7" t="n">
        <v>26</v>
      </c>
    </row>
    <row r="189" customFormat="false" ht="73.5" hidden="false" customHeight="true" outlineLevel="0" collapsed="false">
      <c r="A189" s="7" t="n">
        <v>185</v>
      </c>
      <c r="B189" s="7" t="s">
        <v>29</v>
      </c>
      <c r="C189" s="7" t="s">
        <v>3217</v>
      </c>
      <c r="D189" s="7" t="s">
        <v>3898</v>
      </c>
      <c r="E189" s="7" t="s">
        <v>3983</v>
      </c>
      <c r="F189" s="7" t="n">
        <v>110</v>
      </c>
      <c r="G189" s="10" t="s">
        <v>16</v>
      </c>
      <c r="H189" s="10" t="s">
        <v>16</v>
      </c>
      <c r="I189" s="7" t="s">
        <v>3928</v>
      </c>
      <c r="J189" s="7" t="s">
        <v>1257</v>
      </c>
      <c r="K189" s="7" t="s">
        <v>3988</v>
      </c>
      <c r="L189" s="7" t="s">
        <v>3989</v>
      </c>
      <c r="M189" s="7" t="s">
        <v>3990</v>
      </c>
      <c r="N189" s="7" t="s">
        <v>3991</v>
      </c>
      <c r="O189" s="7" t="s">
        <v>3933</v>
      </c>
      <c r="P189" s="7"/>
      <c r="Q189" s="7" t="n">
        <v>26</v>
      </c>
    </row>
    <row r="190" customFormat="false" ht="174" hidden="false" customHeight="true" outlineLevel="0" collapsed="false">
      <c r="A190" s="7" t="n">
        <v>186</v>
      </c>
      <c r="B190" s="7" t="s">
        <v>29</v>
      </c>
      <c r="C190" s="7" t="s">
        <v>3217</v>
      </c>
      <c r="D190" s="7" t="s">
        <v>3898</v>
      </c>
      <c r="E190" s="7" t="s">
        <v>3983</v>
      </c>
      <c r="F190" s="7" t="n">
        <v>111</v>
      </c>
      <c r="G190" s="10" t="s">
        <v>16</v>
      </c>
      <c r="H190" s="10" t="s">
        <v>16</v>
      </c>
      <c r="I190" s="7" t="s">
        <v>3956</v>
      </c>
      <c r="J190" s="7" t="s">
        <v>1264</v>
      </c>
      <c r="K190" s="7" t="s">
        <v>3992</v>
      </c>
      <c r="L190" s="7" t="s">
        <v>3993</v>
      </c>
      <c r="M190" s="7" t="s">
        <v>3994</v>
      </c>
      <c r="N190" s="7" t="s">
        <v>3995</v>
      </c>
      <c r="O190" s="7" t="s">
        <v>3961</v>
      </c>
      <c r="P190" s="7"/>
      <c r="Q190" s="7" t="n">
        <v>26</v>
      </c>
    </row>
    <row r="191" customFormat="false" ht="73.5" hidden="false" customHeight="true" outlineLevel="0" collapsed="false">
      <c r="A191" s="7" t="n">
        <v>187</v>
      </c>
      <c r="B191" s="7" t="s">
        <v>22</v>
      </c>
      <c r="C191" s="7" t="s">
        <v>3996</v>
      </c>
      <c r="D191" s="7" t="s">
        <v>3997</v>
      </c>
      <c r="E191" s="7" t="s">
        <v>3998</v>
      </c>
      <c r="F191" s="7" t="n">
        <v>48</v>
      </c>
      <c r="G191" s="14" t="s">
        <v>18</v>
      </c>
      <c r="H191" s="14" t="s">
        <v>18</v>
      </c>
      <c r="I191" s="7"/>
      <c r="J191" s="7" t="s">
        <v>1271</v>
      </c>
      <c r="K191" s="7" t="s">
        <v>3999</v>
      </c>
      <c r="L191" s="7" t="s">
        <v>4000</v>
      </c>
      <c r="M191" s="7" t="s">
        <v>4001</v>
      </c>
      <c r="N191" s="7" t="s">
        <v>4002</v>
      </c>
      <c r="O191" s="7"/>
      <c r="P191" s="7"/>
      <c r="Q191" s="7" t="n">
        <v>10</v>
      </c>
    </row>
    <row r="192" customFormat="false" ht="73.5" hidden="false" customHeight="true" outlineLevel="0" collapsed="false">
      <c r="A192" s="7" t="n">
        <v>188</v>
      </c>
      <c r="B192" s="7" t="s">
        <v>19</v>
      </c>
      <c r="C192" s="7" t="s">
        <v>4003</v>
      </c>
      <c r="D192" s="7" t="s">
        <v>4004</v>
      </c>
      <c r="E192" s="7" t="s">
        <v>4005</v>
      </c>
      <c r="F192" s="7" t="n">
        <v>160</v>
      </c>
      <c r="G192" s="15" t="s">
        <v>20</v>
      </c>
      <c r="H192" s="15" t="s">
        <v>28</v>
      </c>
      <c r="I192" s="7"/>
      <c r="J192" s="7" t="s">
        <v>1278</v>
      </c>
      <c r="K192" s="7" t="s">
        <v>4006</v>
      </c>
      <c r="L192" s="7" t="s">
        <v>4007</v>
      </c>
      <c r="M192" s="7" t="s">
        <v>4008</v>
      </c>
      <c r="N192" s="7" t="s">
        <v>4009</v>
      </c>
      <c r="O192" s="7"/>
      <c r="P192" s="7"/>
      <c r="Q192" s="7" t="n">
        <v>36</v>
      </c>
    </row>
    <row r="193" customFormat="false" ht="73.5" hidden="false" customHeight="true" outlineLevel="0" collapsed="false">
      <c r="A193" s="7" t="n">
        <v>189</v>
      </c>
      <c r="B193" s="7" t="s">
        <v>31</v>
      </c>
      <c r="C193" s="7" t="s">
        <v>4003</v>
      </c>
      <c r="D193" s="7" t="s">
        <v>4010</v>
      </c>
      <c r="E193" s="7" t="s">
        <v>3998</v>
      </c>
      <c r="F193" s="7" t="n">
        <v>140</v>
      </c>
      <c r="G193" s="14" t="s">
        <v>18</v>
      </c>
      <c r="H193" s="14" t="s">
        <v>18</v>
      </c>
      <c r="I193" s="7"/>
      <c r="J193" s="7" t="s">
        <v>1285</v>
      </c>
      <c r="K193" s="7" t="s">
        <v>4011</v>
      </c>
      <c r="L193" s="7" t="s">
        <v>4012</v>
      </c>
      <c r="M193" s="7" t="s">
        <v>4013</v>
      </c>
      <c r="N193" s="7" t="s">
        <v>4014</v>
      </c>
      <c r="O193" s="7"/>
      <c r="P193" s="7"/>
      <c r="Q193" s="7" t="n">
        <v>23</v>
      </c>
    </row>
    <row r="194" customFormat="false" ht="73.5" hidden="false" customHeight="true" outlineLevel="0" collapsed="false">
      <c r="A194" s="7" t="n">
        <v>190</v>
      </c>
      <c r="B194" s="7" t="s">
        <v>22</v>
      </c>
      <c r="C194" s="7" t="s">
        <v>3996</v>
      </c>
      <c r="D194" s="7" t="s">
        <v>3997</v>
      </c>
      <c r="E194" s="7" t="s">
        <v>3998</v>
      </c>
      <c r="F194" s="7" t="n">
        <v>112</v>
      </c>
      <c r="G194" s="14" t="s">
        <v>18</v>
      </c>
      <c r="H194" s="14" t="s">
        <v>18</v>
      </c>
      <c r="I194" s="7"/>
      <c r="J194" s="7" t="s">
        <v>1292</v>
      </c>
      <c r="K194" s="7" t="s">
        <v>4015</v>
      </c>
      <c r="L194" s="7" t="s">
        <v>4016</v>
      </c>
      <c r="M194" s="7" t="s">
        <v>4017</v>
      </c>
      <c r="N194" s="7" t="s">
        <v>4018</v>
      </c>
      <c r="O194" s="7"/>
      <c r="P194" s="7"/>
      <c r="Q194" s="7" t="n">
        <v>21</v>
      </c>
    </row>
    <row r="195" customFormat="false" ht="73.5" hidden="false" customHeight="true" outlineLevel="0" collapsed="false">
      <c r="A195" s="7" t="n">
        <v>191</v>
      </c>
      <c r="B195" s="7" t="s">
        <v>25</v>
      </c>
      <c r="C195" s="7" t="s">
        <v>4019</v>
      </c>
      <c r="D195" s="7" t="s">
        <v>4020</v>
      </c>
      <c r="E195" s="7" t="s">
        <v>4005</v>
      </c>
      <c r="F195" s="7" t="n">
        <v>110</v>
      </c>
      <c r="G195" s="15" t="s">
        <v>20</v>
      </c>
      <c r="H195" s="15" t="s">
        <v>28</v>
      </c>
      <c r="I195" s="7"/>
      <c r="J195" s="7" t="s">
        <v>1299</v>
      </c>
      <c r="K195" s="7" t="s">
        <v>4021</v>
      </c>
      <c r="L195" s="7" t="s">
        <v>4022</v>
      </c>
      <c r="M195" s="7" t="s">
        <v>4023</v>
      </c>
      <c r="N195" s="7" t="s">
        <v>4024</v>
      </c>
      <c r="O195" s="7"/>
      <c r="P195" s="7"/>
      <c r="Q195" s="7" t="n">
        <v>26</v>
      </c>
    </row>
    <row r="196" customFormat="false" ht="73.5" hidden="false" customHeight="true" outlineLevel="0" collapsed="false">
      <c r="A196" s="7" t="n">
        <v>192</v>
      </c>
      <c r="B196" s="7" t="s">
        <v>29</v>
      </c>
      <c r="C196" s="7" t="s">
        <v>3217</v>
      </c>
      <c r="D196" s="7" t="s">
        <v>3898</v>
      </c>
      <c r="E196" s="7" t="s">
        <v>4025</v>
      </c>
      <c r="F196" s="7" t="n">
        <v>75</v>
      </c>
      <c r="G196" s="15" t="s">
        <v>20</v>
      </c>
      <c r="H196" s="15" t="s">
        <v>33</v>
      </c>
      <c r="I196" s="7"/>
      <c r="J196" s="7" t="s">
        <v>1306</v>
      </c>
      <c r="K196" s="7" t="s">
        <v>4026</v>
      </c>
      <c r="L196" s="7" t="s">
        <v>4027</v>
      </c>
      <c r="M196" s="7" t="s">
        <v>4028</v>
      </c>
      <c r="N196" s="7" t="s">
        <v>4029</v>
      </c>
      <c r="O196" s="7"/>
      <c r="P196" s="7"/>
      <c r="Q196" s="7" t="n">
        <v>16</v>
      </c>
    </row>
    <row r="197" customFormat="false" ht="121.5" hidden="false" customHeight="true" outlineLevel="0" collapsed="false">
      <c r="A197" s="7" t="n">
        <v>193</v>
      </c>
      <c r="B197" s="7" t="s">
        <v>15</v>
      </c>
      <c r="C197" s="7" t="s">
        <v>3996</v>
      </c>
      <c r="D197" s="7" t="s">
        <v>4030</v>
      </c>
      <c r="E197" s="7" t="s">
        <v>4031</v>
      </c>
      <c r="F197" s="7" t="n">
        <v>126</v>
      </c>
      <c r="G197" s="15" t="s">
        <v>20</v>
      </c>
      <c r="H197" s="15" t="s">
        <v>32</v>
      </c>
      <c r="I197" s="7" t="s">
        <v>4032</v>
      </c>
      <c r="J197" s="7" t="s">
        <v>1315</v>
      </c>
      <c r="K197" s="7" t="s">
        <v>4033</v>
      </c>
      <c r="L197" s="7" t="s">
        <v>4034</v>
      </c>
      <c r="M197" s="7" t="s">
        <v>4035</v>
      </c>
      <c r="N197" s="7" t="s">
        <v>4036</v>
      </c>
      <c r="O197" s="7" t="s">
        <v>4037</v>
      </c>
      <c r="P197" s="7"/>
      <c r="Q197" s="7" t="n">
        <v>33</v>
      </c>
    </row>
    <row r="198" customFormat="false" ht="73.5" hidden="false" customHeight="true" outlineLevel="0" collapsed="false">
      <c r="A198" s="7" t="n">
        <v>194</v>
      </c>
      <c r="B198" s="7" t="s">
        <v>23</v>
      </c>
      <c r="C198" s="7" t="s">
        <v>3217</v>
      </c>
      <c r="D198" s="7" t="s">
        <v>4038</v>
      </c>
      <c r="E198" s="7" t="s">
        <v>4039</v>
      </c>
      <c r="F198" s="7" t="n">
        <v>56</v>
      </c>
      <c r="G198" s="14" t="s">
        <v>18</v>
      </c>
      <c r="H198" s="14" t="s">
        <v>18</v>
      </c>
      <c r="I198" s="7"/>
      <c r="J198" s="7" t="s">
        <v>1322</v>
      </c>
      <c r="K198" s="7" t="s">
        <v>4040</v>
      </c>
      <c r="L198" s="7" t="s">
        <v>4041</v>
      </c>
      <c r="M198" s="7" t="s">
        <v>4042</v>
      </c>
      <c r="N198" s="7" t="s">
        <v>4043</v>
      </c>
      <c r="O198" s="7"/>
      <c r="P198" s="7"/>
      <c r="Q198" s="7" t="n">
        <v>18</v>
      </c>
    </row>
    <row r="199" customFormat="false" ht="73.5" hidden="false" customHeight="true" outlineLevel="0" collapsed="false">
      <c r="A199" s="7" t="n">
        <v>195</v>
      </c>
      <c r="B199" s="7" t="s">
        <v>17</v>
      </c>
      <c r="C199" s="7" t="s">
        <v>4044</v>
      </c>
      <c r="D199" s="7" t="s">
        <v>4045</v>
      </c>
      <c r="E199" s="7" t="s">
        <v>3998</v>
      </c>
      <c r="F199" s="7" t="n">
        <v>93</v>
      </c>
      <c r="G199" s="14" t="s">
        <v>18</v>
      </c>
      <c r="H199" s="14" t="s">
        <v>18</v>
      </c>
      <c r="I199" s="7"/>
      <c r="J199" s="7" t="s">
        <v>1329</v>
      </c>
      <c r="K199" s="7" t="s">
        <v>4046</v>
      </c>
      <c r="L199" s="7" t="s">
        <v>4047</v>
      </c>
      <c r="M199" s="7" t="s">
        <v>4048</v>
      </c>
      <c r="N199" s="7" t="s">
        <v>4049</v>
      </c>
      <c r="O199" s="7"/>
      <c r="P199" s="7"/>
      <c r="Q199" s="7" t="n">
        <v>18</v>
      </c>
    </row>
    <row r="200" customFormat="false" ht="73.5" hidden="false" customHeight="true" outlineLevel="0" collapsed="false">
      <c r="A200" s="7" t="n">
        <v>196</v>
      </c>
      <c r="B200" s="7" t="s">
        <v>22</v>
      </c>
      <c r="C200" s="7" t="s">
        <v>3996</v>
      </c>
      <c r="D200" s="7" t="s">
        <v>3997</v>
      </c>
      <c r="E200" s="7" t="s">
        <v>3998</v>
      </c>
      <c r="F200" s="7" t="n">
        <v>135</v>
      </c>
      <c r="G200" s="14" t="s">
        <v>18</v>
      </c>
      <c r="H200" s="14" t="s">
        <v>18</v>
      </c>
      <c r="I200" s="7"/>
      <c r="J200" s="7" t="s">
        <v>1335</v>
      </c>
      <c r="K200" s="7" t="s">
        <v>4050</v>
      </c>
      <c r="L200" s="7" t="s">
        <v>4051</v>
      </c>
      <c r="M200" s="7" t="s">
        <v>4052</v>
      </c>
      <c r="N200" s="7" t="s">
        <v>4053</v>
      </c>
      <c r="O200" s="7"/>
      <c r="P200" s="7"/>
      <c r="Q200" s="7" t="n">
        <v>24</v>
      </c>
    </row>
    <row r="201" customFormat="false" ht="73.5" hidden="false" customHeight="true" outlineLevel="0" collapsed="false">
      <c r="A201" s="7" t="n">
        <v>197</v>
      </c>
      <c r="B201" s="7" t="s">
        <v>25</v>
      </c>
      <c r="C201" s="7" t="s">
        <v>4019</v>
      </c>
      <c r="D201" s="7" t="s">
        <v>4020</v>
      </c>
      <c r="E201" s="7" t="s">
        <v>4005</v>
      </c>
      <c r="F201" s="7" t="n">
        <v>103</v>
      </c>
      <c r="G201" s="15" t="s">
        <v>20</v>
      </c>
      <c r="H201" s="15" t="s">
        <v>28</v>
      </c>
      <c r="I201" s="7"/>
      <c r="J201" s="7" t="s">
        <v>1342</v>
      </c>
      <c r="K201" s="7" t="s">
        <v>4054</v>
      </c>
      <c r="L201" s="7" t="s">
        <v>4055</v>
      </c>
      <c r="M201" s="7" t="s">
        <v>4056</v>
      </c>
      <c r="N201" s="7" t="s">
        <v>4057</v>
      </c>
      <c r="O201" s="7"/>
      <c r="P201" s="7"/>
      <c r="Q201" s="7" t="n">
        <v>24</v>
      </c>
    </row>
    <row r="202" customFormat="false" ht="73.5" hidden="false" customHeight="true" outlineLevel="0" collapsed="false">
      <c r="A202" s="7" t="n">
        <v>198</v>
      </c>
      <c r="B202" s="7" t="s">
        <v>21</v>
      </c>
      <c r="C202" s="7" t="s">
        <v>4058</v>
      </c>
      <c r="D202" s="7" t="s">
        <v>4059</v>
      </c>
      <c r="E202" s="7" t="s">
        <v>4005</v>
      </c>
      <c r="F202" s="7" t="n">
        <v>102</v>
      </c>
      <c r="G202" s="15" t="s">
        <v>20</v>
      </c>
      <c r="H202" s="15" t="s">
        <v>28</v>
      </c>
      <c r="I202" s="7"/>
      <c r="J202" s="7" t="s">
        <v>1348</v>
      </c>
      <c r="K202" s="7" t="s">
        <v>4060</v>
      </c>
      <c r="L202" s="7" t="s">
        <v>4061</v>
      </c>
      <c r="M202" s="7" t="s">
        <v>4062</v>
      </c>
      <c r="N202" s="7" t="s">
        <v>4063</v>
      </c>
      <c r="O202" s="7"/>
      <c r="P202" s="7"/>
      <c r="Q202" s="7" t="n">
        <v>18</v>
      </c>
    </row>
    <row r="203" customFormat="false" ht="213" hidden="false" customHeight="true" outlineLevel="0" collapsed="false">
      <c r="A203" s="7" t="n">
        <v>199</v>
      </c>
      <c r="B203" s="7" t="s">
        <v>15</v>
      </c>
      <c r="C203" s="7" t="s">
        <v>3996</v>
      </c>
      <c r="D203" s="7" t="s">
        <v>4030</v>
      </c>
      <c r="E203" s="7" t="s">
        <v>4031</v>
      </c>
      <c r="F203" s="7" t="n">
        <v>134</v>
      </c>
      <c r="G203" s="15" t="s">
        <v>20</v>
      </c>
      <c r="H203" s="15" t="s">
        <v>32</v>
      </c>
      <c r="I203" s="7" t="s">
        <v>4064</v>
      </c>
      <c r="J203" s="7" t="s">
        <v>1357</v>
      </c>
      <c r="K203" s="7" t="s">
        <v>4065</v>
      </c>
      <c r="L203" s="7" t="s">
        <v>4066</v>
      </c>
      <c r="M203" s="7" t="s">
        <v>4067</v>
      </c>
      <c r="N203" s="7" t="s">
        <v>4068</v>
      </c>
      <c r="O203" s="7" t="s">
        <v>4069</v>
      </c>
      <c r="P203" s="7"/>
      <c r="Q203" s="7" t="n">
        <v>36</v>
      </c>
    </row>
    <row r="204" customFormat="false" ht="73.5" hidden="false" customHeight="true" outlineLevel="0" collapsed="false">
      <c r="A204" s="7" t="n">
        <v>200</v>
      </c>
      <c r="B204" s="7" t="s">
        <v>27</v>
      </c>
      <c r="C204" s="7" t="s">
        <v>3996</v>
      </c>
      <c r="D204" s="7" t="s">
        <v>4070</v>
      </c>
      <c r="E204" s="7" t="s">
        <v>4071</v>
      </c>
      <c r="F204" s="7" t="n">
        <v>109</v>
      </c>
      <c r="G204" s="15" t="s">
        <v>20</v>
      </c>
      <c r="H204" s="15" t="s">
        <v>28</v>
      </c>
      <c r="I204" s="7"/>
      <c r="J204" s="7" t="s">
        <v>1364</v>
      </c>
      <c r="K204" s="7" t="s">
        <v>4072</v>
      </c>
      <c r="L204" s="7" t="s">
        <v>4073</v>
      </c>
      <c r="M204" s="7" t="s">
        <v>4074</v>
      </c>
      <c r="N204" s="7" t="s">
        <v>4075</v>
      </c>
      <c r="O204" s="7"/>
      <c r="P204" s="7"/>
      <c r="Q204" s="7" t="n">
        <v>39</v>
      </c>
    </row>
    <row r="205" customFormat="false" ht="73.5" hidden="false" customHeight="true" outlineLevel="0" collapsed="false">
      <c r="A205" s="7" t="n">
        <v>201</v>
      </c>
      <c r="B205" s="7" t="s">
        <v>31</v>
      </c>
      <c r="C205" s="7" t="s">
        <v>4003</v>
      </c>
      <c r="D205" s="7" t="s">
        <v>4010</v>
      </c>
      <c r="E205" s="7" t="s">
        <v>3998</v>
      </c>
      <c r="F205" s="7" t="n">
        <v>16</v>
      </c>
      <c r="G205" s="14" t="s">
        <v>18</v>
      </c>
      <c r="H205" s="14" t="s">
        <v>18</v>
      </c>
      <c r="I205" s="7"/>
      <c r="J205" s="7" t="s">
        <v>1371</v>
      </c>
      <c r="K205" s="7" t="s">
        <v>4076</v>
      </c>
      <c r="L205" s="7" t="s">
        <v>4077</v>
      </c>
      <c r="M205" s="7" t="s">
        <v>4078</v>
      </c>
      <c r="N205" s="7" t="s">
        <v>4079</v>
      </c>
      <c r="O205" s="7"/>
      <c r="P205" s="7"/>
      <c r="Q205" s="7" t="n">
        <v>3</v>
      </c>
    </row>
    <row r="206" customFormat="false" ht="73.5" hidden="false" customHeight="true" outlineLevel="0" collapsed="false">
      <c r="A206" s="7" t="n">
        <v>202</v>
      </c>
      <c r="B206" s="7" t="s">
        <v>23</v>
      </c>
      <c r="C206" s="7" t="s">
        <v>3217</v>
      </c>
      <c r="D206" s="7" t="s">
        <v>4038</v>
      </c>
      <c r="E206" s="7" t="s">
        <v>4039</v>
      </c>
      <c r="F206" s="7" t="n">
        <v>54</v>
      </c>
      <c r="G206" s="14" t="s">
        <v>18</v>
      </c>
      <c r="H206" s="14" t="s">
        <v>18</v>
      </c>
      <c r="I206" s="7"/>
      <c r="J206" s="7" t="s">
        <v>1378</v>
      </c>
      <c r="K206" s="7" t="s">
        <v>4080</v>
      </c>
      <c r="L206" s="7" t="s">
        <v>4081</v>
      </c>
      <c r="M206" s="7" t="s">
        <v>4082</v>
      </c>
      <c r="N206" s="7" t="s">
        <v>4083</v>
      </c>
      <c r="O206" s="7"/>
      <c r="P206" s="7"/>
      <c r="Q206" s="7" t="n">
        <v>17</v>
      </c>
    </row>
    <row r="207" customFormat="false" ht="73.5" hidden="false" customHeight="true" outlineLevel="0" collapsed="false">
      <c r="A207" s="7" t="n">
        <v>203</v>
      </c>
      <c r="B207" s="7" t="s">
        <v>17</v>
      </c>
      <c r="C207" s="7" t="s">
        <v>4058</v>
      </c>
      <c r="D207" s="7" t="s">
        <v>4084</v>
      </c>
      <c r="E207" s="7" t="s">
        <v>4005</v>
      </c>
      <c r="F207" s="7" t="n">
        <v>109</v>
      </c>
      <c r="G207" s="15" t="s">
        <v>20</v>
      </c>
      <c r="H207" s="15" t="s">
        <v>28</v>
      </c>
      <c r="I207" s="7"/>
      <c r="J207" s="7" t="s">
        <v>1385</v>
      </c>
      <c r="K207" s="7" t="s">
        <v>4085</v>
      </c>
      <c r="L207" s="7" t="s">
        <v>4086</v>
      </c>
      <c r="M207" s="7" t="s">
        <v>4087</v>
      </c>
      <c r="N207" s="7" t="s">
        <v>4088</v>
      </c>
      <c r="O207" s="7"/>
      <c r="P207" s="7"/>
      <c r="Q207" s="7" t="n">
        <v>39</v>
      </c>
    </row>
    <row r="208" customFormat="false" ht="73.5" hidden="false" customHeight="true" outlineLevel="0" collapsed="false">
      <c r="A208" s="7" t="n">
        <v>204</v>
      </c>
      <c r="B208" s="7" t="s">
        <v>23</v>
      </c>
      <c r="C208" s="7" t="s">
        <v>3217</v>
      </c>
      <c r="D208" s="7" t="s">
        <v>4038</v>
      </c>
      <c r="E208" s="7" t="s">
        <v>3998</v>
      </c>
      <c r="F208" s="7" t="n">
        <v>23</v>
      </c>
      <c r="G208" s="14" t="s">
        <v>18</v>
      </c>
      <c r="H208" s="14" t="s">
        <v>18</v>
      </c>
      <c r="I208" s="7"/>
      <c r="J208" s="7" t="s">
        <v>1391</v>
      </c>
      <c r="K208" s="7" t="s">
        <v>4089</v>
      </c>
      <c r="L208" s="7" t="s">
        <v>4090</v>
      </c>
      <c r="M208" s="7" t="s">
        <v>4091</v>
      </c>
      <c r="N208" s="7" t="s">
        <v>4092</v>
      </c>
      <c r="O208" s="7"/>
      <c r="P208" s="7"/>
      <c r="Q208" s="7" t="n">
        <v>9</v>
      </c>
    </row>
    <row r="209" customFormat="false" ht="73.5" hidden="false" customHeight="true" outlineLevel="0" collapsed="false">
      <c r="A209" s="7" t="n">
        <v>205</v>
      </c>
      <c r="B209" s="7" t="s">
        <v>23</v>
      </c>
      <c r="C209" s="7" t="s">
        <v>3217</v>
      </c>
      <c r="D209" s="7" t="s">
        <v>4038</v>
      </c>
      <c r="E209" s="7" t="s">
        <v>3998</v>
      </c>
      <c r="F209" s="7" t="n">
        <v>6</v>
      </c>
      <c r="G209" s="14" t="s">
        <v>18</v>
      </c>
      <c r="H209" s="14" t="s">
        <v>18</v>
      </c>
      <c r="I209" s="7"/>
      <c r="J209" s="7" t="s">
        <v>1398</v>
      </c>
      <c r="K209" s="7" t="s">
        <v>4093</v>
      </c>
      <c r="L209" s="7" t="s">
        <v>4094</v>
      </c>
      <c r="M209" s="7" t="s">
        <v>4095</v>
      </c>
      <c r="N209" s="7" t="s">
        <v>3360</v>
      </c>
      <c r="O209" s="7"/>
      <c r="P209" s="7"/>
      <c r="Q209" s="7" t="n">
        <v>4</v>
      </c>
    </row>
    <row r="210" customFormat="false" ht="73.5" hidden="false" customHeight="true" outlineLevel="0" collapsed="false">
      <c r="A210" s="7" t="n">
        <v>206</v>
      </c>
      <c r="B210" s="7" t="s">
        <v>21</v>
      </c>
      <c r="C210" s="7" t="s">
        <v>4058</v>
      </c>
      <c r="D210" s="7" t="s">
        <v>4059</v>
      </c>
      <c r="E210" s="7" t="s">
        <v>3998</v>
      </c>
      <c r="F210" s="7" t="n">
        <v>53</v>
      </c>
      <c r="G210" s="14" t="s">
        <v>18</v>
      </c>
      <c r="H210" s="14" t="s">
        <v>18</v>
      </c>
      <c r="I210" s="7"/>
      <c r="J210" s="7" t="s">
        <v>1404</v>
      </c>
      <c r="K210" s="7" t="s">
        <v>4096</v>
      </c>
      <c r="L210" s="7" t="s">
        <v>4097</v>
      </c>
      <c r="M210" s="7" t="s">
        <v>4098</v>
      </c>
      <c r="N210" s="7" t="s">
        <v>4099</v>
      </c>
      <c r="O210" s="7"/>
      <c r="P210" s="7"/>
      <c r="Q210" s="7" t="n">
        <v>10</v>
      </c>
    </row>
    <row r="211" customFormat="false" ht="73.5" hidden="false" customHeight="true" outlineLevel="0" collapsed="false">
      <c r="A211" s="7" t="n">
        <v>207</v>
      </c>
      <c r="B211" s="7" t="s">
        <v>31</v>
      </c>
      <c r="C211" s="7" t="s">
        <v>4003</v>
      </c>
      <c r="D211" s="7" t="s">
        <v>4010</v>
      </c>
      <c r="E211" s="7" t="s">
        <v>3998</v>
      </c>
      <c r="F211" s="7" t="n">
        <v>99</v>
      </c>
      <c r="G211" s="14" t="s">
        <v>18</v>
      </c>
      <c r="H211" s="14" t="s">
        <v>18</v>
      </c>
      <c r="I211" s="7"/>
      <c r="J211" s="7" t="s">
        <v>1410</v>
      </c>
      <c r="K211" s="7" t="s">
        <v>4100</v>
      </c>
      <c r="L211" s="7" t="s">
        <v>4101</v>
      </c>
      <c r="M211" s="7" t="s">
        <v>4102</v>
      </c>
      <c r="N211" s="7" t="s">
        <v>4103</v>
      </c>
      <c r="O211" s="7"/>
      <c r="P211" s="7"/>
      <c r="Q211" s="7" t="n">
        <v>17</v>
      </c>
    </row>
    <row r="212" customFormat="false" ht="73.5" hidden="false" customHeight="true" outlineLevel="0" collapsed="false">
      <c r="A212" s="7" t="n">
        <v>208</v>
      </c>
      <c r="B212" s="7" t="s">
        <v>27</v>
      </c>
      <c r="C212" s="7" t="s">
        <v>3996</v>
      </c>
      <c r="D212" s="7" t="s">
        <v>4070</v>
      </c>
      <c r="E212" s="7" t="s">
        <v>4071</v>
      </c>
      <c r="F212" s="7" t="n">
        <v>103</v>
      </c>
      <c r="G212" s="15" t="s">
        <v>20</v>
      </c>
      <c r="H212" s="15" t="s">
        <v>28</v>
      </c>
      <c r="I212" s="7"/>
      <c r="J212" s="7" t="s">
        <v>1416</v>
      </c>
      <c r="K212" s="7" t="s">
        <v>4104</v>
      </c>
      <c r="L212" s="7" t="s">
        <v>4105</v>
      </c>
      <c r="M212" s="7" t="s">
        <v>4106</v>
      </c>
      <c r="N212" s="7" t="s">
        <v>4107</v>
      </c>
      <c r="O212" s="7"/>
      <c r="P212" s="7"/>
      <c r="Q212" s="7" t="n">
        <v>37</v>
      </c>
    </row>
    <row r="213" customFormat="false" ht="73.5" hidden="false" customHeight="true" outlineLevel="0" collapsed="false">
      <c r="A213" s="7" t="n">
        <v>209</v>
      </c>
      <c r="B213" s="7" t="s">
        <v>21</v>
      </c>
      <c r="C213" s="7" t="s">
        <v>3217</v>
      </c>
      <c r="D213" s="7" t="s">
        <v>4108</v>
      </c>
      <c r="E213" s="7" t="s">
        <v>3998</v>
      </c>
      <c r="F213" s="7" t="n">
        <v>17</v>
      </c>
      <c r="G213" s="14" t="s">
        <v>18</v>
      </c>
      <c r="H213" s="14" t="s">
        <v>18</v>
      </c>
      <c r="I213" s="7"/>
      <c r="J213" s="7" t="s">
        <v>1423</v>
      </c>
      <c r="K213" s="7" t="s">
        <v>4109</v>
      </c>
      <c r="L213" s="7" t="s">
        <v>4110</v>
      </c>
      <c r="M213" s="7" t="s">
        <v>4111</v>
      </c>
      <c r="N213" s="7" t="s">
        <v>4112</v>
      </c>
      <c r="O213" s="7"/>
      <c r="P213" s="7"/>
      <c r="Q213" s="7" t="n">
        <v>4</v>
      </c>
    </row>
    <row r="214" customFormat="false" ht="73.5" hidden="false" customHeight="true" outlineLevel="0" collapsed="false">
      <c r="A214" s="7" t="n">
        <v>210</v>
      </c>
      <c r="B214" s="7" t="s">
        <v>23</v>
      </c>
      <c r="C214" s="7" t="s">
        <v>3217</v>
      </c>
      <c r="D214" s="7" t="s">
        <v>4038</v>
      </c>
      <c r="E214" s="7" t="s">
        <v>4039</v>
      </c>
      <c r="F214" s="7" t="n">
        <v>77</v>
      </c>
      <c r="G214" s="14" t="s">
        <v>18</v>
      </c>
      <c r="H214" s="14" t="s">
        <v>18</v>
      </c>
      <c r="I214" s="7"/>
      <c r="J214" s="7" t="s">
        <v>1429</v>
      </c>
      <c r="K214" s="7" t="s">
        <v>4113</v>
      </c>
      <c r="L214" s="7" t="s">
        <v>4114</v>
      </c>
      <c r="M214" s="7" t="s">
        <v>4115</v>
      </c>
      <c r="N214" s="7" t="s">
        <v>4116</v>
      </c>
      <c r="O214" s="7"/>
      <c r="P214" s="7"/>
      <c r="Q214" s="7" t="n">
        <v>22</v>
      </c>
    </row>
    <row r="215" customFormat="false" ht="73.5" hidden="false" customHeight="true" outlineLevel="0" collapsed="false">
      <c r="A215" s="7" t="n">
        <v>211</v>
      </c>
      <c r="B215" s="7" t="s">
        <v>25</v>
      </c>
      <c r="C215" s="7" t="s">
        <v>4019</v>
      </c>
      <c r="D215" s="7" t="s">
        <v>4020</v>
      </c>
      <c r="E215" s="7" t="s">
        <v>4005</v>
      </c>
      <c r="F215" s="7" t="n">
        <v>108</v>
      </c>
      <c r="G215" s="15" t="s">
        <v>20</v>
      </c>
      <c r="H215" s="15" t="s">
        <v>28</v>
      </c>
      <c r="I215" s="7"/>
      <c r="J215" s="7" t="s">
        <v>1436</v>
      </c>
      <c r="K215" s="7" t="s">
        <v>4117</v>
      </c>
      <c r="L215" s="7" t="s">
        <v>4118</v>
      </c>
      <c r="M215" s="7" t="s">
        <v>4119</v>
      </c>
      <c r="N215" s="7" t="s">
        <v>4120</v>
      </c>
      <c r="O215" s="7"/>
      <c r="P215" s="7"/>
      <c r="Q215" s="7" t="n">
        <v>25</v>
      </c>
    </row>
    <row r="216" customFormat="false" ht="73.5" hidden="false" customHeight="true" outlineLevel="0" collapsed="false">
      <c r="A216" s="7" t="n">
        <v>212</v>
      </c>
      <c r="B216" s="7" t="s">
        <v>23</v>
      </c>
      <c r="C216" s="7" t="s">
        <v>3217</v>
      </c>
      <c r="D216" s="7" t="s">
        <v>4038</v>
      </c>
      <c r="E216" s="7" t="s">
        <v>4039</v>
      </c>
      <c r="F216" s="7" t="n">
        <v>73</v>
      </c>
      <c r="G216" s="14" t="s">
        <v>18</v>
      </c>
      <c r="H216" s="14" t="s">
        <v>18</v>
      </c>
      <c r="I216" s="7"/>
      <c r="J216" s="7" t="s">
        <v>1443</v>
      </c>
      <c r="K216" s="7" t="s">
        <v>4121</v>
      </c>
      <c r="L216" s="7" t="s">
        <v>4122</v>
      </c>
      <c r="M216" s="7" t="s">
        <v>4123</v>
      </c>
      <c r="N216" s="7" t="s">
        <v>4124</v>
      </c>
      <c r="O216" s="7"/>
      <c r="P216" s="7"/>
      <c r="Q216" s="7" t="n">
        <v>21</v>
      </c>
    </row>
    <row r="217" customFormat="false" ht="73.5" hidden="false" customHeight="true" outlineLevel="0" collapsed="false">
      <c r="A217" s="7" t="n">
        <v>213</v>
      </c>
      <c r="B217" s="7" t="s">
        <v>23</v>
      </c>
      <c r="C217" s="7" t="s">
        <v>3217</v>
      </c>
      <c r="D217" s="7" t="s">
        <v>4038</v>
      </c>
      <c r="E217" s="7" t="s">
        <v>3998</v>
      </c>
      <c r="F217" s="7" t="n">
        <v>4</v>
      </c>
      <c r="G217" s="14" t="s">
        <v>18</v>
      </c>
      <c r="H217" s="14" t="s">
        <v>18</v>
      </c>
      <c r="I217" s="7"/>
      <c r="J217" s="7" t="s">
        <v>1449</v>
      </c>
      <c r="K217" s="7" t="s">
        <v>4125</v>
      </c>
      <c r="L217" s="7" t="s">
        <v>4126</v>
      </c>
      <c r="M217" s="7" t="s">
        <v>4127</v>
      </c>
      <c r="N217" s="7" t="s">
        <v>4128</v>
      </c>
      <c r="O217" s="7"/>
      <c r="P217" s="7"/>
      <c r="Q217" s="7" t="n">
        <v>3</v>
      </c>
    </row>
    <row r="218" customFormat="false" ht="73.5" hidden="false" customHeight="true" outlineLevel="0" collapsed="false">
      <c r="A218" s="7" t="n">
        <v>214</v>
      </c>
      <c r="B218" s="7" t="s">
        <v>27</v>
      </c>
      <c r="C218" s="7" t="s">
        <v>4129</v>
      </c>
      <c r="D218" s="7" t="s">
        <v>4130</v>
      </c>
      <c r="E218" s="7" t="s">
        <v>3998</v>
      </c>
      <c r="F218" s="7" t="n">
        <v>58</v>
      </c>
      <c r="G218" s="14" t="s">
        <v>18</v>
      </c>
      <c r="H218" s="14" t="s">
        <v>18</v>
      </c>
      <c r="I218" s="7"/>
      <c r="J218" s="7" t="s">
        <v>1455</v>
      </c>
      <c r="K218" s="7" t="s">
        <v>4131</v>
      </c>
      <c r="L218" s="7" t="s">
        <v>4132</v>
      </c>
      <c r="M218" s="7" t="s">
        <v>4133</v>
      </c>
      <c r="N218" s="7" t="s">
        <v>4134</v>
      </c>
      <c r="O218" s="7"/>
      <c r="P218" s="7"/>
      <c r="Q218" s="7" t="n">
        <v>15</v>
      </c>
    </row>
    <row r="219" customFormat="false" ht="73.5" hidden="false" customHeight="true" outlineLevel="0" collapsed="false">
      <c r="A219" s="7" t="n">
        <v>215</v>
      </c>
      <c r="B219" s="7" t="s">
        <v>22</v>
      </c>
      <c r="C219" s="7" t="s">
        <v>3996</v>
      </c>
      <c r="D219" s="7" t="s">
        <v>3997</v>
      </c>
      <c r="E219" s="7" t="s">
        <v>4005</v>
      </c>
      <c r="F219" s="7" t="n">
        <v>159</v>
      </c>
      <c r="G219" s="15" t="s">
        <v>20</v>
      </c>
      <c r="H219" s="15" t="s">
        <v>28</v>
      </c>
      <c r="I219" s="7"/>
      <c r="J219" s="7" t="s">
        <v>1462</v>
      </c>
      <c r="K219" s="7" t="s">
        <v>4135</v>
      </c>
      <c r="L219" s="7" t="s">
        <v>4136</v>
      </c>
      <c r="M219" s="7" t="s">
        <v>4137</v>
      </c>
      <c r="N219" s="7" t="s">
        <v>4138</v>
      </c>
      <c r="O219" s="7"/>
      <c r="P219" s="7"/>
      <c r="Q219" s="7" t="n">
        <v>28</v>
      </c>
    </row>
    <row r="220" customFormat="false" ht="73.5" hidden="false" customHeight="true" outlineLevel="0" collapsed="false">
      <c r="A220" s="7" t="n">
        <v>216</v>
      </c>
      <c r="B220" s="7" t="s">
        <v>19</v>
      </c>
      <c r="C220" s="7" t="s">
        <v>3217</v>
      </c>
      <c r="D220" s="7" t="s">
        <v>4139</v>
      </c>
      <c r="E220" s="7" t="s">
        <v>4071</v>
      </c>
      <c r="F220" s="7" t="n">
        <v>93</v>
      </c>
      <c r="G220" s="15" t="s">
        <v>20</v>
      </c>
      <c r="H220" s="15" t="s">
        <v>28</v>
      </c>
      <c r="I220" s="7"/>
      <c r="J220" s="7" t="s">
        <v>1469</v>
      </c>
      <c r="K220" s="7" t="s">
        <v>4140</v>
      </c>
      <c r="L220" s="7" t="s">
        <v>4141</v>
      </c>
      <c r="M220" s="7" t="s">
        <v>4142</v>
      </c>
      <c r="N220" s="7"/>
      <c r="O220" s="7"/>
      <c r="P220" s="7"/>
      <c r="Q220" s="7" t="n">
        <v>23</v>
      </c>
    </row>
    <row r="221" customFormat="false" ht="108.75" hidden="false" customHeight="true" outlineLevel="0" collapsed="false">
      <c r="A221" s="7" t="n">
        <v>217</v>
      </c>
      <c r="B221" s="7" t="s">
        <v>15</v>
      </c>
      <c r="C221" s="7" t="s">
        <v>3217</v>
      </c>
      <c r="D221" s="7" t="s">
        <v>4143</v>
      </c>
      <c r="E221" s="7" t="s">
        <v>4031</v>
      </c>
      <c r="F221" s="7" t="n">
        <v>115</v>
      </c>
      <c r="G221" s="15" t="s">
        <v>20</v>
      </c>
      <c r="H221" s="15" t="s">
        <v>32</v>
      </c>
      <c r="I221" s="7" t="s">
        <v>4144</v>
      </c>
      <c r="J221" s="7" t="s">
        <v>1477</v>
      </c>
      <c r="K221" s="7" t="s">
        <v>4145</v>
      </c>
      <c r="L221" s="7" t="s">
        <v>4146</v>
      </c>
      <c r="M221" s="7" t="s">
        <v>4147</v>
      </c>
      <c r="N221" s="7" t="s">
        <v>4148</v>
      </c>
      <c r="O221" s="7" t="s">
        <v>4149</v>
      </c>
      <c r="P221" s="7"/>
      <c r="Q221" s="7" t="n">
        <v>31</v>
      </c>
    </row>
    <row r="222" customFormat="false" ht="73.5" hidden="false" customHeight="true" outlineLevel="0" collapsed="false">
      <c r="A222" s="7" t="n">
        <v>218</v>
      </c>
      <c r="B222" s="7" t="s">
        <v>27</v>
      </c>
      <c r="C222" s="7" t="s">
        <v>3996</v>
      </c>
      <c r="D222" s="7" t="s">
        <v>4070</v>
      </c>
      <c r="E222" s="7" t="s">
        <v>3998</v>
      </c>
      <c r="F222" s="7" t="n">
        <v>62</v>
      </c>
      <c r="G222" s="14" t="s">
        <v>18</v>
      </c>
      <c r="H222" s="14" t="s">
        <v>18</v>
      </c>
      <c r="I222" s="7"/>
      <c r="J222" s="7" t="s">
        <v>1484</v>
      </c>
      <c r="K222" s="7" t="s">
        <v>4150</v>
      </c>
      <c r="L222" s="7" t="s">
        <v>4151</v>
      </c>
      <c r="M222" s="7" t="s">
        <v>4152</v>
      </c>
      <c r="N222" s="7" t="s">
        <v>4153</v>
      </c>
      <c r="O222" s="7"/>
      <c r="P222" s="7"/>
      <c r="Q222" s="7" t="n">
        <v>24</v>
      </c>
    </row>
    <row r="223" customFormat="false" ht="73.5" hidden="false" customHeight="true" outlineLevel="0" collapsed="false">
      <c r="A223" s="7" t="n">
        <v>219</v>
      </c>
      <c r="B223" s="7" t="s">
        <v>31</v>
      </c>
      <c r="C223" s="7" t="s">
        <v>4003</v>
      </c>
      <c r="D223" s="7" t="s">
        <v>4010</v>
      </c>
      <c r="E223" s="7" t="s">
        <v>3998</v>
      </c>
      <c r="F223" s="7" t="n">
        <v>57</v>
      </c>
      <c r="G223" s="14" t="s">
        <v>18</v>
      </c>
      <c r="H223" s="14" t="s">
        <v>18</v>
      </c>
      <c r="I223" s="7"/>
      <c r="J223" s="7" t="s">
        <v>1490</v>
      </c>
      <c r="K223" s="7" t="s">
        <v>4154</v>
      </c>
      <c r="L223" s="7" t="s">
        <v>4155</v>
      </c>
      <c r="M223" s="7" t="s">
        <v>4156</v>
      </c>
      <c r="N223" s="7" t="s">
        <v>4157</v>
      </c>
      <c r="O223" s="7"/>
      <c r="P223" s="7"/>
      <c r="Q223" s="7" t="n">
        <v>11</v>
      </c>
    </row>
    <row r="224" customFormat="false" ht="73.5" hidden="false" customHeight="true" outlineLevel="0" collapsed="false">
      <c r="A224" s="7" t="n">
        <v>220</v>
      </c>
      <c r="B224" s="7" t="s">
        <v>31</v>
      </c>
      <c r="C224" s="7" t="s">
        <v>4003</v>
      </c>
      <c r="D224" s="7" t="s">
        <v>4010</v>
      </c>
      <c r="E224" s="7" t="s">
        <v>3998</v>
      </c>
      <c r="F224" s="7" t="n">
        <v>119</v>
      </c>
      <c r="G224" s="14" t="s">
        <v>18</v>
      </c>
      <c r="H224" s="14" t="s">
        <v>18</v>
      </c>
      <c r="I224" s="7"/>
      <c r="J224" s="7" t="s">
        <v>1497</v>
      </c>
      <c r="K224" s="7" t="s">
        <v>4158</v>
      </c>
      <c r="L224" s="7" t="s">
        <v>4159</v>
      </c>
      <c r="M224" s="7" t="s">
        <v>4160</v>
      </c>
      <c r="N224" s="7" t="s">
        <v>4161</v>
      </c>
      <c r="O224" s="7"/>
      <c r="P224" s="7"/>
      <c r="Q224" s="7" t="n">
        <v>20</v>
      </c>
    </row>
    <row r="225" customFormat="false" ht="73.5" hidden="false" customHeight="true" outlineLevel="0" collapsed="false">
      <c r="A225" s="7" t="n">
        <v>221</v>
      </c>
      <c r="B225" s="7" t="s">
        <v>21</v>
      </c>
      <c r="C225" s="7" t="s">
        <v>4058</v>
      </c>
      <c r="D225" s="7" t="s">
        <v>4059</v>
      </c>
      <c r="E225" s="7" t="s">
        <v>3998</v>
      </c>
      <c r="F225" s="7" t="n">
        <v>87</v>
      </c>
      <c r="G225" s="14" t="s">
        <v>18</v>
      </c>
      <c r="H225" s="14" t="s">
        <v>18</v>
      </c>
      <c r="I225" s="7"/>
      <c r="J225" s="7" t="s">
        <v>1504</v>
      </c>
      <c r="K225" s="7" t="s">
        <v>4162</v>
      </c>
      <c r="L225" s="7" t="s">
        <v>4163</v>
      </c>
      <c r="M225" s="7" t="s">
        <v>4164</v>
      </c>
      <c r="N225" s="7" t="s">
        <v>4165</v>
      </c>
      <c r="O225" s="7"/>
      <c r="P225" s="7"/>
      <c r="Q225" s="7" t="n">
        <v>16</v>
      </c>
    </row>
    <row r="226" customFormat="false" ht="73.5" hidden="false" customHeight="true" outlineLevel="0" collapsed="false">
      <c r="A226" s="7" t="n">
        <v>222</v>
      </c>
      <c r="B226" s="7" t="s">
        <v>21</v>
      </c>
      <c r="C226" s="7" t="s">
        <v>3217</v>
      </c>
      <c r="D226" s="7" t="s">
        <v>4108</v>
      </c>
      <c r="E226" s="7" t="s">
        <v>3998</v>
      </c>
      <c r="F226" s="7" t="n">
        <v>23</v>
      </c>
      <c r="G226" s="14" t="s">
        <v>18</v>
      </c>
      <c r="H226" s="14" t="s">
        <v>18</v>
      </c>
      <c r="I226" s="7"/>
      <c r="J226" s="7" t="s">
        <v>1510</v>
      </c>
      <c r="K226" s="7" t="s">
        <v>4166</v>
      </c>
      <c r="L226" s="7" t="s">
        <v>4167</v>
      </c>
      <c r="M226" s="7" t="s">
        <v>4168</v>
      </c>
      <c r="N226" s="7" t="s">
        <v>4169</v>
      </c>
      <c r="O226" s="7"/>
      <c r="P226" s="7"/>
      <c r="Q226" s="7" t="n">
        <v>5</v>
      </c>
    </row>
    <row r="227" customFormat="false" ht="73.5" hidden="false" customHeight="true" outlineLevel="0" collapsed="false">
      <c r="A227" s="7" t="n">
        <v>223</v>
      </c>
      <c r="B227" s="7" t="s">
        <v>17</v>
      </c>
      <c r="C227" s="7" t="s">
        <v>4044</v>
      </c>
      <c r="D227" s="7" t="s">
        <v>4045</v>
      </c>
      <c r="E227" s="7" t="s">
        <v>4005</v>
      </c>
      <c r="F227" s="7" t="n">
        <v>102</v>
      </c>
      <c r="G227" s="15" t="s">
        <v>20</v>
      </c>
      <c r="H227" s="15" t="s">
        <v>28</v>
      </c>
      <c r="I227" s="7"/>
      <c r="J227" s="7" t="s">
        <v>1517</v>
      </c>
      <c r="K227" s="7" t="s">
        <v>4170</v>
      </c>
      <c r="L227" s="7" t="s">
        <v>4171</v>
      </c>
      <c r="M227" s="7" t="s">
        <v>4172</v>
      </c>
      <c r="N227" s="7" t="s">
        <v>4173</v>
      </c>
      <c r="O227" s="7"/>
      <c r="P227" s="7"/>
      <c r="Q227" s="7" t="n">
        <v>20</v>
      </c>
    </row>
    <row r="228" customFormat="false" ht="73.5" hidden="false" customHeight="true" outlineLevel="0" collapsed="false">
      <c r="A228" s="7" t="n">
        <v>224</v>
      </c>
      <c r="B228" s="7" t="s">
        <v>23</v>
      </c>
      <c r="C228" s="7" t="s">
        <v>3217</v>
      </c>
      <c r="D228" s="7" t="s">
        <v>4038</v>
      </c>
      <c r="E228" s="7" t="s">
        <v>3998</v>
      </c>
      <c r="F228" s="7" t="n">
        <v>24</v>
      </c>
      <c r="G228" s="14" t="s">
        <v>18</v>
      </c>
      <c r="H228" s="14" t="s">
        <v>18</v>
      </c>
      <c r="I228" s="7"/>
      <c r="J228" s="7" t="s">
        <v>1523</v>
      </c>
      <c r="K228" s="7" t="s">
        <v>4174</v>
      </c>
      <c r="L228" s="7" t="s">
        <v>4175</v>
      </c>
      <c r="M228" s="7" t="s">
        <v>4176</v>
      </c>
      <c r="N228" s="7" t="s">
        <v>4177</v>
      </c>
      <c r="O228" s="7"/>
      <c r="P228" s="7"/>
      <c r="Q228" s="7" t="n">
        <v>9</v>
      </c>
    </row>
    <row r="229" customFormat="false" ht="73.5" hidden="false" customHeight="true" outlineLevel="0" collapsed="false">
      <c r="A229" s="7" t="n">
        <v>225</v>
      </c>
      <c r="B229" s="7" t="s">
        <v>22</v>
      </c>
      <c r="C229" s="7" t="s">
        <v>3996</v>
      </c>
      <c r="D229" s="7" t="s">
        <v>3997</v>
      </c>
      <c r="E229" s="7" t="s">
        <v>3998</v>
      </c>
      <c r="F229" s="7" t="n">
        <v>125</v>
      </c>
      <c r="G229" s="14" t="s">
        <v>18</v>
      </c>
      <c r="H229" s="14" t="s">
        <v>18</v>
      </c>
      <c r="I229" s="7"/>
      <c r="J229" s="7" t="s">
        <v>1529</v>
      </c>
      <c r="K229" s="7" t="s">
        <v>4178</v>
      </c>
      <c r="L229" s="7" t="s">
        <v>4179</v>
      </c>
      <c r="M229" s="7" t="s">
        <v>4180</v>
      </c>
      <c r="N229" s="7" t="s">
        <v>4181</v>
      </c>
      <c r="O229" s="7"/>
      <c r="P229" s="7"/>
      <c r="Q229" s="7" t="n">
        <v>23</v>
      </c>
    </row>
    <row r="230" customFormat="false" ht="73.5" hidden="false" customHeight="true" outlineLevel="0" collapsed="false">
      <c r="A230" s="7" t="n">
        <v>226</v>
      </c>
      <c r="B230" s="7" t="s">
        <v>21</v>
      </c>
      <c r="C230" s="7" t="s">
        <v>4058</v>
      </c>
      <c r="D230" s="7" t="s">
        <v>4059</v>
      </c>
      <c r="E230" s="7" t="s">
        <v>3998</v>
      </c>
      <c r="F230" s="7" t="n">
        <v>14</v>
      </c>
      <c r="G230" s="14" t="s">
        <v>18</v>
      </c>
      <c r="H230" s="14" t="s">
        <v>18</v>
      </c>
      <c r="I230" s="7"/>
      <c r="J230" s="7" t="s">
        <v>1535</v>
      </c>
      <c r="K230" s="7" t="s">
        <v>4182</v>
      </c>
      <c r="L230" s="7" t="s">
        <v>4183</v>
      </c>
      <c r="M230" s="7" t="s">
        <v>4184</v>
      </c>
      <c r="N230" s="7" t="s">
        <v>4185</v>
      </c>
      <c r="O230" s="7"/>
      <c r="P230" s="7"/>
      <c r="Q230" s="7" t="n">
        <v>4</v>
      </c>
    </row>
    <row r="231" customFormat="false" ht="73.5" hidden="false" customHeight="true" outlineLevel="0" collapsed="false">
      <c r="A231" s="7" t="n">
        <v>227</v>
      </c>
      <c r="B231" s="7" t="s">
        <v>31</v>
      </c>
      <c r="C231" s="7" t="s">
        <v>4003</v>
      </c>
      <c r="D231" s="7" t="s">
        <v>4010</v>
      </c>
      <c r="E231" s="7" t="s">
        <v>3998</v>
      </c>
      <c r="F231" s="7" t="n">
        <v>71</v>
      </c>
      <c r="G231" s="14" t="s">
        <v>18</v>
      </c>
      <c r="H231" s="14" t="s">
        <v>18</v>
      </c>
      <c r="I231" s="7"/>
      <c r="J231" s="7" t="s">
        <v>1541</v>
      </c>
      <c r="K231" s="7" t="s">
        <v>4186</v>
      </c>
      <c r="L231" s="7" t="s">
        <v>4187</v>
      </c>
      <c r="M231" s="7" t="s">
        <v>4188</v>
      </c>
      <c r="N231" s="7" t="s">
        <v>4189</v>
      </c>
      <c r="O231" s="7"/>
      <c r="P231" s="7"/>
      <c r="Q231" s="7" t="n">
        <v>13</v>
      </c>
    </row>
    <row r="232" customFormat="false" ht="186.75" hidden="false" customHeight="true" outlineLevel="0" collapsed="false">
      <c r="A232" s="7" t="n">
        <v>228</v>
      </c>
      <c r="B232" s="7" t="s">
        <v>15</v>
      </c>
      <c r="C232" s="7" t="s">
        <v>3217</v>
      </c>
      <c r="D232" s="7" t="s">
        <v>4143</v>
      </c>
      <c r="E232" s="7" t="s">
        <v>4031</v>
      </c>
      <c r="F232" s="7" t="n">
        <v>143</v>
      </c>
      <c r="G232" s="15" t="s">
        <v>20</v>
      </c>
      <c r="H232" s="15" t="s">
        <v>32</v>
      </c>
      <c r="I232" s="7" t="s">
        <v>4190</v>
      </c>
      <c r="J232" s="7" t="s">
        <v>1551</v>
      </c>
      <c r="K232" s="7" t="s">
        <v>4191</v>
      </c>
      <c r="L232" s="7" t="s">
        <v>4192</v>
      </c>
      <c r="M232" s="7" t="s">
        <v>4193</v>
      </c>
      <c r="N232" s="7" t="s">
        <v>4194</v>
      </c>
      <c r="O232" s="7" t="s">
        <v>4195</v>
      </c>
      <c r="P232" s="7"/>
      <c r="Q232" s="7" t="n">
        <v>40</v>
      </c>
    </row>
    <row r="233" customFormat="false" ht="73.5" hidden="false" customHeight="true" outlineLevel="0" collapsed="false">
      <c r="A233" s="7" t="n">
        <v>229</v>
      </c>
      <c r="B233" s="7" t="s">
        <v>23</v>
      </c>
      <c r="C233" s="7" t="s">
        <v>3217</v>
      </c>
      <c r="D233" s="7" t="s">
        <v>4038</v>
      </c>
      <c r="E233" s="7" t="s">
        <v>4039</v>
      </c>
      <c r="F233" s="7" t="n">
        <v>58</v>
      </c>
      <c r="G233" s="14" t="s">
        <v>18</v>
      </c>
      <c r="H233" s="14" t="s">
        <v>18</v>
      </c>
      <c r="I233" s="7"/>
      <c r="J233" s="7" t="s">
        <v>1558</v>
      </c>
      <c r="K233" s="7" t="s">
        <v>4196</v>
      </c>
      <c r="L233" s="7" t="s">
        <v>4197</v>
      </c>
      <c r="M233" s="7" t="s">
        <v>4198</v>
      </c>
      <c r="N233" s="7" t="s">
        <v>4199</v>
      </c>
      <c r="O233" s="7"/>
      <c r="P233" s="7"/>
      <c r="Q233" s="7" t="n">
        <v>18</v>
      </c>
    </row>
    <row r="234" customFormat="false" ht="73.5" hidden="false" customHeight="true" outlineLevel="0" collapsed="false">
      <c r="A234" s="7" t="n">
        <v>230</v>
      </c>
      <c r="B234" s="7" t="s">
        <v>31</v>
      </c>
      <c r="C234" s="7" t="s">
        <v>4003</v>
      </c>
      <c r="D234" s="7" t="s">
        <v>4010</v>
      </c>
      <c r="E234" s="7" t="s">
        <v>3998</v>
      </c>
      <c r="F234" s="7" t="n">
        <v>69</v>
      </c>
      <c r="G234" s="14" t="s">
        <v>18</v>
      </c>
      <c r="H234" s="14" t="s">
        <v>18</v>
      </c>
      <c r="I234" s="7"/>
      <c r="J234" s="7" t="s">
        <v>1564</v>
      </c>
      <c r="K234" s="7" t="s">
        <v>4200</v>
      </c>
      <c r="L234" s="7" t="s">
        <v>4201</v>
      </c>
      <c r="M234" s="7" t="s">
        <v>4202</v>
      </c>
      <c r="N234" s="7" t="s">
        <v>4203</v>
      </c>
      <c r="O234" s="7"/>
      <c r="P234" s="7"/>
      <c r="Q234" s="7" t="n">
        <v>12</v>
      </c>
    </row>
    <row r="235" customFormat="false" ht="73.5" hidden="false" customHeight="true" outlineLevel="0" collapsed="false">
      <c r="A235" s="7" t="n">
        <v>231</v>
      </c>
      <c r="B235" s="7" t="s">
        <v>27</v>
      </c>
      <c r="C235" s="7" t="s">
        <v>3996</v>
      </c>
      <c r="D235" s="7" t="s">
        <v>4070</v>
      </c>
      <c r="E235" s="7" t="s">
        <v>3998</v>
      </c>
      <c r="F235" s="7" t="n">
        <v>44</v>
      </c>
      <c r="G235" s="14" t="s">
        <v>18</v>
      </c>
      <c r="H235" s="14" t="s">
        <v>18</v>
      </c>
      <c r="I235" s="7"/>
      <c r="J235" s="7" t="s">
        <v>1571</v>
      </c>
      <c r="K235" s="7" t="s">
        <v>4204</v>
      </c>
      <c r="L235" s="7" t="s">
        <v>4205</v>
      </c>
      <c r="M235" s="7" t="s">
        <v>4206</v>
      </c>
      <c r="N235" s="7" t="s">
        <v>4207</v>
      </c>
      <c r="O235" s="7"/>
      <c r="P235" s="7"/>
      <c r="Q235" s="7" t="n">
        <v>18</v>
      </c>
    </row>
    <row r="236" customFormat="false" ht="73.5" hidden="false" customHeight="true" outlineLevel="0" collapsed="false">
      <c r="A236" s="7" t="n">
        <v>232</v>
      </c>
      <c r="B236" s="7" t="s">
        <v>17</v>
      </c>
      <c r="C236" s="7" t="s">
        <v>4058</v>
      </c>
      <c r="D236" s="7" t="s">
        <v>4084</v>
      </c>
      <c r="E236" s="7" t="s">
        <v>3998</v>
      </c>
      <c r="F236" s="7" t="n">
        <v>83</v>
      </c>
      <c r="G236" s="14" t="s">
        <v>18</v>
      </c>
      <c r="H236" s="14" t="s">
        <v>18</v>
      </c>
      <c r="I236" s="7"/>
      <c r="J236" s="7" t="s">
        <v>1577</v>
      </c>
      <c r="K236" s="7" t="s">
        <v>4208</v>
      </c>
      <c r="L236" s="7" t="s">
        <v>4209</v>
      </c>
      <c r="M236" s="7" t="s">
        <v>4210</v>
      </c>
      <c r="N236" s="7" t="s">
        <v>4211</v>
      </c>
      <c r="O236" s="7"/>
      <c r="P236" s="7"/>
      <c r="Q236" s="7" t="n">
        <v>29</v>
      </c>
    </row>
    <row r="237" customFormat="false" ht="73.5" hidden="false" customHeight="true" outlineLevel="0" collapsed="false">
      <c r="A237" s="7" t="n">
        <v>233</v>
      </c>
      <c r="B237" s="7" t="s">
        <v>22</v>
      </c>
      <c r="C237" s="7" t="s">
        <v>3996</v>
      </c>
      <c r="D237" s="7" t="s">
        <v>3997</v>
      </c>
      <c r="E237" s="7" t="s">
        <v>4005</v>
      </c>
      <c r="F237" s="7" t="n">
        <v>151</v>
      </c>
      <c r="G237" s="15" t="s">
        <v>20</v>
      </c>
      <c r="H237" s="15" t="s">
        <v>28</v>
      </c>
      <c r="I237" s="7"/>
      <c r="J237" s="7" t="s">
        <v>1584</v>
      </c>
      <c r="K237" s="7" t="s">
        <v>4212</v>
      </c>
      <c r="L237" s="7" t="s">
        <v>4213</v>
      </c>
      <c r="M237" s="7" t="s">
        <v>4214</v>
      </c>
      <c r="N237" s="7" t="s">
        <v>4215</v>
      </c>
      <c r="O237" s="7"/>
      <c r="P237" s="7"/>
      <c r="Q237" s="7" t="n">
        <v>27</v>
      </c>
    </row>
    <row r="238" customFormat="false" ht="73.5" hidden="false" customHeight="true" outlineLevel="0" collapsed="false">
      <c r="A238" s="7" t="n">
        <v>234</v>
      </c>
      <c r="B238" s="7" t="s">
        <v>31</v>
      </c>
      <c r="C238" s="7" t="s">
        <v>4003</v>
      </c>
      <c r="D238" s="7" t="s">
        <v>4010</v>
      </c>
      <c r="E238" s="7" t="s">
        <v>3998</v>
      </c>
      <c r="F238" s="7" t="n">
        <v>43</v>
      </c>
      <c r="G238" s="14" t="s">
        <v>18</v>
      </c>
      <c r="H238" s="14" t="s">
        <v>18</v>
      </c>
      <c r="I238" s="7"/>
      <c r="J238" s="7" t="s">
        <v>1591</v>
      </c>
      <c r="K238" s="7" t="s">
        <v>4216</v>
      </c>
      <c r="L238" s="7" t="s">
        <v>4217</v>
      </c>
      <c r="M238" s="7" t="s">
        <v>4218</v>
      </c>
      <c r="N238" s="7" t="s">
        <v>4219</v>
      </c>
      <c r="O238" s="7"/>
      <c r="P238" s="7"/>
      <c r="Q238" s="7" t="n">
        <v>8</v>
      </c>
    </row>
    <row r="239" customFormat="false" ht="73.5" hidden="false" customHeight="true" outlineLevel="0" collapsed="false">
      <c r="A239" s="7" t="n">
        <v>235</v>
      </c>
      <c r="B239" s="7" t="s">
        <v>21</v>
      </c>
      <c r="C239" s="7" t="s">
        <v>3217</v>
      </c>
      <c r="D239" s="7" t="s">
        <v>4108</v>
      </c>
      <c r="E239" s="7" t="s">
        <v>4005</v>
      </c>
      <c r="F239" s="7" t="n">
        <v>102</v>
      </c>
      <c r="G239" s="15" t="s">
        <v>20</v>
      </c>
      <c r="H239" s="15" t="s">
        <v>28</v>
      </c>
      <c r="I239" s="7"/>
      <c r="J239" s="7" t="s">
        <v>1598</v>
      </c>
      <c r="K239" s="7" t="s">
        <v>4220</v>
      </c>
      <c r="L239" s="7" t="s">
        <v>4221</v>
      </c>
      <c r="M239" s="7" t="s">
        <v>4222</v>
      </c>
      <c r="N239" s="7" t="s">
        <v>4223</v>
      </c>
      <c r="O239" s="7"/>
      <c r="P239" s="7"/>
      <c r="Q239" s="7" t="n">
        <v>18</v>
      </c>
    </row>
    <row r="240" customFormat="false" ht="73.5" hidden="false" customHeight="true" outlineLevel="0" collapsed="false">
      <c r="A240" s="7" t="n">
        <v>236</v>
      </c>
      <c r="B240" s="7" t="s">
        <v>25</v>
      </c>
      <c r="C240" s="7" t="s">
        <v>4003</v>
      </c>
      <c r="D240" s="7" t="s">
        <v>4224</v>
      </c>
      <c r="E240" s="7" t="s">
        <v>4005</v>
      </c>
      <c r="F240" s="7" t="n">
        <v>105</v>
      </c>
      <c r="G240" s="15" t="s">
        <v>20</v>
      </c>
      <c r="H240" s="15" t="s">
        <v>28</v>
      </c>
      <c r="I240" s="7"/>
      <c r="J240" s="7" t="s">
        <v>1604</v>
      </c>
      <c r="K240" s="7" t="s">
        <v>4225</v>
      </c>
      <c r="L240" s="7" t="s">
        <v>4226</v>
      </c>
      <c r="M240" s="7" t="s">
        <v>4227</v>
      </c>
      <c r="N240" s="7" t="s">
        <v>4228</v>
      </c>
      <c r="O240" s="7"/>
      <c r="P240" s="7"/>
      <c r="Q240" s="7" t="n">
        <v>20</v>
      </c>
    </row>
    <row r="241" customFormat="false" ht="73.5" hidden="false" customHeight="true" outlineLevel="0" collapsed="false">
      <c r="A241" s="7" t="n">
        <v>237</v>
      </c>
      <c r="B241" s="7" t="s">
        <v>19</v>
      </c>
      <c r="C241" s="7" t="s">
        <v>4003</v>
      </c>
      <c r="D241" s="7" t="s">
        <v>4004</v>
      </c>
      <c r="E241" s="7" t="s">
        <v>4005</v>
      </c>
      <c r="F241" s="7" t="n">
        <v>159</v>
      </c>
      <c r="G241" s="15" t="s">
        <v>20</v>
      </c>
      <c r="H241" s="15" t="s">
        <v>28</v>
      </c>
      <c r="I241" s="7"/>
      <c r="J241" s="7" t="s">
        <v>1610</v>
      </c>
      <c r="K241" s="7" t="s">
        <v>4229</v>
      </c>
      <c r="L241" s="7" t="s">
        <v>4230</v>
      </c>
      <c r="M241" s="7" t="s">
        <v>4231</v>
      </c>
      <c r="N241" s="7" t="s">
        <v>4232</v>
      </c>
      <c r="O241" s="7"/>
      <c r="P241" s="7"/>
      <c r="Q241" s="7" t="n">
        <v>36</v>
      </c>
    </row>
    <row r="242" customFormat="false" ht="73.5" hidden="false" customHeight="true" outlineLevel="0" collapsed="false">
      <c r="A242" s="7" t="n">
        <v>238</v>
      </c>
      <c r="B242" s="7" t="s">
        <v>21</v>
      </c>
      <c r="C242" s="7" t="s">
        <v>3217</v>
      </c>
      <c r="D242" s="7" t="s">
        <v>4108</v>
      </c>
      <c r="E242" s="7" t="s">
        <v>4005</v>
      </c>
      <c r="F242" s="7" t="n">
        <v>105</v>
      </c>
      <c r="G242" s="15" t="s">
        <v>20</v>
      </c>
      <c r="H242" s="15" t="s">
        <v>28</v>
      </c>
      <c r="I242" s="7"/>
      <c r="J242" s="7" t="s">
        <v>1616</v>
      </c>
      <c r="K242" s="7" t="s">
        <v>4233</v>
      </c>
      <c r="L242" s="7" t="s">
        <v>4234</v>
      </c>
      <c r="M242" s="7" t="s">
        <v>4235</v>
      </c>
      <c r="N242" s="7" t="s">
        <v>4236</v>
      </c>
      <c r="O242" s="7"/>
      <c r="P242" s="7"/>
      <c r="Q242" s="7" t="n">
        <v>18</v>
      </c>
    </row>
    <row r="243" customFormat="false" ht="73.5" hidden="false" customHeight="true" outlineLevel="0" collapsed="false">
      <c r="A243" s="7" t="n">
        <v>239</v>
      </c>
      <c r="B243" s="7" t="s">
        <v>19</v>
      </c>
      <c r="C243" s="7" t="s">
        <v>3217</v>
      </c>
      <c r="D243" s="7" t="s">
        <v>4139</v>
      </c>
      <c r="E243" s="7" t="s">
        <v>3998</v>
      </c>
      <c r="F243" s="7" t="n">
        <v>27</v>
      </c>
      <c r="G243" s="14" t="s">
        <v>18</v>
      </c>
      <c r="H243" s="14" t="s">
        <v>18</v>
      </c>
      <c r="I243" s="7"/>
      <c r="J243" s="7" t="s">
        <v>1622</v>
      </c>
      <c r="K243" s="7" t="s">
        <v>4237</v>
      </c>
      <c r="L243" s="7" t="s">
        <v>4238</v>
      </c>
      <c r="M243" s="7" t="s">
        <v>4239</v>
      </c>
      <c r="N243" s="7"/>
      <c r="O243" s="7"/>
      <c r="P243" s="7"/>
      <c r="Q243" s="7" t="n">
        <v>8</v>
      </c>
    </row>
    <row r="244" customFormat="false" ht="82.5" hidden="false" customHeight="true" outlineLevel="0" collapsed="false">
      <c r="A244" s="7" t="n">
        <v>240</v>
      </c>
      <c r="B244" s="7" t="s">
        <v>15</v>
      </c>
      <c r="C244" s="7" t="s">
        <v>3217</v>
      </c>
      <c r="D244" s="7" t="s">
        <v>4143</v>
      </c>
      <c r="E244" s="7" t="s">
        <v>4031</v>
      </c>
      <c r="F244" s="7" t="n">
        <v>133</v>
      </c>
      <c r="G244" s="15" t="s">
        <v>20</v>
      </c>
      <c r="H244" s="15" t="s">
        <v>32</v>
      </c>
      <c r="I244" s="7" t="s">
        <v>4240</v>
      </c>
      <c r="J244" s="7" t="s">
        <v>1628</v>
      </c>
      <c r="K244" s="7" t="s">
        <v>4241</v>
      </c>
      <c r="L244" s="7" t="s">
        <v>4242</v>
      </c>
      <c r="M244" s="7" t="s">
        <v>4243</v>
      </c>
      <c r="N244" s="7" t="s">
        <v>4244</v>
      </c>
      <c r="O244" s="7" t="s">
        <v>4245</v>
      </c>
      <c r="P244" s="7"/>
      <c r="Q244" s="7" t="n">
        <v>36</v>
      </c>
    </row>
    <row r="245" customFormat="false" ht="73.5" hidden="false" customHeight="true" outlineLevel="0" collapsed="false">
      <c r="A245" s="7" t="n">
        <v>241</v>
      </c>
      <c r="B245" s="7" t="s">
        <v>19</v>
      </c>
      <c r="C245" s="7" t="s">
        <v>3217</v>
      </c>
      <c r="D245" s="7" t="s">
        <v>4139</v>
      </c>
      <c r="E245" s="7" t="s">
        <v>3998</v>
      </c>
      <c r="F245" s="7" t="n">
        <v>87</v>
      </c>
      <c r="G245" s="14" t="s">
        <v>18</v>
      </c>
      <c r="H245" s="14" t="s">
        <v>18</v>
      </c>
      <c r="I245" s="7"/>
      <c r="J245" s="7" t="s">
        <v>1635</v>
      </c>
      <c r="K245" s="7" t="s">
        <v>4246</v>
      </c>
      <c r="L245" s="7" t="s">
        <v>4247</v>
      </c>
      <c r="M245" s="7" t="s">
        <v>4248</v>
      </c>
      <c r="N245" s="7"/>
      <c r="O245" s="7"/>
      <c r="P245" s="7"/>
      <c r="Q245" s="7" t="n">
        <v>22</v>
      </c>
    </row>
    <row r="246" customFormat="false" ht="73.5" hidden="false" customHeight="true" outlineLevel="0" collapsed="false">
      <c r="A246" s="7" t="n">
        <v>242</v>
      </c>
      <c r="B246" s="7" t="s">
        <v>19</v>
      </c>
      <c r="C246" s="7" t="s">
        <v>3217</v>
      </c>
      <c r="D246" s="7" t="s">
        <v>4139</v>
      </c>
      <c r="E246" s="7" t="s">
        <v>3998</v>
      </c>
      <c r="F246" s="7" t="n">
        <v>42</v>
      </c>
      <c r="G246" s="14" t="s">
        <v>18</v>
      </c>
      <c r="H246" s="14" t="s">
        <v>18</v>
      </c>
      <c r="I246" s="7"/>
      <c r="J246" s="7" t="s">
        <v>1640</v>
      </c>
      <c r="K246" s="7" t="s">
        <v>4249</v>
      </c>
      <c r="L246" s="7" t="s">
        <v>4250</v>
      </c>
      <c r="M246" s="7" t="s">
        <v>4251</v>
      </c>
      <c r="N246" s="7"/>
      <c r="O246" s="7"/>
      <c r="P246" s="7"/>
      <c r="Q246" s="7" t="n">
        <v>11</v>
      </c>
    </row>
    <row r="247" customFormat="false" ht="73.5" hidden="false" customHeight="true" outlineLevel="0" collapsed="false">
      <c r="A247" s="7" t="n">
        <v>243</v>
      </c>
      <c r="B247" s="7" t="s">
        <v>22</v>
      </c>
      <c r="C247" s="7" t="s">
        <v>3996</v>
      </c>
      <c r="D247" s="7" t="s">
        <v>3997</v>
      </c>
      <c r="E247" s="7" t="s">
        <v>3998</v>
      </c>
      <c r="F247" s="7" t="n">
        <v>147</v>
      </c>
      <c r="G247" s="14" t="s">
        <v>18</v>
      </c>
      <c r="H247" s="14" t="s">
        <v>18</v>
      </c>
      <c r="I247" s="7"/>
      <c r="J247" s="7" t="s">
        <v>1645</v>
      </c>
      <c r="K247" s="7" t="s">
        <v>4252</v>
      </c>
      <c r="L247" s="7" t="s">
        <v>4253</v>
      </c>
      <c r="M247" s="7" t="s">
        <v>4096</v>
      </c>
      <c r="N247" s="7" t="s">
        <v>4254</v>
      </c>
      <c r="O247" s="7"/>
      <c r="P247" s="7"/>
      <c r="Q247" s="7" t="n">
        <v>26</v>
      </c>
    </row>
    <row r="248" customFormat="false" ht="73.5" hidden="false" customHeight="true" outlineLevel="0" collapsed="false">
      <c r="A248" s="7" t="n">
        <v>244</v>
      </c>
      <c r="B248" s="7" t="s">
        <v>17</v>
      </c>
      <c r="C248" s="7" t="s">
        <v>4044</v>
      </c>
      <c r="D248" s="7" t="s">
        <v>4045</v>
      </c>
      <c r="E248" s="7" t="s">
        <v>4005</v>
      </c>
      <c r="F248" s="7" t="n">
        <v>108</v>
      </c>
      <c r="G248" s="15" t="s">
        <v>20</v>
      </c>
      <c r="H248" s="15" t="s">
        <v>28</v>
      </c>
      <c r="I248" s="7"/>
      <c r="J248" s="7" t="s">
        <v>1651</v>
      </c>
      <c r="K248" s="7" t="s">
        <v>4255</v>
      </c>
      <c r="L248" s="7" t="s">
        <v>4256</v>
      </c>
      <c r="M248" s="7" t="s">
        <v>4257</v>
      </c>
      <c r="N248" s="7" t="s">
        <v>4258</v>
      </c>
      <c r="O248" s="7"/>
      <c r="P248" s="7"/>
      <c r="Q248" s="7" t="n">
        <v>21</v>
      </c>
    </row>
    <row r="249" customFormat="false" ht="73.5" hidden="false" customHeight="true" outlineLevel="0" collapsed="false">
      <c r="A249" s="7" t="n">
        <v>245</v>
      </c>
      <c r="B249" s="7" t="s">
        <v>23</v>
      </c>
      <c r="C249" s="7" t="s">
        <v>3217</v>
      </c>
      <c r="D249" s="7" t="s">
        <v>4038</v>
      </c>
      <c r="E249" s="7" t="s">
        <v>3998</v>
      </c>
      <c r="F249" s="7" t="n">
        <v>31</v>
      </c>
      <c r="G249" s="14" t="s">
        <v>18</v>
      </c>
      <c r="H249" s="14" t="s">
        <v>18</v>
      </c>
      <c r="I249" s="7"/>
      <c r="J249" s="7" t="s">
        <v>1657</v>
      </c>
      <c r="K249" s="7" t="s">
        <v>4259</v>
      </c>
      <c r="L249" s="7" t="s">
        <v>4260</v>
      </c>
      <c r="M249" s="7" t="s">
        <v>4261</v>
      </c>
      <c r="N249" s="7" t="s">
        <v>4262</v>
      </c>
      <c r="O249" s="7"/>
      <c r="P249" s="7"/>
      <c r="Q249" s="7" t="n">
        <v>11</v>
      </c>
    </row>
    <row r="250" customFormat="false" ht="73.5" hidden="false" customHeight="true" outlineLevel="0" collapsed="false">
      <c r="A250" s="7" t="n">
        <v>246</v>
      </c>
      <c r="B250" s="7" t="s">
        <v>25</v>
      </c>
      <c r="C250" s="7" t="s">
        <v>4003</v>
      </c>
      <c r="D250" s="7" t="s">
        <v>4224</v>
      </c>
      <c r="E250" s="7" t="s">
        <v>4005</v>
      </c>
      <c r="F250" s="7" t="n">
        <v>109</v>
      </c>
      <c r="G250" s="15" t="s">
        <v>20</v>
      </c>
      <c r="H250" s="15" t="s">
        <v>28</v>
      </c>
      <c r="I250" s="7"/>
      <c r="J250" s="7" t="s">
        <v>1663</v>
      </c>
      <c r="K250" s="7" t="s">
        <v>4263</v>
      </c>
      <c r="L250" s="7" t="s">
        <v>4264</v>
      </c>
      <c r="M250" s="7" t="s">
        <v>4265</v>
      </c>
      <c r="N250" s="7" t="s">
        <v>3516</v>
      </c>
      <c r="O250" s="7"/>
      <c r="P250" s="7"/>
      <c r="Q250" s="7" t="n">
        <v>21</v>
      </c>
    </row>
    <row r="251" customFormat="false" ht="73.5" hidden="false" customHeight="true" outlineLevel="0" collapsed="false">
      <c r="A251" s="7" t="n">
        <v>247</v>
      </c>
      <c r="B251" s="7" t="s">
        <v>22</v>
      </c>
      <c r="C251" s="7" t="s">
        <v>3996</v>
      </c>
      <c r="D251" s="7" t="s">
        <v>3997</v>
      </c>
      <c r="E251" s="7" t="s">
        <v>4005</v>
      </c>
      <c r="F251" s="7" t="n">
        <v>156</v>
      </c>
      <c r="G251" s="15" t="s">
        <v>20</v>
      </c>
      <c r="H251" s="15" t="s">
        <v>28</v>
      </c>
      <c r="I251" s="7"/>
      <c r="J251" s="7" t="s">
        <v>1668</v>
      </c>
      <c r="K251" s="7" t="s">
        <v>4266</v>
      </c>
      <c r="L251" s="7" t="s">
        <v>4267</v>
      </c>
      <c r="M251" s="7" t="s">
        <v>4268</v>
      </c>
      <c r="N251" s="7" t="s">
        <v>4269</v>
      </c>
      <c r="O251" s="7"/>
      <c r="P251" s="7"/>
      <c r="Q251" s="7" t="n">
        <v>28</v>
      </c>
    </row>
    <row r="252" customFormat="false" ht="73.5" hidden="false" customHeight="true" outlineLevel="0" collapsed="false">
      <c r="A252" s="7" t="n">
        <v>248</v>
      </c>
      <c r="B252" s="7" t="s">
        <v>22</v>
      </c>
      <c r="C252" s="7" t="s">
        <v>3996</v>
      </c>
      <c r="D252" s="7" t="s">
        <v>3997</v>
      </c>
      <c r="E252" s="7" t="s">
        <v>4005</v>
      </c>
      <c r="F252" s="7" t="n">
        <v>157</v>
      </c>
      <c r="G252" s="15" t="s">
        <v>20</v>
      </c>
      <c r="H252" s="15" t="s">
        <v>28</v>
      </c>
      <c r="I252" s="7"/>
      <c r="J252" s="7" t="s">
        <v>1674</v>
      </c>
      <c r="K252" s="7" t="s">
        <v>4270</v>
      </c>
      <c r="L252" s="7" t="s">
        <v>4271</v>
      </c>
      <c r="M252" s="7" t="s">
        <v>4272</v>
      </c>
      <c r="N252" s="7" t="s">
        <v>4273</v>
      </c>
      <c r="O252" s="7"/>
      <c r="P252" s="7"/>
      <c r="Q252" s="7" t="n">
        <v>28</v>
      </c>
    </row>
    <row r="253" customFormat="false" ht="73.5" hidden="false" customHeight="true" outlineLevel="0" collapsed="false">
      <c r="A253" s="7" t="n">
        <v>249</v>
      </c>
      <c r="B253" s="7" t="s">
        <v>17</v>
      </c>
      <c r="C253" s="7" t="s">
        <v>4044</v>
      </c>
      <c r="D253" s="7" t="s">
        <v>4045</v>
      </c>
      <c r="E253" s="7" t="s">
        <v>4005</v>
      </c>
      <c r="F253" s="7" t="n">
        <v>101</v>
      </c>
      <c r="G253" s="15" t="s">
        <v>20</v>
      </c>
      <c r="H253" s="15" t="s">
        <v>28</v>
      </c>
      <c r="I253" s="7"/>
      <c r="J253" s="7" t="s">
        <v>1680</v>
      </c>
      <c r="K253" s="7" t="s">
        <v>4274</v>
      </c>
      <c r="L253" s="7" t="s">
        <v>4275</v>
      </c>
      <c r="M253" s="7" t="s">
        <v>4276</v>
      </c>
      <c r="N253" s="7" t="s">
        <v>4277</v>
      </c>
      <c r="O253" s="7"/>
      <c r="P253" s="7"/>
      <c r="Q253" s="7" t="n">
        <v>20</v>
      </c>
    </row>
    <row r="254" customFormat="false" ht="73.5" hidden="false" customHeight="true" outlineLevel="0" collapsed="false">
      <c r="A254" s="7" t="n">
        <v>250</v>
      </c>
      <c r="B254" s="7" t="s">
        <v>17</v>
      </c>
      <c r="C254" s="7" t="s">
        <v>4044</v>
      </c>
      <c r="D254" s="7" t="s">
        <v>4045</v>
      </c>
      <c r="E254" s="7" t="s">
        <v>4005</v>
      </c>
      <c r="F254" s="7" t="n">
        <v>106</v>
      </c>
      <c r="G254" s="15" t="s">
        <v>20</v>
      </c>
      <c r="H254" s="15" t="s">
        <v>28</v>
      </c>
      <c r="I254" s="7"/>
      <c r="J254" s="7" t="s">
        <v>1686</v>
      </c>
      <c r="K254" s="7" t="s">
        <v>4278</v>
      </c>
      <c r="L254" s="7" t="s">
        <v>4279</v>
      </c>
      <c r="M254" s="7" t="s">
        <v>4280</v>
      </c>
      <c r="N254" s="7" t="s">
        <v>4281</v>
      </c>
      <c r="O254" s="7"/>
      <c r="P254" s="7"/>
      <c r="Q254" s="7" t="n">
        <v>20</v>
      </c>
    </row>
    <row r="255" customFormat="false" ht="73.5" hidden="false" customHeight="true" outlineLevel="0" collapsed="false">
      <c r="A255" s="7" t="n">
        <v>251</v>
      </c>
      <c r="B255" s="7" t="s">
        <v>31</v>
      </c>
      <c r="C255" s="7" t="s">
        <v>4003</v>
      </c>
      <c r="D255" s="7" t="s">
        <v>4010</v>
      </c>
      <c r="E255" s="7" t="s">
        <v>3998</v>
      </c>
      <c r="F255" s="7" t="n">
        <v>142</v>
      </c>
      <c r="G255" s="14" t="s">
        <v>18</v>
      </c>
      <c r="H255" s="14" t="s">
        <v>18</v>
      </c>
      <c r="I255" s="7"/>
      <c r="J255" s="7" t="s">
        <v>1692</v>
      </c>
      <c r="K255" s="7" t="s">
        <v>4282</v>
      </c>
      <c r="L255" s="7" t="s">
        <v>4283</v>
      </c>
      <c r="M255" s="7" t="s">
        <v>4284</v>
      </c>
      <c r="N255" s="7" t="s">
        <v>4285</v>
      </c>
      <c r="O255" s="7"/>
      <c r="P255" s="7"/>
      <c r="Q255" s="7" t="n">
        <v>23</v>
      </c>
    </row>
    <row r="256" customFormat="false" ht="73.5" hidden="false" customHeight="true" outlineLevel="0" collapsed="false">
      <c r="A256" s="7" t="n">
        <v>252</v>
      </c>
      <c r="B256" s="7" t="s">
        <v>17</v>
      </c>
      <c r="C256" s="7" t="s">
        <v>4058</v>
      </c>
      <c r="D256" s="7" t="s">
        <v>4084</v>
      </c>
      <c r="E256" s="7" t="s">
        <v>3998</v>
      </c>
      <c r="F256" s="7" t="n">
        <v>53</v>
      </c>
      <c r="G256" s="14" t="s">
        <v>18</v>
      </c>
      <c r="H256" s="14" t="s">
        <v>18</v>
      </c>
      <c r="I256" s="7"/>
      <c r="J256" s="7" t="s">
        <v>1698</v>
      </c>
      <c r="K256" s="7" t="s">
        <v>4286</v>
      </c>
      <c r="L256" s="7" t="s">
        <v>4287</v>
      </c>
      <c r="M256" s="7" t="s">
        <v>4288</v>
      </c>
      <c r="N256" s="7" t="s">
        <v>4289</v>
      </c>
      <c r="O256" s="7"/>
      <c r="P256" s="7"/>
      <c r="Q256" s="7" t="n">
        <v>21</v>
      </c>
    </row>
    <row r="257" customFormat="false" ht="73.5" hidden="false" customHeight="true" outlineLevel="0" collapsed="false">
      <c r="A257" s="7" t="n">
        <v>253</v>
      </c>
      <c r="B257" s="7" t="s">
        <v>25</v>
      </c>
      <c r="C257" s="7" t="s">
        <v>4003</v>
      </c>
      <c r="D257" s="7" t="s">
        <v>4224</v>
      </c>
      <c r="E257" s="7" t="s">
        <v>4005</v>
      </c>
      <c r="F257" s="7" t="n">
        <v>102</v>
      </c>
      <c r="G257" s="15" t="s">
        <v>20</v>
      </c>
      <c r="H257" s="15" t="s">
        <v>28</v>
      </c>
      <c r="I257" s="7"/>
      <c r="J257" s="7" t="s">
        <v>1704</v>
      </c>
      <c r="K257" s="7" t="s">
        <v>4290</v>
      </c>
      <c r="L257" s="7" t="s">
        <v>4291</v>
      </c>
      <c r="M257" s="7" t="s">
        <v>4292</v>
      </c>
      <c r="N257" s="7" t="s">
        <v>4293</v>
      </c>
      <c r="O257" s="7"/>
      <c r="P257" s="7"/>
      <c r="Q257" s="7" t="n">
        <v>20</v>
      </c>
    </row>
    <row r="258" customFormat="false" ht="73.5" hidden="false" customHeight="true" outlineLevel="0" collapsed="false">
      <c r="A258" s="7" t="n">
        <v>254</v>
      </c>
      <c r="B258" s="7" t="s">
        <v>25</v>
      </c>
      <c r="C258" s="7" t="s">
        <v>4003</v>
      </c>
      <c r="D258" s="7" t="s">
        <v>4224</v>
      </c>
      <c r="E258" s="7" t="s">
        <v>4005</v>
      </c>
      <c r="F258" s="7" t="n">
        <v>104</v>
      </c>
      <c r="G258" s="15" t="s">
        <v>20</v>
      </c>
      <c r="H258" s="15" t="s">
        <v>28</v>
      </c>
      <c r="I258" s="7"/>
      <c r="J258" s="7" t="s">
        <v>1710</v>
      </c>
      <c r="K258" s="7" t="s">
        <v>4294</v>
      </c>
      <c r="L258" s="7" t="s">
        <v>4295</v>
      </c>
      <c r="M258" s="7" t="s">
        <v>4296</v>
      </c>
      <c r="N258" s="7" t="s">
        <v>4297</v>
      </c>
      <c r="O258" s="7"/>
      <c r="P258" s="7"/>
      <c r="Q258" s="7" t="n">
        <v>20</v>
      </c>
    </row>
    <row r="259" customFormat="false" ht="73.5" hidden="false" customHeight="true" outlineLevel="0" collapsed="false">
      <c r="A259" s="7" t="n">
        <v>255</v>
      </c>
      <c r="B259" s="7" t="s">
        <v>31</v>
      </c>
      <c r="C259" s="7" t="s">
        <v>4003</v>
      </c>
      <c r="D259" s="7" t="s">
        <v>4010</v>
      </c>
      <c r="E259" s="7" t="s">
        <v>3998</v>
      </c>
      <c r="F259" s="7" t="n">
        <v>11</v>
      </c>
      <c r="G259" s="14" t="s">
        <v>18</v>
      </c>
      <c r="H259" s="14" t="s">
        <v>18</v>
      </c>
      <c r="I259" s="7"/>
      <c r="J259" s="7" t="s">
        <v>1716</v>
      </c>
      <c r="K259" s="7" t="s">
        <v>4298</v>
      </c>
      <c r="L259" s="7" t="s">
        <v>4299</v>
      </c>
      <c r="M259" s="7" t="s">
        <v>4300</v>
      </c>
      <c r="N259" s="7" t="s">
        <v>4301</v>
      </c>
      <c r="O259" s="7"/>
      <c r="P259" s="7"/>
      <c r="Q259" s="7" t="n">
        <v>2</v>
      </c>
    </row>
    <row r="260" customFormat="false" ht="73.5" hidden="false" customHeight="true" outlineLevel="0" collapsed="false">
      <c r="A260" s="7" t="n">
        <v>256</v>
      </c>
      <c r="B260" s="7" t="s">
        <v>15</v>
      </c>
      <c r="C260" s="7" t="s">
        <v>3996</v>
      </c>
      <c r="D260" s="7" t="s">
        <v>4030</v>
      </c>
      <c r="E260" s="7" t="s">
        <v>4302</v>
      </c>
      <c r="F260" s="7" t="n">
        <v>40</v>
      </c>
      <c r="G260" s="15" t="s">
        <v>20</v>
      </c>
      <c r="H260" s="15" t="s">
        <v>30</v>
      </c>
      <c r="I260" s="7"/>
      <c r="J260" s="7" t="s">
        <v>1723</v>
      </c>
      <c r="K260" s="7" t="s">
        <v>4303</v>
      </c>
      <c r="L260" s="7" t="s">
        <v>4304</v>
      </c>
      <c r="M260" s="7" t="s">
        <v>4305</v>
      </c>
      <c r="N260" s="7" t="s">
        <v>4306</v>
      </c>
      <c r="O260" s="7"/>
      <c r="P260" s="7"/>
      <c r="Q260" s="7" t="n">
        <v>12</v>
      </c>
    </row>
    <row r="261" customFormat="false" ht="73.5" hidden="false" customHeight="true" outlineLevel="0" collapsed="false">
      <c r="A261" s="7" t="n">
        <v>257</v>
      </c>
      <c r="B261" s="7" t="s">
        <v>22</v>
      </c>
      <c r="C261" s="7" t="s">
        <v>3996</v>
      </c>
      <c r="D261" s="7" t="s">
        <v>3997</v>
      </c>
      <c r="E261" s="7" t="s">
        <v>4005</v>
      </c>
      <c r="F261" s="7" t="n">
        <v>155</v>
      </c>
      <c r="G261" s="15" t="s">
        <v>20</v>
      </c>
      <c r="H261" s="15" t="s">
        <v>28</v>
      </c>
      <c r="I261" s="7"/>
      <c r="J261" s="7" t="s">
        <v>1729</v>
      </c>
      <c r="K261" s="7" t="s">
        <v>4307</v>
      </c>
      <c r="L261" s="7" t="s">
        <v>4308</v>
      </c>
      <c r="M261" s="7" t="s">
        <v>4309</v>
      </c>
      <c r="N261" s="7" t="s">
        <v>4310</v>
      </c>
      <c r="O261" s="7"/>
      <c r="P261" s="7"/>
      <c r="Q261" s="7" t="n">
        <v>28</v>
      </c>
    </row>
    <row r="262" customFormat="false" ht="186.75" hidden="false" customHeight="true" outlineLevel="0" collapsed="false">
      <c r="A262" s="7" t="n">
        <v>258</v>
      </c>
      <c r="B262" s="7" t="s">
        <v>15</v>
      </c>
      <c r="C262" s="7" t="s">
        <v>3217</v>
      </c>
      <c r="D262" s="7" t="s">
        <v>4143</v>
      </c>
      <c r="E262" s="7" t="s">
        <v>4031</v>
      </c>
      <c r="F262" s="7" t="n">
        <v>101</v>
      </c>
      <c r="G262" s="15" t="s">
        <v>20</v>
      </c>
      <c r="H262" s="15" t="s">
        <v>32</v>
      </c>
      <c r="I262" s="7" t="s">
        <v>4311</v>
      </c>
      <c r="J262" s="7" t="s">
        <v>1738</v>
      </c>
      <c r="K262" s="7" t="s">
        <v>4312</v>
      </c>
      <c r="L262" s="7" t="s">
        <v>4313</v>
      </c>
      <c r="M262" s="7" t="s">
        <v>4314</v>
      </c>
      <c r="N262" s="7" t="s">
        <v>4315</v>
      </c>
      <c r="O262" s="7" t="s">
        <v>4316</v>
      </c>
      <c r="P262" s="7"/>
      <c r="Q262" s="7" t="n">
        <v>27</v>
      </c>
    </row>
    <row r="263" customFormat="false" ht="73.5" hidden="false" customHeight="true" outlineLevel="0" collapsed="false">
      <c r="A263" s="7" t="n">
        <v>259</v>
      </c>
      <c r="B263" s="7" t="s">
        <v>19</v>
      </c>
      <c r="C263" s="7" t="s">
        <v>3217</v>
      </c>
      <c r="D263" s="7" t="s">
        <v>4139</v>
      </c>
      <c r="E263" s="7" t="s">
        <v>4071</v>
      </c>
      <c r="F263" s="7" t="n">
        <v>94</v>
      </c>
      <c r="G263" s="15" t="s">
        <v>20</v>
      </c>
      <c r="H263" s="15" t="s">
        <v>28</v>
      </c>
      <c r="I263" s="7"/>
      <c r="J263" s="7" t="s">
        <v>1745</v>
      </c>
      <c r="K263" s="7" t="s">
        <v>4317</v>
      </c>
      <c r="L263" s="7" t="s">
        <v>4318</v>
      </c>
      <c r="M263" s="7" t="s">
        <v>4319</v>
      </c>
      <c r="N263" s="7"/>
      <c r="O263" s="7"/>
      <c r="P263" s="7"/>
      <c r="Q263" s="7" t="n">
        <v>23</v>
      </c>
    </row>
    <row r="264" customFormat="false" ht="73.5" hidden="false" customHeight="true" outlineLevel="0" collapsed="false">
      <c r="A264" s="7" t="n">
        <v>260</v>
      </c>
      <c r="B264" s="7" t="s">
        <v>25</v>
      </c>
      <c r="C264" s="7" t="s">
        <v>3217</v>
      </c>
      <c r="D264" s="7" t="s">
        <v>4320</v>
      </c>
      <c r="E264" s="7" t="s">
        <v>4005</v>
      </c>
      <c r="F264" s="7" t="n">
        <v>106</v>
      </c>
      <c r="G264" s="15" t="s">
        <v>20</v>
      </c>
      <c r="H264" s="15" t="s">
        <v>28</v>
      </c>
      <c r="I264" s="7"/>
      <c r="J264" s="7" t="s">
        <v>1750</v>
      </c>
      <c r="K264" s="7" t="s">
        <v>4321</v>
      </c>
      <c r="L264" s="7" t="s">
        <v>4322</v>
      </c>
      <c r="M264" s="7" t="s">
        <v>4323</v>
      </c>
      <c r="N264" s="7" t="s">
        <v>4324</v>
      </c>
      <c r="O264" s="7"/>
      <c r="P264" s="7"/>
      <c r="Q264" s="7" t="n">
        <v>21</v>
      </c>
    </row>
    <row r="265" customFormat="false" ht="73.5" hidden="false" customHeight="true" outlineLevel="0" collapsed="false">
      <c r="A265" s="7" t="n">
        <v>261</v>
      </c>
      <c r="B265" s="7" t="s">
        <v>15</v>
      </c>
      <c r="C265" s="7" t="s">
        <v>3996</v>
      </c>
      <c r="D265" s="7" t="s">
        <v>4030</v>
      </c>
      <c r="E265" s="7" t="s">
        <v>4302</v>
      </c>
      <c r="F265" s="7" t="n">
        <v>50</v>
      </c>
      <c r="G265" s="15" t="s">
        <v>20</v>
      </c>
      <c r="H265" s="15" t="s">
        <v>30</v>
      </c>
      <c r="I265" s="7"/>
      <c r="J265" s="7" t="s">
        <v>1756</v>
      </c>
      <c r="K265" s="7" t="s">
        <v>4325</v>
      </c>
      <c r="L265" s="7" t="s">
        <v>4326</v>
      </c>
      <c r="M265" s="7" t="s">
        <v>4327</v>
      </c>
      <c r="N265" s="7" t="s">
        <v>4328</v>
      </c>
      <c r="O265" s="7"/>
      <c r="P265" s="7"/>
      <c r="Q265" s="7" t="n">
        <v>13</v>
      </c>
    </row>
    <row r="266" customFormat="false" ht="73.5" hidden="false" customHeight="true" outlineLevel="0" collapsed="false">
      <c r="A266" s="7" t="n">
        <v>262</v>
      </c>
      <c r="B266" s="7" t="s">
        <v>25</v>
      </c>
      <c r="C266" s="7" t="s">
        <v>3217</v>
      </c>
      <c r="D266" s="7" t="s">
        <v>4320</v>
      </c>
      <c r="E266" s="7" t="s">
        <v>4005</v>
      </c>
      <c r="F266" s="7" t="n">
        <v>108</v>
      </c>
      <c r="G266" s="15" t="s">
        <v>20</v>
      </c>
      <c r="H266" s="15" t="s">
        <v>28</v>
      </c>
      <c r="I266" s="7"/>
      <c r="J266" s="7" t="s">
        <v>1762</v>
      </c>
      <c r="K266" s="7" t="s">
        <v>4329</v>
      </c>
      <c r="L266" s="7" t="s">
        <v>4330</v>
      </c>
      <c r="M266" s="7" t="s">
        <v>4331</v>
      </c>
      <c r="N266" s="7" t="s">
        <v>4332</v>
      </c>
      <c r="O266" s="7"/>
      <c r="P266" s="7"/>
      <c r="Q266" s="7" t="n">
        <v>22</v>
      </c>
    </row>
    <row r="267" customFormat="false" ht="73.5" hidden="false" customHeight="true" outlineLevel="0" collapsed="false">
      <c r="A267" s="7" t="n">
        <v>263</v>
      </c>
      <c r="B267" s="7" t="s">
        <v>27</v>
      </c>
      <c r="C267" s="7" t="s">
        <v>4129</v>
      </c>
      <c r="D267" s="7" t="s">
        <v>4130</v>
      </c>
      <c r="E267" s="7" t="s">
        <v>3998</v>
      </c>
      <c r="F267" s="7" t="n">
        <v>62</v>
      </c>
      <c r="G267" s="14" t="s">
        <v>18</v>
      </c>
      <c r="H267" s="14" t="s">
        <v>18</v>
      </c>
      <c r="I267" s="7"/>
      <c r="J267" s="7" t="s">
        <v>1768</v>
      </c>
      <c r="K267" s="7" t="s">
        <v>4333</v>
      </c>
      <c r="L267" s="7" t="s">
        <v>4334</v>
      </c>
      <c r="M267" s="7" t="s">
        <v>4335</v>
      </c>
      <c r="N267" s="7" t="s">
        <v>4336</v>
      </c>
      <c r="O267" s="7"/>
      <c r="P267" s="7"/>
      <c r="Q267" s="7" t="n">
        <v>16</v>
      </c>
    </row>
    <row r="268" customFormat="false" ht="73.5" hidden="false" customHeight="true" outlineLevel="0" collapsed="false">
      <c r="A268" s="7" t="n">
        <v>264</v>
      </c>
      <c r="B268" s="7" t="s">
        <v>25</v>
      </c>
      <c r="C268" s="7" t="s">
        <v>3217</v>
      </c>
      <c r="D268" s="7" t="s">
        <v>4320</v>
      </c>
      <c r="E268" s="7" t="s">
        <v>4005</v>
      </c>
      <c r="F268" s="7" t="n">
        <v>101</v>
      </c>
      <c r="G268" s="15" t="s">
        <v>20</v>
      </c>
      <c r="H268" s="15" t="s">
        <v>28</v>
      </c>
      <c r="I268" s="7"/>
      <c r="J268" s="7" t="s">
        <v>1774</v>
      </c>
      <c r="K268" s="7" t="s">
        <v>4337</v>
      </c>
      <c r="L268" s="7" t="s">
        <v>4338</v>
      </c>
      <c r="M268" s="7" t="s">
        <v>4339</v>
      </c>
      <c r="N268" s="7" t="s">
        <v>4340</v>
      </c>
      <c r="O268" s="7"/>
      <c r="P268" s="7"/>
      <c r="Q268" s="7" t="n">
        <v>20</v>
      </c>
    </row>
    <row r="269" customFormat="false" ht="73.5" hidden="false" customHeight="true" outlineLevel="0" collapsed="false">
      <c r="A269" s="7" t="n">
        <v>265</v>
      </c>
      <c r="B269" s="7" t="s">
        <v>25</v>
      </c>
      <c r="C269" s="7" t="s">
        <v>3217</v>
      </c>
      <c r="D269" s="7" t="s">
        <v>4320</v>
      </c>
      <c r="E269" s="7" t="s">
        <v>4005</v>
      </c>
      <c r="F269" s="7" t="n">
        <v>105</v>
      </c>
      <c r="G269" s="15" t="s">
        <v>20</v>
      </c>
      <c r="H269" s="15" t="s">
        <v>28</v>
      </c>
      <c r="I269" s="7"/>
      <c r="J269" s="7" t="s">
        <v>1780</v>
      </c>
      <c r="K269" s="7" t="s">
        <v>4341</v>
      </c>
      <c r="L269" s="7" t="s">
        <v>4342</v>
      </c>
      <c r="M269" s="7" t="s">
        <v>3881</v>
      </c>
      <c r="N269" s="7" t="s">
        <v>4343</v>
      </c>
      <c r="O269" s="7"/>
      <c r="P269" s="7"/>
      <c r="Q269" s="7" t="n">
        <v>21</v>
      </c>
    </row>
    <row r="270" customFormat="false" ht="73.5" hidden="false" customHeight="true" outlineLevel="0" collapsed="false">
      <c r="A270" s="7" t="n">
        <v>266</v>
      </c>
      <c r="B270" s="7" t="s">
        <v>17</v>
      </c>
      <c r="C270" s="7" t="s">
        <v>4058</v>
      </c>
      <c r="D270" s="7" t="s">
        <v>4084</v>
      </c>
      <c r="E270" s="7" t="s">
        <v>4005</v>
      </c>
      <c r="F270" s="7" t="n">
        <v>106</v>
      </c>
      <c r="G270" s="15" t="s">
        <v>20</v>
      </c>
      <c r="H270" s="15" t="s">
        <v>28</v>
      </c>
      <c r="I270" s="7"/>
      <c r="J270" s="7" t="s">
        <v>1786</v>
      </c>
      <c r="K270" s="7" t="s">
        <v>4344</v>
      </c>
      <c r="L270" s="7" t="s">
        <v>4345</v>
      </c>
      <c r="M270" s="7" t="s">
        <v>4346</v>
      </c>
      <c r="N270" s="7" t="s">
        <v>4347</v>
      </c>
      <c r="O270" s="7"/>
      <c r="P270" s="7"/>
      <c r="Q270" s="7" t="n">
        <v>37</v>
      </c>
    </row>
    <row r="271" customFormat="false" ht="73.5" hidden="false" customHeight="true" outlineLevel="0" collapsed="false">
      <c r="A271" s="7" t="n">
        <v>267</v>
      </c>
      <c r="B271" s="7" t="s">
        <v>27</v>
      </c>
      <c r="C271" s="7" t="s">
        <v>3996</v>
      </c>
      <c r="D271" s="7" t="s">
        <v>4070</v>
      </c>
      <c r="E271" s="7" t="s">
        <v>3998</v>
      </c>
      <c r="F271" s="7" t="n">
        <v>77</v>
      </c>
      <c r="G271" s="14" t="s">
        <v>18</v>
      </c>
      <c r="H271" s="14" t="s">
        <v>18</v>
      </c>
      <c r="I271" s="7"/>
      <c r="J271" s="7" t="s">
        <v>1792</v>
      </c>
      <c r="K271" s="7" t="s">
        <v>4348</v>
      </c>
      <c r="L271" s="7" t="s">
        <v>4349</v>
      </c>
      <c r="M271" s="7" t="s">
        <v>4350</v>
      </c>
      <c r="N271" s="7" t="s">
        <v>4351</v>
      </c>
      <c r="O271" s="7"/>
      <c r="P271" s="7"/>
      <c r="Q271" s="7" t="n">
        <v>28</v>
      </c>
    </row>
    <row r="272" customFormat="false" ht="73.5" hidden="false" customHeight="true" outlineLevel="0" collapsed="false">
      <c r="A272" s="7" t="n">
        <v>268</v>
      </c>
      <c r="B272" s="7" t="s">
        <v>21</v>
      </c>
      <c r="C272" s="7" t="s">
        <v>4058</v>
      </c>
      <c r="D272" s="7" t="s">
        <v>4059</v>
      </c>
      <c r="E272" s="7" t="s">
        <v>3998</v>
      </c>
      <c r="F272" s="7" t="n">
        <v>51</v>
      </c>
      <c r="G272" s="14" t="s">
        <v>18</v>
      </c>
      <c r="H272" s="14" t="s">
        <v>18</v>
      </c>
      <c r="I272" s="7"/>
      <c r="J272" s="7" t="s">
        <v>1798</v>
      </c>
      <c r="K272" s="7" t="s">
        <v>4352</v>
      </c>
      <c r="L272" s="7" t="s">
        <v>4353</v>
      </c>
      <c r="M272" s="7" t="s">
        <v>4354</v>
      </c>
      <c r="N272" s="7" t="s">
        <v>4355</v>
      </c>
      <c r="O272" s="7"/>
      <c r="P272" s="7"/>
      <c r="Q272" s="7" t="n">
        <v>10</v>
      </c>
    </row>
    <row r="273" customFormat="false" ht="73.5" hidden="false" customHeight="true" outlineLevel="0" collapsed="false">
      <c r="A273" s="7" t="n">
        <v>269</v>
      </c>
      <c r="B273" s="7" t="s">
        <v>17</v>
      </c>
      <c r="C273" s="7" t="s">
        <v>4044</v>
      </c>
      <c r="D273" s="7" t="s">
        <v>4045</v>
      </c>
      <c r="E273" s="7" t="s">
        <v>3998</v>
      </c>
      <c r="F273" s="7" t="n">
        <v>83</v>
      </c>
      <c r="G273" s="14" t="s">
        <v>18</v>
      </c>
      <c r="H273" s="14" t="s">
        <v>18</v>
      </c>
      <c r="I273" s="7"/>
      <c r="J273" s="7" t="s">
        <v>1804</v>
      </c>
      <c r="K273" s="7" t="s">
        <v>4356</v>
      </c>
      <c r="L273" s="7" t="s">
        <v>4357</v>
      </c>
      <c r="M273" s="7" t="s">
        <v>4358</v>
      </c>
      <c r="N273" s="7" t="s">
        <v>4359</v>
      </c>
      <c r="O273" s="7"/>
      <c r="P273" s="7"/>
      <c r="Q273" s="7" t="n">
        <v>17</v>
      </c>
    </row>
    <row r="274" customFormat="false" ht="73.5" hidden="false" customHeight="true" outlineLevel="0" collapsed="false">
      <c r="A274" s="7" t="n">
        <v>270</v>
      </c>
      <c r="B274" s="7" t="s">
        <v>23</v>
      </c>
      <c r="C274" s="7" t="s">
        <v>3217</v>
      </c>
      <c r="D274" s="7" t="s">
        <v>4038</v>
      </c>
      <c r="E274" s="7" t="s">
        <v>4039</v>
      </c>
      <c r="F274" s="7" t="n">
        <v>78</v>
      </c>
      <c r="G274" s="14" t="s">
        <v>18</v>
      </c>
      <c r="H274" s="14" t="s">
        <v>18</v>
      </c>
      <c r="I274" s="7"/>
      <c r="J274" s="7" t="s">
        <v>1810</v>
      </c>
      <c r="K274" s="7" t="s">
        <v>4360</v>
      </c>
      <c r="L274" s="7" t="s">
        <v>4361</v>
      </c>
      <c r="M274" s="7" t="s">
        <v>4362</v>
      </c>
      <c r="N274" s="7" t="s">
        <v>4363</v>
      </c>
      <c r="O274" s="7"/>
      <c r="P274" s="7"/>
      <c r="Q274" s="7" t="n">
        <v>23</v>
      </c>
    </row>
    <row r="275" customFormat="false" ht="174" hidden="false" customHeight="true" outlineLevel="0" collapsed="false">
      <c r="A275" s="7" t="n">
        <v>271</v>
      </c>
      <c r="B275" s="7" t="s">
        <v>15</v>
      </c>
      <c r="C275" s="7" t="s">
        <v>3217</v>
      </c>
      <c r="D275" s="7" t="s">
        <v>4143</v>
      </c>
      <c r="E275" s="7" t="s">
        <v>4031</v>
      </c>
      <c r="F275" s="7" t="n">
        <v>132</v>
      </c>
      <c r="G275" s="15" t="s">
        <v>20</v>
      </c>
      <c r="H275" s="15" t="s">
        <v>32</v>
      </c>
      <c r="I275" s="7" t="s">
        <v>4364</v>
      </c>
      <c r="J275" s="7" t="s">
        <v>1818</v>
      </c>
      <c r="K275" s="7" t="s">
        <v>4365</v>
      </c>
      <c r="L275" s="7" t="s">
        <v>4366</v>
      </c>
      <c r="M275" s="7" t="s">
        <v>4367</v>
      </c>
      <c r="N275" s="7" t="s">
        <v>4368</v>
      </c>
      <c r="O275" s="7" t="s">
        <v>4369</v>
      </c>
      <c r="P275" s="7"/>
      <c r="Q275" s="7" t="n">
        <v>36</v>
      </c>
    </row>
    <row r="276" customFormat="false" ht="73.5" hidden="false" customHeight="true" outlineLevel="0" collapsed="false">
      <c r="A276" s="7" t="n">
        <v>272</v>
      </c>
      <c r="B276" s="7" t="s">
        <v>25</v>
      </c>
      <c r="C276" s="7" t="s">
        <v>3217</v>
      </c>
      <c r="D276" s="7" t="s">
        <v>4320</v>
      </c>
      <c r="E276" s="7" t="s">
        <v>4005</v>
      </c>
      <c r="F276" s="7" t="n">
        <v>103</v>
      </c>
      <c r="G276" s="15" t="s">
        <v>20</v>
      </c>
      <c r="H276" s="15" t="s">
        <v>28</v>
      </c>
      <c r="I276" s="7"/>
      <c r="J276" s="7" t="s">
        <v>1825</v>
      </c>
      <c r="K276" s="7" t="s">
        <v>4370</v>
      </c>
      <c r="L276" s="7" t="s">
        <v>4371</v>
      </c>
      <c r="M276" s="7" t="s">
        <v>4372</v>
      </c>
      <c r="N276" s="7" t="s">
        <v>4373</v>
      </c>
      <c r="O276" s="7"/>
      <c r="P276" s="7"/>
      <c r="Q276" s="7" t="n">
        <v>21</v>
      </c>
    </row>
    <row r="277" customFormat="false" ht="73.5" hidden="false" customHeight="true" outlineLevel="0" collapsed="false">
      <c r="A277" s="7" t="n">
        <v>273</v>
      </c>
      <c r="B277" s="7" t="s">
        <v>15</v>
      </c>
      <c r="C277" s="7" t="s">
        <v>3217</v>
      </c>
      <c r="D277" s="7" t="s">
        <v>4143</v>
      </c>
      <c r="E277" s="7" t="s">
        <v>4302</v>
      </c>
      <c r="F277" s="7" t="n">
        <v>10</v>
      </c>
      <c r="G277" s="15" t="s">
        <v>20</v>
      </c>
      <c r="H277" s="15" t="s">
        <v>30</v>
      </c>
      <c r="I277" s="7"/>
      <c r="J277" s="7" t="s">
        <v>1831</v>
      </c>
      <c r="K277" s="7" t="s">
        <v>4374</v>
      </c>
      <c r="L277" s="7" t="s">
        <v>4375</v>
      </c>
      <c r="M277" s="7" t="s">
        <v>4376</v>
      </c>
      <c r="N277" s="7" t="s">
        <v>4377</v>
      </c>
      <c r="O277" s="7"/>
      <c r="P277" s="7"/>
      <c r="Q277" s="7" t="n">
        <v>4</v>
      </c>
    </row>
    <row r="278" customFormat="false" ht="73.5" hidden="false" customHeight="true" outlineLevel="0" collapsed="false">
      <c r="A278" s="7" t="n">
        <v>274</v>
      </c>
      <c r="B278" s="7" t="s">
        <v>25</v>
      </c>
      <c r="C278" s="7" t="s">
        <v>3217</v>
      </c>
      <c r="D278" s="7" t="s">
        <v>4320</v>
      </c>
      <c r="E278" s="7" t="s">
        <v>4005</v>
      </c>
      <c r="F278" s="7" t="n">
        <v>110</v>
      </c>
      <c r="G278" s="15" t="s">
        <v>20</v>
      </c>
      <c r="H278" s="15" t="s">
        <v>28</v>
      </c>
      <c r="I278" s="7"/>
      <c r="J278" s="7" t="s">
        <v>1837</v>
      </c>
      <c r="K278" s="7" t="s">
        <v>4378</v>
      </c>
      <c r="L278" s="7" t="s">
        <v>4379</v>
      </c>
      <c r="M278" s="7" t="s">
        <v>4380</v>
      </c>
      <c r="N278" s="7" t="s">
        <v>4381</v>
      </c>
      <c r="O278" s="7"/>
      <c r="P278" s="7"/>
      <c r="Q278" s="7" t="n">
        <v>22</v>
      </c>
    </row>
    <row r="279" customFormat="false" ht="73.5" hidden="false" customHeight="true" outlineLevel="0" collapsed="false">
      <c r="A279" s="7" t="n">
        <v>275</v>
      </c>
      <c r="B279" s="7" t="s">
        <v>15</v>
      </c>
      <c r="C279" s="7" t="s">
        <v>3996</v>
      </c>
      <c r="D279" s="7" t="s">
        <v>4030</v>
      </c>
      <c r="E279" s="7" t="s">
        <v>4302</v>
      </c>
      <c r="F279" s="7" t="n">
        <v>73</v>
      </c>
      <c r="G279" s="15" t="s">
        <v>20</v>
      </c>
      <c r="H279" s="15" t="s">
        <v>30</v>
      </c>
      <c r="I279" s="7"/>
      <c r="J279" s="7" t="s">
        <v>1843</v>
      </c>
      <c r="K279" s="7" t="s">
        <v>4382</v>
      </c>
      <c r="L279" s="7" t="s">
        <v>4383</v>
      </c>
      <c r="M279" s="7" t="s">
        <v>4384</v>
      </c>
      <c r="N279" s="7" t="s">
        <v>4385</v>
      </c>
      <c r="O279" s="7"/>
      <c r="P279" s="7"/>
      <c r="Q279" s="7" t="n">
        <v>17</v>
      </c>
    </row>
    <row r="280" customFormat="false" ht="73.5" hidden="false" customHeight="true" outlineLevel="0" collapsed="false">
      <c r="A280" s="7" t="n">
        <v>276</v>
      </c>
      <c r="B280" s="7" t="s">
        <v>27</v>
      </c>
      <c r="C280" s="7" t="s">
        <v>3996</v>
      </c>
      <c r="D280" s="7" t="s">
        <v>4070</v>
      </c>
      <c r="E280" s="7" t="s">
        <v>4071</v>
      </c>
      <c r="F280" s="7" t="n">
        <v>106</v>
      </c>
      <c r="G280" s="15" t="s">
        <v>20</v>
      </c>
      <c r="H280" s="15" t="s">
        <v>28</v>
      </c>
      <c r="I280" s="7"/>
      <c r="J280" s="7" t="s">
        <v>1849</v>
      </c>
      <c r="K280" s="7" t="s">
        <v>4386</v>
      </c>
      <c r="L280" s="7" t="s">
        <v>4387</v>
      </c>
      <c r="M280" s="7" t="s">
        <v>4388</v>
      </c>
      <c r="N280" s="7" t="s">
        <v>4389</v>
      </c>
      <c r="O280" s="7"/>
      <c r="P280" s="7"/>
      <c r="Q280" s="7" t="n">
        <v>38</v>
      </c>
    </row>
    <row r="281" customFormat="false" ht="73.5" hidden="false" customHeight="true" outlineLevel="0" collapsed="false">
      <c r="A281" s="7" t="n">
        <v>277</v>
      </c>
      <c r="B281" s="7" t="s">
        <v>21</v>
      </c>
      <c r="C281" s="7" t="s">
        <v>3217</v>
      </c>
      <c r="D281" s="7" t="s">
        <v>4108</v>
      </c>
      <c r="E281" s="7" t="s">
        <v>3998</v>
      </c>
      <c r="F281" s="7" t="n">
        <v>24</v>
      </c>
      <c r="G281" s="14" t="s">
        <v>18</v>
      </c>
      <c r="H281" s="14" t="s">
        <v>18</v>
      </c>
      <c r="I281" s="7"/>
      <c r="J281" s="7" t="s">
        <v>1856</v>
      </c>
      <c r="K281" s="7" t="s">
        <v>4390</v>
      </c>
      <c r="L281" s="7" t="s">
        <v>4391</v>
      </c>
      <c r="M281" s="7" t="s">
        <v>4392</v>
      </c>
      <c r="N281" s="7" t="s">
        <v>4393</v>
      </c>
      <c r="O281" s="7"/>
      <c r="P281" s="7"/>
      <c r="Q281" s="7" t="n">
        <v>6</v>
      </c>
    </row>
    <row r="282" customFormat="false" ht="73.5" hidden="false" customHeight="true" outlineLevel="0" collapsed="false">
      <c r="A282" s="7" t="n">
        <v>278</v>
      </c>
      <c r="B282" s="7" t="s">
        <v>23</v>
      </c>
      <c r="C282" s="7" t="s">
        <v>3217</v>
      </c>
      <c r="D282" s="7" t="s">
        <v>4038</v>
      </c>
      <c r="E282" s="7" t="s">
        <v>3998</v>
      </c>
      <c r="F282" s="7" t="n">
        <v>29</v>
      </c>
      <c r="G282" s="14" t="s">
        <v>18</v>
      </c>
      <c r="H282" s="14" t="s">
        <v>18</v>
      </c>
      <c r="I282" s="7"/>
      <c r="J282" s="7" t="s">
        <v>1863</v>
      </c>
      <c r="K282" s="7" t="s">
        <v>4394</v>
      </c>
      <c r="L282" s="7" t="s">
        <v>4395</v>
      </c>
      <c r="M282" s="7" t="s">
        <v>4396</v>
      </c>
      <c r="N282" s="7" t="s">
        <v>4397</v>
      </c>
      <c r="O282" s="7"/>
      <c r="P282" s="7"/>
      <c r="Q282" s="7" t="n">
        <v>10</v>
      </c>
    </row>
    <row r="283" customFormat="false" ht="73.5" hidden="false" customHeight="true" outlineLevel="0" collapsed="false">
      <c r="A283" s="7" t="n">
        <v>279</v>
      </c>
      <c r="B283" s="7" t="s">
        <v>27</v>
      </c>
      <c r="C283" s="7" t="s">
        <v>3996</v>
      </c>
      <c r="D283" s="7" t="s">
        <v>4070</v>
      </c>
      <c r="E283" s="7" t="s">
        <v>3998</v>
      </c>
      <c r="F283" s="7" t="n">
        <v>74</v>
      </c>
      <c r="G283" s="14" t="s">
        <v>18</v>
      </c>
      <c r="H283" s="14" t="s">
        <v>18</v>
      </c>
      <c r="I283" s="7"/>
      <c r="J283" s="7" t="s">
        <v>1869</v>
      </c>
      <c r="K283" s="7" t="s">
        <v>4398</v>
      </c>
      <c r="L283" s="7" t="s">
        <v>4399</v>
      </c>
      <c r="M283" s="7" t="s">
        <v>4400</v>
      </c>
      <c r="N283" s="7" t="s">
        <v>4401</v>
      </c>
      <c r="O283" s="7"/>
      <c r="P283" s="7"/>
      <c r="Q283" s="7" t="n">
        <v>27</v>
      </c>
    </row>
    <row r="284" customFormat="false" ht="73.5" hidden="false" customHeight="true" outlineLevel="0" collapsed="false">
      <c r="A284" s="7" t="n">
        <v>280</v>
      </c>
      <c r="B284" s="7" t="s">
        <v>21</v>
      </c>
      <c r="C284" s="7" t="s">
        <v>4058</v>
      </c>
      <c r="D284" s="7" t="s">
        <v>4059</v>
      </c>
      <c r="E284" s="7" t="s">
        <v>4005</v>
      </c>
      <c r="F284" s="7" t="n">
        <v>104</v>
      </c>
      <c r="G284" s="15" t="s">
        <v>20</v>
      </c>
      <c r="H284" s="15" t="s">
        <v>28</v>
      </c>
      <c r="I284" s="7"/>
      <c r="J284" s="7" t="s">
        <v>1875</v>
      </c>
      <c r="K284" s="7" t="s">
        <v>4402</v>
      </c>
      <c r="L284" s="7" t="s">
        <v>4403</v>
      </c>
      <c r="M284" s="7" t="s">
        <v>4404</v>
      </c>
      <c r="N284" s="7" t="s">
        <v>4405</v>
      </c>
      <c r="O284" s="7"/>
      <c r="P284" s="7"/>
      <c r="Q284" s="7" t="n">
        <v>19</v>
      </c>
    </row>
    <row r="285" customFormat="false" ht="73.5" hidden="false" customHeight="true" outlineLevel="0" collapsed="false">
      <c r="A285" s="7" t="n">
        <v>281</v>
      </c>
      <c r="B285" s="7" t="s">
        <v>31</v>
      </c>
      <c r="C285" s="7" t="s">
        <v>4003</v>
      </c>
      <c r="D285" s="7" t="s">
        <v>4010</v>
      </c>
      <c r="E285" s="7" t="s">
        <v>3998</v>
      </c>
      <c r="F285" s="7" t="n">
        <v>87</v>
      </c>
      <c r="G285" s="14" t="s">
        <v>18</v>
      </c>
      <c r="H285" s="14" t="s">
        <v>18</v>
      </c>
      <c r="I285" s="7"/>
      <c r="J285" s="7" t="s">
        <v>1882</v>
      </c>
      <c r="K285" s="7" t="s">
        <v>4406</v>
      </c>
      <c r="L285" s="7" t="s">
        <v>4407</v>
      </c>
      <c r="M285" s="7" t="s">
        <v>4408</v>
      </c>
      <c r="N285" s="7" t="s">
        <v>4409</v>
      </c>
      <c r="O285" s="7"/>
      <c r="P285" s="7"/>
      <c r="Q285" s="7" t="n">
        <v>15</v>
      </c>
    </row>
    <row r="286" customFormat="false" ht="73.5" hidden="false" customHeight="true" outlineLevel="0" collapsed="false">
      <c r="A286" s="7" t="n">
        <v>282</v>
      </c>
      <c r="B286" s="7" t="s">
        <v>27</v>
      </c>
      <c r="C286" s="7" t="s">
        <v>3996</v>
      </c>
      <c r="D286" s="7" t="s">
        <v>4070</v>
      </c>
      <c r="E286" s="7" t="s">
        <v>4071</v>
      </c>
      <c r="F286" s="7" t="n">
        <v>107</v>
      </c>
      <c r="G286" s="15" t="s">
        <v>20</v>
      </c>
      <c r="H286" s="15" t="s">
        <v>28</v>
      </c>
      <c r="I286" s="7"/>
      <c r="J286" s="7" t="s">
        <v>1888</v>
      </c>
      <c r="K286" s="7" t="s">
        <v>4410</v>
      </c>
      <c r="L286" s="7" t="s">
        <v>4411</v>
      </c>
      <c r="M286" s="7" t="s">
        <v>4412</v>
      </c>
      <c r="N286" s="7" t="s">
        <v>4413</v>
      </c>
      <c r="O286" s="7"/>
      <c r="P286" s="7"/>
      <c r="Q286" s="7" t="n">
        <v>38</v>
      </c>
    </row>
    <row r="287" customFormat="false" ht="73.5" hidden="false" customHeight="true" outlineLevel="0" collapsed="false">
      <c r="A287" s="7" t="n">
        <v>283</v>
      </c>
      <c r="B287" s="7" t="s">
        <v>29</v>
      </c>
      <c r="C287" s="7" t="s">
        <v>3217</v>
      </c>
      <c r="D287" s="7" t="s">
        <v>3898</v>
      </c>
      <c r="E287" s="7" t="s">
        <v>4025</v>
      </c>
      <c r="F287" s="7" t="n">
        <v>79</v>
      </c>
      <c r="G287" s="15" t="s">
        <v>20</v>
      </c>
      <c r="H287" s="15" t="s">
        <v>33</v>
      </c>
      <c r="I287" s="7"/>
      <c r="J287" s="7" t="s">
        <v>1894</v>
      </c>
      <c r="K287" s="7" t="s">
        <v>4414</v>
      </c>
      <c r="L287" s="7" t="s">
        <v>4415</v>
      </c>
      <c r="M287" s="7" t="s">
        <v>4416</v>
      </c>
      <c r="N287" s="7" t="s">
        <v>4417</v>
      </c>
      <c r="O287" s="7"/>
      <c r="P287" s="7"/>
      <c r="Q287" s="7" t="n">
        <v>17</v>
      </c>
    </row>
    <row r="288" customFormat="false" ht="73.5" hidden="false" customHeight="true" outlineLevel="0" collapsed="false">
      <c r="A288" s="7" t="n">
        <v>284</v>
      </c>
      <c r="B288" s="7" t="s">
        <v>19</v>
      </c>
      <c r="C288" s="7" t="s">
        <v>4003</v>
      </c>
      <c r="D288" s="7" t="s">
        <v>4004</v>
      </c>
      <c r="E288" s="7" t="s">
        <v>4005</v>
      </c>
      <c r="F288" s="7" t="n">
        <v>158</v>
      </c>
      <c r="G288" s="15" t="s">
        <v>20</v>
      </c>
      <c r="H288" s="15" t="s">
        <v>28</v>
      </c>
      <c r="I288" s="7"/>
      <c r="J288" s="7" t="s">
        <v>1900</v>
      </c>
      <c r="K288" s="7" t="s">
        <v>4418</v>
      </c>
      <c r="L288" s="7" t="s">
        <v>4419</v>
      </c>
      <c r="M288" s="7" t="s">
        <v>4420</v>
      </c>
      <c r="N288" s="7" t="s">
        <v>4421</v>
      </c>
      <c r="O288" s="7"/>
      <c r="P288" s="7"/>
      <c r="Q288" s="7" t="n">
        <v>35</v>
      </c>
    </row>
    <row r="289" customFormat="false" ht="73.5" hidden="false" customHeight="true" outlineLevel="0" collapsed="false">
      <c r="A289" s="7" t="n">
        <v>285</v>
      </c>
      <c r="B289" s="7" t="s">
        <v>27</v>
      </c>
      <c r="C289" s="7" t="s">
        <v>4129</v>
      </c>
      <c r="D289" s="7" t="s">
        <v>4130</v>
      </c>
      <c r="E289" s="7" t="s">
        <v>3998</v>
      </c>
      <c r="F289" s="7" t="n">
        <v>81</v>
      </c>
      <c r="G289" s="14" t="s">
        <v>18</v>
      </c>
      <c r="H289" s="14" t="s">
        <v>18</v>
      </c>
      <c r="I289" s="7"/>
      <c r="J289" s="7" t="s">
        <v>1907</v>
      </c>
      <c r="K289" s="7" t="s">
        <v>4422</v>
      </c>
      <c r="L289" s="7" t="s">
        <v>4423</v>
      </c>
      <c r="M289" s="7" t="s">
        <v>4424</v>
      </c>
      <c r="N289" s="7" t="s">
        <v>4425</v>
      </c>
      <c r="O289" s="7"/>
      <c r="P289" s="7"/>
      <c r="Q289" s="7" t="n">
        <v>21</v>
      </c>
    </row>
    <row r="290" customFormat="false" ht="73.5" hidden="false" customHeight="true" outlineLevel="0" collapsed="false">
      <c r="A290" s="7" t="n">
        <v>286</v>
      </c>
      <c r="B290" s="7" t="s">
        <v>17</v>
      </c>
      <c r="C290" s="7" t="s">
        <v>4058</v>
      </c>
      <c r="D290" s="7" t="s">
        <v>4084</v>
      </c>
      <c r="E290" s="7" t="s">
        <v>4005</v>
      </c>
      <c r="F290" s="7" t="n">
        <v>107</v>
      </c>
      <c r="G290" s="15" t="s">
        <v>20</v>
      </c>
      <c r="H290" s="15" t="s">
        <v>28</v>
      </c>
      <c r="I290" s="7"/>
      <c r="J290" s="7" t="s">
        <v>1913</v>
      </c>
      <c r="K290" s="7" t="s">
        <v>4426</v>
      </c>
      <c r="L290" s="7" t="s">
        <v>4427</v>
      </c>
      <c r="M290" s="7" t="s">
        <v>4428</v>
      </c>
      <c r="N290" s="7" t="s">
        <v>4429</v>
      </c>
      <c r="O290" s="7"/>
      <c r="P290" s="7"/>
      <c r="Q290" s="7" t="n">
        <v>37</v>
      </c>
    </row>
    <row r="291" customFormat="false" ht="73.5" hidden="false" customHeight="true" outlineLevel="0" collapsed="false">
      <c r="A291" s="7" t="n">
        <v>287</v>
      </c>
      <c r="B291" s="7" t="s">
        <v>21</v>
      </c>
      <c r="C291" s="7" t="s">
        <v>3217</v>
      </c>
      <c r="D291" s="7" t="s">
        <v>4108</v>
      </c>
      <c r="E291" s="7" t="s">
        <v>3998</v>
      </c>
      <c r="F291" s="7" t="n">
        <v>31</v>
      </c>
      <c r="G291" s="14" t="s">
        <v>18</v>
      </c>
      <c r="H291" s="14" t="s">
        <v>18</v>
      </c>
      <c r="I291" s="7"/>
      <c r="J291" s="7" t="s">
        <v>1919</v>
      </c>
      <c r="K291" s="7" t="s">
        <v>4430</v>
      </c>
      <c r="L291" s="7" t="s">
        <v>4431</v>
      </c>
      <c r="M291" s="7" t="s">
        <v>4432</v>
      </c>
      <c r="N291" s="7" t="s">
        <v>4433</v>
      </c>
      <c r="O291" s="7"/>
      <c r="P291" s="7"/>
      <c r="Q291" s="7" t="n">
        <v>7</v>
      </c>
    </row>
    <row r="292" customFormat="false" ht="73.5" hidden="false" customHeight="true" outlineLevel="0" collapsed="false">
      <c r="A292" s="7" t="n">
        <v>288</v>
      </c>
      <c r="B292" s="7" t="s">
        <v>19</v>
      </c>
      <c r="C292" s="7" t="s">
        <v>3217</v>
      </c>
      <c r="D292" s="7" t="s">
        <v>4139</v>
      </c>
      <c r="E292" s="7" t="s">
        <v>4071</v>
      </c>
      <c r="F292" s="7" t="n">
        <v>92</v>
      </c>
      <c r="G292" s="15" t="s">
        <v>20</v>
      </c>
      <c r="H292" s="15" t="s">
        <v>28</v>
      </c>
      <c r="I292" s="7"/>
      <c r="J292" s="7" t="s">
        <v>1926</v>
      </c>
      <c r="K292" s="7" t="s">
        <v>4434</v>
      </c>
      <c r="L292" s="7" t="s">
        <v>4435</v>
      </c>
      <c r="M292" s="7" t="s">
        <v>4436</v>
      </c>
      <c r="N292" s="7"/>
      <c r="O292" s="7"/>
      <c r="P292" s="7"/>
      <c r="Q292" s="7" t="n">
        <v>23</v>
      </c>
    </row>
    <row r="293" customFormat="false" ht="73.5" hidden="false" customHeight="true" outlineLevel="0" collapsed="false">
      <c r="A293" s="7" t="n">
        <v>289</v>
      </c>
      <c r="B293" s="7" t="s">
        <v>19</v>
      </c>
      <c r="C293" s="7" t="s">
        <v>3217</v>
      </c>
      <c r="D293" s="7" t="s">
        <v>4139</v>
      </c>
      <c r="E293" s="7" t="s">
        <v>3998</v>
      </c>
      <c r="F293" s="7" t="n">
        <v>88</v>
      </c>
      <c r="G293" s="14" t="s">
        <v>18</v>
      </c>
      <c r="H293" s="14" t="s">
        <v>18</v>
      </c>
      <c r="I293" s="7"/>
      <c r="J293" s="7" t="s">
        <v>1931</v>
      </c>
      <c r="K293" s="7" t="s">
        <v>4437</v>
      </c>
      <c r="L293" s="7" t="s">
        <v>4438</v>
      </c>
      <c r="M293" s="7" t="s">
        <v>4439</v>
      </c>
      <c r="N293" s="7"/>
      <c r="O293" s="7"/>
      <c r="P293" s="7"/>
      <c r="Q293" s="7" t="n">
        <v>22</v>
      </c>
    </row>
    <row r="294" customFormat="false" ht="73.5" hidden="false" customHeight="true" outlineLevel="0" collapsed="false">
      <c r="A294" s="7" t="n">
        <v>290</v>
      </c>
      <c r="B294" s="7" t="s">
        <v>17</v>
      </c>
      <c r="C294" s="7" t="s">
        <v>4058</v>
      </c>
      <c r="D294" s="7" t="s">
        <v>4084</v>
      </c>
      <c r="E294" s="7" t="s">
        <v>4005</v>
      </c>
      <c r="F294" s="7" t="n">
        <v>105</v>
      </c>
      <c r="G294" s="15" t="s">
        <v>20</v>
      </c>
      <c r="H294" s="15" t="s">
        <v>28</v>
      </c>
      <c r="I294" s="7"/>
      <c r="J294" s="7" t="s">
        <v>1936</v>
      </c>
      <c r="K294" s="7" t="s">
        <v>4440</v>
      </c>
      <c r="L294" s="7" t="s">
        <v>4441</v>
      </c>
      <c r="M294" s="7" t="s">
        <v>4442</v>
      </c>
      <c r="N294" s="7" t="s">
        <v>4443</v>
      </c>
      <c r="O294" s="7"/>
      <c r="P294" s="7"/>
      <c r="Q294" s="7" t="n">
        <v>37</v>
      </c>
    </row>
    <row r="295" customFormat="false" ht="73.5" hidden="false" customHeight="true" outlineLevel="0" collapsed="false">
      <c r="A295" s="7" t="n">
        <v>291</v>
      </c>
      <c r="B295" s="7" t="s">
        <v>19</v>
      </c>
      <c r="C295" s="7" t="s">
        <v>3217</v>
      </c>
      <c r="D295" s="7" t="s">
        <v>4139</v>
      </c>
      <c r="E295" s="7" t="s">
        <v>3998</v>
      </c>
      <c r="F295" s="7" t="n">
        <v>25</v>
      </c>
      <c r="G295" s="14" t="s">
        <v>18</v>
      </c>
      <c r="H295" s="14" t="s">
        <v>18</v>
      </c>
      <c r="I295" s="7"/>
      <c r="J295" s="7" t="s">
        <v>1942</v>
      </c>
      <c r="K295" s="7" t="s">
        <v>4444</v>
      </c>
      <c r="L295" s="7" t="s">
        <v>4445</v>
      </c>
      <c r="M295" s="7" t="s">
        <v>4446</v>
      </c>
      <c r="N295" s="7"/>
      <c r="O295" s="7"/>
      <c r="P295" s="7"/>
      <c r="Q295" s="7" t="n">
        <v>7</v>
      </c>
    </row>
    <row r="296" customFormat="false" ht="73.5" hidden="false" customHeight="true" outlineLevel="0" collapsed="false">
      <c r="A296" s="7" t="n">
        <v>292</v>
      </c>
      <c r="B296" s="7" t="s">
        <v>23</v>
      </c>
      <c r="C296" s="7" t="s">
        <v>3217</v>
      </c>
      <c r="D296" s="7" t="s">
        <v>4038</v>
      </c>
      <c r="E296" s="7" t="s">
        <v>3998</v>
      </c>
      <c r="F296" s="7" t="n">
        <v>28</v>
      </c>
      <c r="G296" s="14" t="s">
        <v>18</v>
      </c>
      <c r="H296" s="14" t="s">
        <v>18</v>
      </c>
      <c r="I296" s="7"/>
      <c r="J296" s="7" t="s">
        <v>1947</v>
      </c>
      <c r="K296" s="7" t="s">
        <v>4447</v>
      </c>
      <c r="L296" s="7" t="s">
        <v>4448</v>
      </c>
      <c r="M296" s="7" t="s">
        <v>4412</v>
      </c>
      <c r="N296" s="7" t="s">
        <v>4449</v>
      </c>
      <c r="O296" s="7"/>
      <c r="P296" s="7"/>
      <c r="Q296" s="7" t="n">
        <v>10</v>
      </c>
    </row>
    <row r="297" customFormat="false" ht="73.5" hidden="false" customHeight="true" outlineLevel="0" collapsed="false">
      <c r="A297" s="7" t="n">
        <v>293</v>
      </c>
      <c r="B297" s="7" t="s">
        <v>23</v>
      </c>
      <c r="C297" s="7" t="s">
        <v>3217</v>
      </c>
      <c r="D297" s="7" t="s">
        <v>4038</v>
      </c>
      <c r="E297" s="7" t="s">
        <v>3998</v>
      </c>
      <c r="F297" s="7" t="n">
        <v>10</v>
      </c>
      <c r="G297" s="14" t="s">
        <v>18</v>
      </c>
      <c r="H297" s="14" t="s">
        <v>18</v>
      </c>
      <c r="I297" s="7"/>
      <c r="J297" s="7" t="s">
        <v>1952</v>
      </c>
      <c r="K297" s="7" t="s">
        <v>4450</v>
      </c>
      <c r="L297" s="7" t="s">
        <v>4451</v>
      </c>
      <c r="M297" s="7" t="s">
        <v>4452</v>
      </c>
      <c r="N297" s="7" t="s">
        <v>4453</v>
      </c>
      <c r="O297" s="7"/>
      <c r="P297" s="7"/>
      <c r="Q297" s="7" t="n">
        <v>5</v>
      </c>
    </row>
    <row r="298" customFormat="false" ht="73.5" hidden="false" customHeight="true" outlineLevel="0" collapsed="false">
      <c r="A298" s="7" t="n">
        <v>294</v>
      </c>
      <c r="B298" s="7" t="s">
        <v>31</v>
      </c>
      <c r="C298" s="7" t="s">
        <v>4003</v>
      </c>
      <c r="D298" s="7" t="s">
        <v>4010</v>
      </c>
      <c r="E298" s="7" t="s">
        <v>3998</v>
      </c>
      <c r="F298" s="7" t="n">
        <v>131</v>
      </c>
      <c r="G298" s="14" t="s">
        <v>18</v>
      </c>
      <c r="H298" s="14" t="s">
        <v>18</v>
      </c>
      <c r="I298" s="7"/>
      <c r="J298" s="7" t="s">
        <v>1958</v>
      </c>
      <c r="K298" s="7" t="s">
        <v>4454</v>
      </c>
      <c r="L298" s="7" t="s">
        <v>4455</v>
      </c>
      <c r="M298" s="7" t="s">
        <v>4456</v>
      </c>
      <c r="N298" s="7" t="s">
        <v>4457</v>
      </c>
      <c r="O298" s="7"/>
      <c r="P298" s="7"/>
      <c r="Q298" s="7" t="n">
        <v>22</v>
      </c>
    </row>
    <row r="299" customFormat="false" ht="73.5" hidden="false" customHeight="true" outlineLevel="0" collapsed="false">
      <c r="A299" s="7" t="n">
        <v>295</v>
      </c>
      <c r="B299" s="7" t="s">
        <v>22</v>
      </c>
      <c r="C299" s="7" t="s">
        <v>3996</v>
      </c>
      <c r="D299" s="7" t="s">
        <v>3997</v>
      </c>
      <c r="E299" s="7" t="s">
        <v>3998</v>
      </c>
      <c r="F299" s="7" t="n">
        <v>149</v>
      </c>
      <c r="G299" s="14" t="s">
        <v>18</v>
      </c>
      <c r="H299" s="14" t="s">
        <v>18</v>
      </c>
      <c r="I299" s="7"/>
      <c r="J299" s="7" t="s">
        <v>1964</v>
      </c>
      <c r="K299" s="7" t="s">
        <v>4458</v>
      </c>
      <c r="L299" s="7" t="s">
        <v>4459</v>
      </c>
      <c r="M299" s="7" t="s">
        <v>4460</v>
      </c>
      <c r="N299" s="7" t="s">
        <v>4461</v>
      </c>
      <c r="O299" s="7"/>
      <c r="P299" s="7"/>
      <c r="Q299" s="7" t="n">
        <v>26</v>
      </c>
    </row>
    <row r="300" customFormat="false" ht="73.5" hidden="false" customHeight="true" outlineLevel="0" collapsed="false">
      <c r="A300" s="7" t="n">
        <v>296</v>
      </c>
      <c r="B300" s="7" t="s">
        <v>25</v>
      </c>
      <c r="C300" s="7" t="s">
        <v>4019</v>
      </c>
      <c r="D300" s="7" t="s">
        <v>4020</v>
      </c>
      <c r="E300" s="7" t="s">
        <v>4005</v>
      </c>
      <c r="F300" s="7" t="n">
        <v>107</v>
      </c>
      <c r="G300" s="15" t="s">
        <v>20</v>
      </c>
      <c r="H300" s="15" t="s">
        <v>28</v>
      </c>
      <c r="I300" s="7"/>
      <c r="J300" s="7" t="s">
        <v>1970</v>
      </c>
      <c r="K300" s="7" t="s">
        <v>4462</v>
      </c>
      <c r="L300" s="7" t="s">
        <v>4463</v>
      </c>
      <c r="M300" s="7" t="s">
        <v>4464</v>
      </c>
      <c r="N300" s="7" t="s">
        <v>4465</v>
      </c>
      <c r="O300" s="7"/>
      <c r="P300" s="7"/>
      <c r="Q300" s="7" t="n">
        <v>25</v>
      </c>
    </row>
    <row r="301" customFormat="false" ht="73.5" hidden="false" customHeight="true" outlineLevel="0" collapsed="false">
      <c r="A301" s="7" t="n">
        <v>297</v>
      </c>
      <c r="B301" s="7" t="s">
        <v>25</v>
      </c>
      <c r="C301" s="7" t="s">
        <v>4003</v>
      </c>
      <c r="D301" s="7" t="s">
        <v>4224</v>
      </c>
      <c r="E301" s="7" t="s">
        <v>3998</v>
      </c>
      <c r="F301" s="7" t="n">
        <v>100</v>
      </c>
      <c r="G301" s="14" t="s">
        <v>18</v>
      </c>
      <c r="H301" s="14" t="s">
        <v>18</v>
      </c>
      <c r="I301" s="7"/>
      <c r="J301" s="7" t="s">
        <v>1976</v>
      </c>
      <c r="K301" s="7" t="s">
        <v>4466</v>
      </c>
      <c r="L301" s="7" t="s">
        <v>4467</v>
      </c>
      <c r="M301" s="7" t="s">
        <v>4468</v>
      </c>
      <c r="N301" s="7" t="s">
        <v>4469</v>
      </c>
      <c r="O301" s="7"/>
      <c r="P301" s="7"/>
      <c r="Q301" s="7" t="n">
        <v>19</v>
      </c>
    </row>
    <row r="302" customFormat="false" ht="73.5" hidden="false" customHeight="true" outlineLevel="0" collapsed="false">
      <c r="A302" s="7" t="n">
        <v>298</v>
      </c>
      <c r="B302" s="7" t="s">
        <v>25</v>
      </c>
      <c r="C302" s="7" t="s">
        <v>4003</v>
      </c>
      <c r="D302" s="7" t="s">
        <v>4224</v>
      </c>
      <c r="E302" s="7" t="s">
        <v>3998</v>
      </c>
      <c r="F302" s="7" t="n">
        <v>85</v>
      </c>
      <c r="G302" s="14" t="s">
        <v>18</v>
      </c>
      <c r="H302" s="14" t="s">
        <v>18</v>
      </c>
      <c r="I302" s="7"/>
      <c r="J302" s="7" t="s">
        <v>1982</v>
      </c>
      <c r="K302" s="7" t="s">
        <v>4470</v>
      </c>
      <c r="L302" s="7" t="s">
        <v>4471</v>
      </c>
      <c r="M302" s="7" t="s">
        <v>4472</v>
      </c>
      <c r="N302" s="7" t="s">
        <v>4473</v>
      </c>
      <c r="O302" s="7"/>
      <c r="P302" s="7"/>
      <c r="Q302" s="7" t="n">
        <v>17</v>
      </c>
    </row>
    <row r="303" customFormat="false" ht="73.5" hidden="false" customHeight="true" outlineLevel="0" collapsed="false">
      <c r="A303" s="7" t="n">
        <v>299</v>
      </c>
      <c r="B303" s="7" t="s">
        <v>25</v>
      </c>
      <c r="C303" s="7" t="s">
        <v>3217</v>
      </c>
      <c r="D303" s="7" t="s">
        <v>4320</v>
      </c>
      <c r="E303" s="7" t="s">
        <v>3998</v>
      </c>
      <c r="F303" s="7" t="n">
        <v>9</v>
      </c>
      <c r="G303" s="14" t="s">
        <v>18</v>
      </c>
      <c r="H303" s="14" t="s">
        <v>18</v>
      </c>
      <c r="I303" s="7"/>
      <c r="J303" s="7" t="s">
        <v>1988</v>
      </c>
      <c r="K303" s="7" t="s">
        <v>4474</v>
      </c>
      <c r="L303" s="7" t="s">
        <v>4475</v>
      </c>
      <c r="M303" s="7" t="s">
        <v>4476</v>
      </c>
      <c r="N303" s="7" t="s">
        <v>4477</v>
      </c>
      <c r="O303" s="7"/>
      <c r="P303" s="7"/>
      <c r="Q303" s="7" t="n">
        <v>3</v>
      </c>
    </row>
    <row r="304" customFormat="false" ht="73.5" hidden="false" customHeight="true" outlineLevel="0" collapsed="false">
      <c r="A304" s="7" t="n">
        <v>300</v>
      </c>
      <c r="B304" s="7" t="s">
        <v>31</v>
      </c>
      <c r="C304" s="7" t="s">
        <v>4003</v>
      </c>
      <c r="D304" s="7" t="s">
        <v>4010</v>
      </c>
      <c r="E304" s="7" t="s">
        <v>3998</v>
      </c>
      <c r="F304" s="7" t="n">
        <v>111</v>
      </c>
      <c r="G304" s="14" t="s">
        <v>18</v>
      </c>
      <c r="H304" s="14" t="s">
        <v>18</v>
      </c>
      <c r="I304" s="7"/>
      <c r="J304" s="7" t="s">
        <v>1994</v>
      </c>
      <c r="K304" s="7" t="s">
        <v>4478</v>
      </c>
      <c r="L304" s="7" t="s">
        <v>4479</v>
      </c>
      <c r="M304" s="7" t="s">
        <v>4480</v>
      </c>
      <c r="N304" s="7" t="s">
        <v>4481</v>
      </c>
      <c r="O304" s="7"/>
      <c r="P304" s="7"/>
      <c r="Q304" s="7" t="n">
        <v>18</v>
      </c>
    </row>
    <row r="305" customFormat="false" ht="73.5" hidden="false" customHeight="true" outlineLevel="0" collapsed="false">
      <c r="A305" s="7" t="n">
        <v>301</v>
      </c>
      <c r="B305" s="7" t="s">
        <v>17</v>
      </c>
      <c r="C305" s="7" t="s">
        <v>4058</v>
      </c>
      <c r="D305" s="7" t="s">
        <v>4084</v>
      </c>
      <c r="E305" s="7" t="s">
        <v>4005</v>
      </c>
      <c r="F305" s="7" t="n">
        <v>104</v>
      </c>
      <c r="G305" s="15" t="s">
        <v>20</v>
      </c>
      <c r="H305" s="15" t="s">
        <v>28</v>
      </c>
      <c r="I305" s="7"/>
      <c r="J305" s="7" t="s">
        <v>2000</v>
      </c>
      <c r="K305" s="7" t="s">
        <v>4482</v>
      </c>
      <c r="L305" s="7" t="s">
        <v>4483</v>
      </c>
      <c r="M305" s="7" t="s">
        <v>4484</v>
      </c>
      <c r="N305" s="7" t="s">
        <v>4485</v>
      </c>
      <c r="O305" s="7"/>
      <c r="P305" s="7"/>
      <c r="Q305" s="7" t="n">
        <v>37</v>
      </c>
    </row>
    <row r="306" customFormat="false" ht="73.5" hidden="false" customHeight="true" outlineLevel="0" collapsed="false">
      <c r="A306" s="7" t="n">
        <v>302</v>
      </c>
      <c r="B306" s="7" t="s">
        <v>19</v>
      </c>
      <c r="C306" s="7" t="s">
        <v>4003</v>
      </c>
      <c r="D306" s="7" t="s">
        <v>4004</v>
      </c>
      <c r="E306" s="7" t="s">
        <v>4005</v>
      </c>
      <c r="F306" s="7" t="n">
        <v>155</v>
      </c>
      <c r="G306" s="15" t="s">
        <v>20</v>
      </c>
      <c r="H306" s="15" t="s">
        <v>28</v>
      </c>
      <c r="I306" s="7"/>
      <c r="J306" s="7" t="s">
        <v>2006</v>
      </c>
      <c r="K306" s="7" t="s">
        <v>4486</v>
      </c>
      <c r="L306" s="7" t="s">
        <v>4487</v>
      </c>
      <c r="M306" s="7" t="s">
        <v>4488</v>
      </c>
      <c r="N306" s="7" t="s">
        <v>4489</v>
      </c>
      <c r="O306" s="7"/>
      <c r="P306" s="7"/>
      <c r="Q306" s="7" t="n">
        <v>35</v>
      </c>
    </row>
    <row r="307" customFormat="false" ht="73.5" hidden="false" customHeight="true" outlineLevel="0" collapsed="false">
      <c r="A307" s="7" t="n">
        <v>303</v>
      </c>
      <c r="B307" s="7" t="s">
        <v>22</v>
      </c>
      <c r="C307" s="7" t="s">
        <v>3996</v>
      </c>
      <c r="D307" s="7" t="s">
        <v>3997</v>
      </c>
      <c r="E307" s="7" t="s">
        <v>4005</v>
      </c>
      <c r="F307" s="7" t="n">
        <v>154</v>
      </c>
      <c r="G307" s="15" t="s">
        <v>20</v>
      </c>
      <c r="H307" s="15" t="s">
        <v>28</v>
      </c>
      <c r="I307" s="7"/>
      <c r="J307" s="7" t="s">
        <v>2012</v>
      </c>
      <c r="K307" s="7" t="s">
        <v>4490</v>
      </c>
      <c r="L307" s="7" t="s">
        <v>4491</v>
      </c>
      <c r="M307" s="7" t="s">
        <v>4492</v>
      </c>
      <c r="N307" s="7" t="s">
        <v>4493</v>
      </c>
      <c r="O307" s="7"/>
      <c r="P307" s="7"/>
      <c r="Q307" s="7" t="n">
        <v>27</v>
      </c>
    </row>
    <row r="308" customFormat="false" ht="73.5" hidden="false" customHeight="true" outlineLevel="0" collapsed="false">
      <c r="A308" s="7" t="n">
        <v>304</v>
      </c>
      <c r="B308" s="7" t="s">
        <v>29</v>
      </c>
      <c r="C308" s="7" t="s">
        <v>3217</v>
      </c>
      <c r="D308" s="7" t="s">
        <v>3898</v>
      </c>
      <c r="E308" s="7" t="s">
        <v>4025</v>
      </c>
      <c r="F308" s="7" t="n">
        <v>72</v>
      </c>
      <c r="G308" s="15" t="s">
        <v>20</v>
      </c>
      <c r="H308" s="15" t="s">
        <v>33</v>
      </c>
      <c r="I308" s="7"/>
      <c r="J308" s="7" t="s">
        <v>2018</v>
      </c>
      <c r="K308" s="7" t="s">
        <v>4494</v>
      </c>
      <c r="L308" s="7" t="s">
        <v>4495</v>
      </c>
      <c r="M308" s="7" t="s">
        <v>4496</v>
      </c>
      <c r="N308" s="7" t="s">
        <v>4497</v>
      </c>
      <c r="O308" s="7"/>
      <c r="P308" s="7"/>
      <c r="Q308" s="7" t="n">
        <v>15</v>
      </c>
    </row>
    <row r="309" customFormat="false" ht="73.5" hidden="false" customHeight="true" outlineLevel="0" collapsed="false">
      <c r="A309" s="7" t="n">
        <v>305</v>
      </c>
      <c r="B309" s="7" t="s">
        <v>31</v>
      </c>
      <c r="C309" s="7" t="s">
        <v>4003</v>
      </c>
      <c r="D309" s="7" t="s">
        <v>4010</v>
      </c>
      <c r="E309" s="7" t="s">
        <v>3998</v>
      </c>
      <c r="F309" s="7" t="n">
        <v>30</v>
      </c>
      <c r="G309" s="14" t="s">
        <v>18</v>
      </c>
      <c r="H309" s="14" t="s">
        <v>18</v>
      </c>
      <c r="I309" s="7"/>
      <c r="J309" s="7" t="s">
        <v>2024</v>
      </c>
      <c r="K309" s="7" t="s">
        <v>4498</v>
      </c>
      <c r="L309" s="7" t="s">
        <v>4499</v>
      </c>
      <c r="M309" s="7" t="s">
        <v>4500</v>
      </c>
      <c r="N309" s="7" t="s">
        <v>4501</v>
      </c>
      <c r="O309" s="7"/>
      <c r="P309" s="7"/>
      <c r="Q309" s="7" t="n">
        <v>6</v>
      </c>
    </row>
    <row r="310" customFormat="false" ht="73.5" hidden="false" customHeight="true" outlineLevel="0" collapsed="false">
      <c r="A310" s="7" t="n">
        <v>306</v>
      </c>
      <c r="B310" s="7" t="s">
        <v>21</v>
      </c>
      <c r="C310" s="7" t="s">
        <v>3217</v>
      </c>
      <c r="D310" s="7" t="s">
        <v>4108</v>
      </c>
      <c r="E310" s="7" t="s">
        <v>4005</v>
      </c>
      <c r="F310" s="7" t="n">
        <v>103</v>
      </c>
      <c r="G310" s="15" t="s">
        <v>20</v>
      </c>
      <c r="H310" s="15" t="s">
        <v>28</v>
      </c>
      <c r="I310" s="7"/>
      <c r="J310" s="7" t="s">
        <v>2030</v>
      </c>
      <c r="K310" s="7" t="s">
        <v>4502</v>
      </c>
      <c r="L310" s="7" t="s">
        <v>4503</v>
      </c>
      <c r="M310" s="7" t="s">
        <v>4504</v>
      </c>
      <c r="N310" s="7" t="s">
        <v>4505</v>
      </c>
      <c r="O310" s="7"/>
      <c r="P310" s="7"/>
      <c r="Q310" s="7" t="n">
        <v>18</v>
      </c>
    </row>
    <row r="311" customFormat="false" ht="73.5" hidden="false" customHeight="true" outlineLevel="0" collapsed="false">
      <c r="A311" s="7" t="n">
        <v>307</v>
      </c>
      <c r="B311" s="7" t="s">
        <v>21</v>
      </c>
      <c r="C311" s="7" t="s">
        <v>3217</v>
      </c>
      <c r="D311" s="7" t="s">
        <v>4108</v>
      </c>
      <c r="E311" s="7" t="s">
        <v>3998</v>
      </c>
      <c r="F311" s="7" t="n">
        <v>1</v>
      </c>
      <c r="G311" s="14" t="s">
        <v>18</v>
      </c>
      <c r="H311" s="14" t="s">
        <v>18</v>
      </c>
      <c r="I311" s="7"/>
      <c r="J311" s="7" t="s">
        <v>2036</v>
      </c>
      <c r="K311" s="7" t="s">
        <v>4506</v>
      </c>
      <c r="L311" s="7" t="s">
        <v>4507</v>
      </c>
      <c r="M311" s="7" t="s">
        <v>4508</v>
      </c>
      <c r="N311" s="7" t="s">
        <v>4509</v>
      </c>
      <c r="O311" s="7"/>
      <c r="P311" s="7"/>
      <c r="Q311" s="7" t="n">
        <v>2</v>
      </c>
    </row>
    <row r="312" customFormat="false" ht="73.5" hidden="false" customHeight="true" outlineLevel="0" collapsed="false">
      <c r="A312" s="7" t="n">
        <v>308</v>
      </c>
      <c r="B312" s="7" t="s">
        <v>19</v>
      </c>
      <c r="C312" s="7" t="s">
        <v>4003</v>
      </c>
      <c r="D312" s="7" t="s">
        <v>4004</v>
      </c>
      <c r="E312" s="7" t="s">
        <v>4005</v>
      </c>
      <c r="F312" s="7" t="n">
        <v>156</v>
      </c>
      <c r="G312" s="15" t="s">
        <v>20</v>
      </c>
      <c r="H312" s="15" t="s">
        <v>28</v>
      </c>
      <c r="I312" s="7"/>
      <c r="J312" s="7" t="s">
        <v>2042</v>
      </c>
      <c r="K312" s="7" t="s">
        <v>4510</v>
      </c>
      <c r="L312" s="7" t="s">
        <v>4511</v>
      </c>
      <c r="M312" s="7" t="s">
        <v>4512</v>
      </c>
      <c r="N312" s="7" t="s">
        <v>4513</v>
      </c>
      <c r="O312" s="7"/>
      <c r="P312" s="7"/>
      <c r="Q312" s="7" t="n">
        <v>35</v>
      </c>
    </row>
    <row r="313" customFormat="false" ht="73.5" hidden="false" customHeight="true" outlineLevel="0" collapsed="false">
      <c r="A313" s="7" t="n">
        <v>309</v>
      </c>
      <c r="B313" s="7" t="s">
        <v>17</v>
      </c>
      <c r="C313" s="7" t="s">
        <v>4044</v>
      </c>
      <c r="D313" s="7" t="s">
        <v>4045</v>
      </c>
      <c r="E313" s="7" t="s">
        <v>4005</v>
      </c>
      <c r="F313" s="7" t="n">
        <v>107</v>
      </c>
      <c r="G313" s="15" t="s">
        <v>20</v>
      </c>
      <c r="H313" s="15" t="s">
        <v>28</v>
      </c>
      <c r="I313" s="7"/>
      <c r="J313" s="7" t="s">
        <v>2048</v>
      </c>
      <c r="K313" s="7" t="s">
        <v>4514</v>
      </c>
      <c r="L313" s="7" t="s">
        <v>4515</v>
      </c>
      <c r="M313" s="7" t="s">
        <v>4516</v>
      </c>
      <c r="N313" s="7" t="s">
        <v>4517</v>
      </c>
      <c r="O313" s="7"/>
      <c r="P313" s="7"/>
      <c r="Q313" s="7" t="n">
        <v>21</v>
      </c>
    </row>
    <row r="314" customFormat="false" ht="73.5" hidden="false" customHeight="true" outlineLevel="0" collapsed="false">
      <c r="A314" s="7" t="n">
        <v>310</v>
      </c>
      <c r="B314" s="7" t="s">
        <v>21</v>
      </c>
      <c r="C314" s="7" t="s">
        <v>4058</v>
      </c>
      <c r="D314" s="7" t="s">
        <v>4059</v>
      </c>
      <c r="E314" s="7" t="s">
        <v>3998</v>
      </c>
      <c r="F314" s="7" t="n">
        <v>62</v>
      </c>
      <c r="G314" s="14" t="s">
        <v>18</v>
      </c>
      <c r="H314" s="14" t="s">
        <v>18</v>
      </c>
      <c r="I314" s="7"/>
      <c r="J314" s="7" t="s">
        <v>2054</v>
      </c>
      <c r="K314" s="7" t="s">
        <v>4518</v>
      </c>
      <c r="L314" s="7" t="s">
        <v>4519</v>
      </c>
      <c r="M314" s="7" t="s">
        <v>4520</v>
      </c>
      <c r="N314" s="7" t="s">
        <v>4521</v>
      </c>
      <c r="O314" s="7"/>
      <c r="P314" s="7"/>
      <c r="Q314" s="7" t="n">
        <v>11</v>
      </c>
    </row>
    <row r="315" customFormat="false" ht="73.5" hidden="false" customHeight="true" outlineLevel="0" collapsed="false">
      <c r="A315" s="7" t="n">
        <v>311</v>
      </c>
      <c r="B315" s="7" t="s">
        <v>22</v>
      </c>
      <c r="C315" s="7" t="s">
        <v>3996</v>
      </c>
      <c r="D315" s="7" t="s">
        <v>3997</v>
      </c>
      <c r="E315" s="7" t="s">
        <v>3998</v>
      </c>
      <c r="F315" s="7" t="n">
        <v>77</v>
      </c>
      <c r="G315" s="14" t="s">
        <v>18</v>
      </c>
      <c r="H315" s="14" t="s">
        <v>18</v>
      </c>
      <c r="I315" s="7"/>
      <c r="J315" s="7" t="s">
        <v>2060</v>
      </c>
      <c r="K315" s="7" t="s">
        <v>4522</v>
      </c>
      <c r="L315" s="7" t="s">
        <v>4523</v>
      </c>
      <c r="M315" s="7" t="s">
        <v>4524</v>
      </c>
      <c r="N315" s="7" t="s">
        <v>4525</v>
      </c>
      <c r="O315" s="7"/>
      <c r="P315" s="7"/>
      <c r="Q315" s="7" t="n">
        <v>15</v>
      </c>
    </row>
    <row r="316" customFormat="false" ht="73.5" hidden="false" customHeight="true" outlineLevel="0" collapsed="false">
      <c r="A316" s="7" t="n">
        <v>312</v>
      </c>
      <c r="B316" s="7" t="s">
        <v>22</v>
      </c>
      <c r="C316" s="7" t="s">
        <v>3996</v>
      </c>
      <c r="D316" s="7" t="s">
        <v>3997</v>
      </c>
      <c r="E316" s="7" t="s">
        <v>3998</v>
      </c>
      <c r="F316" s="7" t="n">
        <v>76</v>
      </c>
      <c r="G316" s="14" t="s">
        <v>18</v>
      </c>
      <c r="H316" s="14" t="s">
        <v>18</v>
      </c>
      <c r="I316" s="7"/>
      <c r="J316" s="7" t="s">
        <v>2066</v>
      </c>
      <c r="K316" s="7" t="s">
        <v>4526</v>
      </c>
      <c r="L316" s="7" t="s">
        <v>4527</v>
      </c>
      <c r="M316" s="7" t="s">
        <v>4528</v>
      </c>
      <c r="N316" s="7" t="s">
        <v>4529</v>
      </c>
      <c r="O316" s="7"/>
      <c r="P316" s="7"/>
      <c r="Q316" s="7" t="n">
        <v>15</v>
      </c>
    </row>
    <row r="317" customFormat="false" ht="73.5" hidden="false" customHeight="true" outlineLevel="0" collapsed="false">
      <c r="A317" s="7" t="n">
        <v>313</v>
      </c>
      <c r="B317" s="7" t="s">
        <v>31</v>
      </c>
      <c r="C317" s="7" t="s">
        <v>4003</v>
      </c>
      <c r="D317" s="7" t="s">
        <v>4010</v>
      </c>
      <c r="E317" s="7" t="s">
        <v>3998</v>
      </c>
      <c r="F317" s="7" t="n">
        <v>51</v>
      </c>
      <c r="G317" s="14" t="s">
        <v>18</v>
      </c>
      <c r="H317" s="14" t="s">
        <v>18</v>
      </c>
      <c r="I317" s="7"/>
      <c r="J317" s="7" t="s">
        <v>2072</v>
      </c>
      <c r="K317" s="7" t="s">
        <v>4530</v>
      </c>
      <c r="L317" s="7" t="s">
        <v>4531</v>
      </c>
      <c r="M317" s="7" t="s">
        <v>4532</v>
      </c>
      <c r="N317" s="7" t="s">
        <v>4533</v>
      </c>
      <c r="O317" s="7"/>
      <c r="P317" s="7"/>
      <c r="Q317" s="7" t="n">
        <v>10</v>
      </c>
    </row>
    <row r="318" customFormat="false" ht="73.5" hidden="false" customHeight="true" outlineLevel="0" collapsed="false">
      <c r="A318" s="7" t="n">
        <v>314</v>
      </c>
      <c r="B318" s="7" t="s">
        <v>22</v>
      </c>
      <c r="C318" s="7" t="s">
        <v>3996</v>
      </c>
      <c r="D318" s="7" t="s">
        <v>3997</v>
      </c>
      <c r="E318" s="7" t="s">
        <v>4005</v>
      </c>
      <c r="F318" s="7" t="n">
        <v>158</v>
      </c>
      <c r="G318" s="15" t="s">
        <v>20</v>
      </c>
      <c r="H318" s="15" t="s">
        <v>28</v>
      </c>
      <c r="I318" s="7"/>
      <c r="J318" s="7" t="s">
        <v>2078</v>
      </c>
      <c r="K318" s="7" t="s">
        <v>4534</v>
      </c>
      <c r="L318" s="7" t="s">
        <v>4535</v>
      </c>
      <c r="M318" s="7" t="s">
        <v>4536</v>
      </c>
      <c r="N318" s="7" t="s">
        <v>4537</v>
      </c>
      <c r="O318" s="7"/>
      <c r="P318" s="7"/>
      <c r="Q318" s="7" t="n">
        <v>28</v>
      </c>
    </row>
    <row r="319" customFormat="false" ht="73.5" hidden="false" customHeight="true" outlineLevel="0" collapsed="false">
      <c r="A319" s="7" t="n">
        <v>315</v>
      </c>
      <c r="B319" s="7" t="s">
        <v>31</v>
      </c>
      <c r="C319" s="7" t="s">
        <v>4003</v>
      </c>
      <c r="D319" s="7" t="s">
        <v>4010</v>
      </c>
      <c r="E319" s="7" t="s">
        <v>3998</v>
      </c>
      <c r="F319" s="7" t="n">
        <v>88</v>
      </c>
      <c r="G319" s="14" t="s">
        <v>18</v>
      </c>
      <c r="H319" s="14" t="s">
        <v>18</v>
      </c>
      <c r="I319" s="7"/>
      <c r="J319" s="7" t="s">
        <v>2084</v>
      </c>
      <c r="K319" s="7" t="s">
        <v>4538</v>
      </c>
      <c r="L319" s="7" t="s">
        <v>4539</v>
      </c>
      <c r="M319" s="7" t="s">
        <v>4540</v>
      </c>
      <c r="N319" s="7" t="s">
        <v>4541</v>
      </c>
      <c r="O319" s="7"/>
      <c r="P319" s="7"/>
      <c r="Q319" s="7" t="n">
        <v>15</v>
      </c>
    </row>
    <row r="320" customFormat="false" ht="73.5" hidden="false" customHeight="true" outlineLevel="0" collapsed="false">
      <c r="A320" s="7" t="n">
        <v>316</v>
      </c>
      <c r="B320" s="7" t="s">
        <v>17</v>
      </c>
      <c r="C320" s="7" t="s">
        <v>4044</v>
      </c>
      <c r="D320" s="7" t="s">
        <v>4045</v>
      </c>
      <c r="E320" s="7" t="s">
        <v>3998</v>
      </c>
      <c r="F320" s="7" t="n">
        <v>34</v>
      </c>
      <c r="G320" s="14" t="s">
        <v>18</v>
      </c>
      <c r="H320" s="14" t="s">
        <v>18</v>
      </c>
      <c r="I320" s="7"/>
      <c r="J320" s="7" t="s">
        <v>2090</v>
      </c>
      <c r="K320" s="7" t="s">
        <v>4542</v>
      </c>
      <c r="L320" s="7" t="s">
        <v>4543</v>
      </c>
      <c r="M320" s="7" t="s">
        <v>4544</v>
      </c>
      <c r="N320" s="7" t="s">
        <v>4545</v>
      </c>
      <c r="O320" s="7"/>
      <c r="P320" s="7"/>
      <c r="Q320" s="7" t="n">
        <v>8</v>
      </c>
    </row>
    <row r="321" customFormat="false" ht="73.5" hidden="false" customHeight="true" outlineLevel="0" collapsed="false">
      <c r="A321" s="7" t="n">
        <v>317</v>
      </c>
      <c r="B321" s="7" t="s">
        <v>22</v>
      </c>
      <c r="C321" s="7" t="s">
        <v>3996</v>
      </c>
      <c r="D321" s="7" t="s">
        <v>3997</v>
      </c>
      <c r="E321" s="7" t="s">
        <v>3998</v>
      </c>
      <c r="F321" s="7" t="n">
        <v>44</v>
      </c>
      <c r="G321" s="14" t="s">
        <v>18</v>
      </c>
      <c r="H321" s="14" t="s">
        <v>18</v>
      </c>
      <c r="I321" s="7"/>
      <c r="J321" s="7" t="s">
        <v>2096</v>
      </c>
      <c r="K321" s="7" t="s">
        <v>4546</v>
      </c>
      <c r="L321" s="7" t="s">
        <v>4547</v>
      </c>
      <c r="M321" s="7" t="s">
        <v>4548</v>
      </c>
      <c r="N321" s="7" t="s">
        <v>4549</v>
      </c>
      <c r="O321" s="7"/>
      <c r="P321" s="7"/>
      <c r="Q321" s="7" t="n">
        <v>9</v>
      </c>
    </row>
    <row r="322" customFormat="false" ht="73.5" hidden="false" customHeight="true" outlineLevel="0" collapsed="false">
      <c r="A322" s="7" t="n">
        <v>318</v>
      </c>
      <c r="B322" s="7" t="s">
        <v>21</v>
      </c>
      <c r="C322" s="7" t="s">
        <v>3217</v>
      </c>
      <c r="D322" s="7" t="s">
        <v>4108</v>
      </c>
      <c r="E322" s="7" t="s">
        <v>4005</v>
      </c>
      <c r="F322" s="7" t="n">
        <v>101</v>
      </c>
      <c r="G322" s="15" t="s">
        <v>20</v>
      </c>
      <c r="H322" s="15" t="s">
        <v>28</v>
      </c>
      <c r="I322" s="7"/>
      <c r="J322" s="7" t="s">
        <v>2102</v>
      </c>
      <c r="K322" s="7" t="s">
        <v>4550</v>
      </c>
      <c r="L322" s="7" t="s">
        <v>4551</v>
      </c>
      <c r="M322" s="7" t="s">
        <v>4552</v>
      </c>
      <c r="N322" s="7" t="s">
        <v>4553</v>
      </c>
      <c r="O322" s="7"/>
      <c r="P322" s="7"/>
      <c r="Q322" s="7" t="n">
        <v>18</v>
      </c>
    </row>
    <row r="323" customFormat="false" ht="73.5" hidden="false" customHeight="true" outlineLevel="0" collapsed="false">
      <c r="A323" s="7" t="n">
        <v>319</v>
      </c>
      <c r="B323" s="7" t="s">
        <v>22</v>
      </c>
      <c r="C323" s="7" t="s">
        <v>3996</v>
      </c>
      <c r="D323" s="7" t="s">
        <v>3997</v>
      </c>
      <c r="E323" s="7" t="s">
        <v>3998</v>
      </c>
      <c r="F323" s="7" t="n">
        <v>52</v>
      </c>
      <c r="G323" s="14" t="s">
        <v>18</v>
      </c>
      <c r="H323" s="14" t="s">
        <v>18</v>
      </c>
      <c r="I323" s="7"/>
      <c r="J323" s="7" t="s">
        <v>2108</v>
      </c>
      <c r="K323" s="7" t="s">
        <v>4554</v>
      </c>
      <c r="L323" s="7" t="s">
        <v>4555</v>
      </c>
      <c r="M323" s="7" t="s">
        <v>4556</v>
      </c>
      <c r="N323" s="7" t="s">
        <v>4557</v>
      </c>
      <c r="O323" s="7"/>
      <c r="P323" s="7"/>
      <c r="Q323" s="7" t="n">
        <v>11</v>
      </c>
    </row>
    <row r="324" customFormat="false" ht="73.5" hidden="false" customHeight="true" outlineLevel="0" collapsed="false">
      <c r="A324" s="7" t="n">
        <v>320</v>
      </c>
      <c r="B324" s="7" t="s">
        <v>23</v>
      </c>
      <c r="C324" s="7" t="s">
        <v>3217</v>
      </c>
      <c r="D324" s="7" t="s">
        <v>4038</v>
      </c>
      <c r="E324" s="7" t="s">
        <v>4039</v>
      </c>
      <c r="F324" s="7" t="n">
        <v>72</v>
      </c>
      <c r="G324" s="14" t="s">
        <v>18</v>
      </c>
      <c r="H324" s="14" t="s">
        <v>18</v>
      </c>
      <c r="I324" s="7"/>
      <c r="J324" s="7" t="s">
        <v>2114</v>
      </c>
      <c r="K324" s="7" t="s">
        <v>4558</v>
      </c>
      <c r="L324" s="7" t="s">
        <v>4559</v>
      </c>
      <c r="M324" s="7" t="s">
        <v>4560</v>
      </c>
      <c r="N324" s="7" t="s">
        <v>4561</v>
      </c>
      <c r="O324" s="7"/>
      <c r="P324" s="7"/>
      <c r="Q324" s="7" t="n">
        <v>21</v>
      </c>
    </row>
    <row r="325" customFormat="false" ht="73.5" hidden="false" customHeight="true" outlineLevel="0" collapsed="false">
      <c r="A325" s="7" t="n">
        <v>321</v>
      </c>
      <c r="B325" s="7" t="s">
        <v>25</v>
      </c>
      <c r="C325" s="7" t="s">
        <v>3217</v>
      </c>
      <c r="D325" s="7" t="s">
        <v>4320</v>
      </c>
      <c r="E325" s="7" t="s">
        <v>4005</v>
      </c>
      <c r="F325" s="7" t="n">
        <v>104</v>
      </c>
      <c r="G325" s="15" t="s">
        <v>20</v>
      </c>
      <c r="H325" s="15" t="s">
        <v>28</v>
      </c>
      <c r="I325" s="7"/>
      <c r="J325" s="7" t="s">
        <v>2120</v>
      </c>
      <c r="K325" s="7" t="s">
        <v>4562</v>
      </c>
      <c r="L325" s="7" t="s">
        <v>4474</v>
      </c>
      <c r="M325" s="7" t="s">
        <v>4475</v>
      </c>
      <c r="N325" s="7" t="s">
        <v>4476</v>
      </c>
      <c r="O325" s="7"/>
      <c r="P325" s="7"/>
      <c r="Q325" s="7" t="n">
        <v>21</v>
      </c>
    </row>
    <row r="326" customFormat="false" ht="73.5" hidden="false" customHeight="true" outlineLevel="0" collapsed="false">
      <c r="A326" s="7" t="n">
        <v>322</v>
      </c>
      <c r="B326" s="7" t="s">
        <v>22</v>
      </c>
      <c r="C326" s="7" t="s">
        <v>3996</v>
      </c>
      <c r="D326" s="7" t="s">
        <v>3997</v>
      </c>
      <c r="E326" s="7" t="s">
        <v>3998</v>
      </c>
      <c r="F326" s="7" t="n">
        <v>42</v>
      </c>
      <c r="G326" s="14" t="s">
        <v>18</v>
      </c>
      <c r="H326" s="14" t="s">
        <v>18</v>
      </c>
      <c r="I326" s="7"/>
      <c r="J326" s="7" t="s">
        <v>2126</v>
      </c>
      <c r="K326" s="7" t="s">
        <v>4563</v>
      </c>
      <c r="L326" s="7" t="s">
        <v>4564</v>
      </c>
      <c r="M326" s="7" t="s">
        <v>4565</v>
      </c>
      <c r="N326" s="7" t="s">
        <v>4566</v>
      </c>
      <c r="O326" s="7"/>
      <c r="P326" s="7"/>
      <c r="Q326" s="7" t="n">
        <v>9</v>
      </c>
    </row>
    <row r="327" customFormat="false" ht="73.5" hidden="false" customHeight="true" outlineLevel="0" collapsed="false">
      <c r="A327" s="7" t="n">
        <v>323</v>
      </c>
      <c r="B327" s="7" t="s">
        <v>15</v>
      </c>
      <c r="C327" s="7" t="s">
        <v>3996</v>
      </c>
      <c r="D327" s="7" t="s">
        <v>4030</v>
      </c>
      <c r="E327" s="7" t="s">
        <v>4302</v>
      </c>
      <c r="F327" s="7" t="n">
        <v>59</v>
      </c>
      <c r="G327" s="15" t="s">
        <v>20</v>
      </c>
      <c r="H327" s="15" t="s">
        <v>30</v>
      </c>
      <c r="I327" s="7"/>
      <c r="J327" s="7" t="s">
        <v>2132</v>
      </c>
      <c r="K327" s="7" t="s">
        <v>4567</v>
      </c>
      <c r="L327" s="7" t="s">
        <v>4568</v>
      </c>
      <c r="M327" s="7" t="s">
        <v>4569</v>
      </c>
      <c r="N327" s="7" t="s">
        <v>4570</v>
      </c>
      <c r="O327" s="7"/>
      <c r="P327" s="7"/>
      <c r="Q327" s="7" t="n">
        <v>15</v>
      </c>
    </row>
    <row r="328" customFormat="false" ht="73.5" hidden="false" customHeight="true" outlineLevel="0" collapsed="false">
      <c r="A328" s="7" t="n">
        <v>324</v>
      </c>
      <c r="B328" s="7" t="s">
        <v>25</v>
      </c>
      <c r="C328" s="7" t="s">
        <v>4003</v>
      </c>
      <c r="D328" s="7" t="s">
        <v>4224</v>
      </c>
      <c r="E328" s="7" t="s">
        <v>4005</v>
      </c>
      <c r="F328" s="7" t="n">
        <v>108</v>
      </c>
      <c r="G328" s="15" t="s">
        <v>20</v>
      </c>
      <c r="H328" s="15" t="s">
        <v>28</v>
      </c>
      <c r="I328" s="7"/>
      <c r="J328" s="7" t="s">
        <v>2138</v>
      </c>
      <c r="K328" s="7" t="s">
        <v>4571</v>
      </c>
      <c r="L328" s="7" t="s">
        <v>4572</v>
      </c>
      <c r="M328" s="7" t="s">
        <v>4573</v>
      </c>
      <c r="N328" s="7" t="s">
        <v>4574</v>
      </c>
      <c r="O328" s="7"/>
      <c r="P328" s="7"/>
      <c r="Q328" s="7" t="n">
        <v>21</v>
      </c>
    </row>
    <row r="329" customFormat="false" ht="73.5" hidden="false" customHeight="true" outlineLevel="0" collapsed="false">
      <c r="A329" s="7" t="n">
        <v>325</v>
      </c>
      <c r="B329" s="7" t="s">
        <v>23</v>
      </c>
      <c r="C329" s="7" t="s">
        <v>3217</v>
      </c>
      <c r="D329" s="7" t="s">
        <v>4038</v>
      </c>
      <c r="E329" s="7" t="s">
        <v>4039</v>
      </c>
      <c r="F329" s="7" t="n">
        <v>61</v>
      </c>
      <c r="G329" s="14" t="s">
        <v>18</v>
      </c>
      <c r="H329" s="14" t="s">
        <v>18</v>
      </c>
      <c r="I329" s="7"/>
      <c r="J329" s="7" t="s">
        <v>2144</v>
      </c>
      <c r="K329" s="7" t="s">
        <v>4575</v>
      </c>
      <c r="L329" s="7" t="s">
        <v>4576</v>
      </c>
      <c r="M329" s="7" t="s">
        <v>4577</v>
      </c>
      <c r="N329" s="7" t="s">
        <v>4578</v>
      </c>
      <c r="O329" s="7"/>
      <c r="P329" s="7"/>
      <c r="Q329" s="7" t="n">
        <v>19</v>
      </c>
    </row>
    <row r="330" customFormat="false" ht="73.5" hidden="false" customHeight="true" outlineLevel="0" collapsed="false">
      <c r="A330" s="7" t="n">
        <v>326</v>
      </c>
      <c r="B330" s="7" t="s">
        <v>15</v>
      </c>
      <c r="C330" s="7" t="s">
        <v>3996</v>
      </c>
      <c r="D330" s="7" t="s">
        <v>4030</v>
      </c>
      <c r="E330" s="7" t="s">
        <v>4302</v>
      </c>
      <c r="F330" s="7" t="n">
        <v>31</v>
      </c>
      <c r="G330" s="15" t="s">
        <v>20</v>
      </c>
      <c r="H330" s="15" t="s">
        <v>30</v>
      </c>
      <c r="I330" s="7"/>
      <c r="J330" s="7" t="s">
        <v>2150</v>
      </c>
      <c r="K330" s="7" t="s">
        <v>4579</v>
      </c>
      <c r="L330" s="7" t="s">
        <v>4580</v>
      </c>
      <c r="M330" s="7" t="s">
        <v>4581</v>
      </c>
      <c r="N330" s="7" t="s">
        <v>4582</v>
      </c>
      <c r="O330" s="7"/>
      <c r="P330" s="7"/>
      <c r="Q330" s="7" t="n">
        <v>9</v>
      </c>
    </row>
    <row r="331" customFormat="false" ht="174" hidden="false" customHeight="true" outlineLevel="0" collapsed="false">
      <c r="A331" s="7" t="n">
        <v>327</v>
      </c>
      <c r="B331" s="7" t="s">
        <v>15</v>
      </c>
      <c r="C331" s="7" t="s">
        <v>3996</v>
      </c>
      <c r="D331" s="7" t="s">
        <v>4030</v>
      </c>
      <c r="E331" s="7" t="s">
        <v>4031</v>
      </c>
      <c r="F331" s="7" t="n">
        <v>112</v>
      </c>
      <c r="G331" s="15" t="s">
        <v>20</v>
      </c>
      <c r="H331" s="15" t="s">
        <v>32</v>
      </c>
      <c r="I331" s="7" t="s">
        <v>4583</v>
      </c>
      <c r="J331" s="7" t="s">
        <v>2158</v>
      </c>
      <c r="K331" s="7" t="s">
        <v>4584</v>
      </c>
      <c r="L331" s="7" t="s">
        <v>4585</v>
      </c>
      <c r="M331" s="7" t="s">
        <v>4586</v>
      </c>
      <c r="N331" s="7" t="s">
        <v>4587</v>
      </c>
      <c r="O331" s="7" t="s">
        <v>4588</v>
      </c>
      <c r="P331" s="7"/>
      <c r="Q331" s="7" t="n">
        <v>28</v>
      </c>
    </row>
    <row r="332" customFormat="false" ht="73.5" hidden="false" customHeight="true" outlineLevel="0" collapsed="false">
      <c r="A332" s="7" t="n">
        <v>328</v>
      </c>
      <c r="B332" s="7" t="s">
        <v>21</v>
      </c>
      <c r="C332" s="7" t="s">
        <v>3217</v>
      </c>
      <c r="D332" s="7" t="s">
        <v>4108</v>
      </c>
      <c r="E332" s="7" t="s">
        <v>3998</v>
      </c>
      <c r="F332" s="7" t="n">
        <v>44</v>
      </c>
      <c r="G332" s="14" t="s">
        <v>18</v>
      </c>
      <c r="H332" s="14" t="s">
        <v>18</v>
      </c>
      <c r="I332" s="7"/>
      <c r="J332" s="7" t="s">
        <v>2165</v>
      </c>
      <c r="K332" s="7" t="s">
        <v>4589</v>
      </c>
      <c r="L332" s="7" t="s">
        <v>4590</v>
      </c>
      <c r="M332" s="7" t="s">
        <v>4591</v>
      </c>
      <c r="N332" s="7" t="s">
        <v>4592</v>
      </c>
      <c r="O332" s="7"/>
      <c r="P332" s="7"/>
      <c r="Q332" s="7" t="n">
        <v>9</v>
      </c>
    </row>
    <row r="333" customFormat="false" ht="330" hidden="false" customHeight="true" outlineLevel="0" collapsed="false">
      <c r="A333" s="7" t="n">
        <v>329</v>
      </c>
      <c r="B333" s="7" t="s">
        <v>15</v>
      </c>
      <c r="C333" s="7" t="s">
        <v>3217</v>
      </c>
      <c r="D333" s="7" t="s">
        <v>4143</v>
      </c>
      <c r="E333" s="7" t="s">
        <v>4031</v>
      </c>
      <c r="F333" s="7" t="n">
        <v>135</v>
      </c>
      <c r="G333" s="15" t="s">
        <v>20</v>
      </c>
      <c r="H333" s="15" t="s">
        <v>32</v>
      </c>
      <c r="I333" s="7" t="s">
        <v>4593</v>
      </c>
      <c r="J333" s="7" t="s">
        <v>2175</v>
      </c>
      <c r="K333" s="7" t="s">
        <v>4594</v>
      </c>
      <c r="L333" s="7" t="s">
        <v>4595</v>
      </c>
      <c r="M333" s="7" t="s">
        <v>4596</v>
      </c>
      <c r="N333" s="7" t="s">
        <v>4597</v>
      </c>
      <c r="O333" s="7" t="s">
        <v>4598</v>
      </c>
      <c r="P333" s="7"/>
      <c r="Q333" s="7" t="n">
        <v>38</v>
      </c>
    </row>
    <row r="334" customFormat="false" ht="73.5" hidden="false" customHeight="true" outlineLevel="0" collapsed="false">
      <c r="A334" s="7" t="n">
        <v>330</v>
      </c>
      <c r="B334" s="7" t="s">
        <v>21</v>
      </c>
      <c r="C334" s="7" t="s">
        <v>3217</v>
      </c>
      <c r="D334" s="7" t="s">
        <v>4108</v>
      </c>
      <c r="E334" s="7" t="s">
        <v>4005</v>
      </c>
      <c r="F334" s="7" t="n">
        <v>104</v>
      </c>
      <c r="G334" s="15" t="s">
        <v>20</v>
      </c>
      <c r="H334" s="15" t="s">
        <v>28</v>
      </c>
      <c r="I334" s="7"/>
      <c r="J334" s="7" t="s">
        <v>2182</v>
      </c>
      <c r="K334" s="7" t="s">
        <v>4599</v>
      </c>
      <c r="L334" s="7" t="s">
        <v>4600</v>
      </c>
      <c r="M334" s="7" t="s">
        <v>4601</v>
      </c>
      <c r="N334" s="7" t="s">
        <v>4602</v>
      </c>
      <c r="O334" s="7"/>
      <c r="P334" s="7"/>
      <c r="Q334" s="7" t="n">
        <v>18</v>
      </c>
    </row>
    <row r="335" customFormat="false" ht="73.5" hidden="false" customHeight="true" outlineLevel="0" collapsed="false">
      <c r="A335" s="7" t="n">
        <v>331</v>
      </c>
      <c r="B335" s="7" t="s">
        <v>23</v>
      </c>
      <c r="C335" s="7" t="s">
        <v>3217</v>
      </c>
      <c r="D335" s="7" t="s">
        <v>4038</v>
      </c>
      <c r="E335" s="7" t="s">
        <v>3998</v>
      </c>
      <c r="F335" s="7" t="n">
        <v>5</v>
      </c>
      <c r="G335" s="14" t="s">
        <v>18</v>
      </c>
      <c r="H335" s="14" t="s">
        <v>18</v>
      </c>
      <c r="I335" s="7"/>
      <c r="J335" s="7" t="s">
        <v>2188</v>
      </c>
      <c r="K335" s="7" t="s">
        <v>4603</v>
      </c>
      <c r="L335" s="7" t="s">
        <v>4604</v>
      </c>
      <c r="M335" s="7" t="s">
        <v>4605</v>
      </c>
      <c r="N335" s="7" t="s">
        <v>4606</v>
      </c>
      <c r="O335" s="7"/>
      <c r="P335" s="7"/>
      <c r="Q335" s="7" t="n">
        <v>4</v>
      </c>
    </row>
    <row r="336" customFormat="false" ht="73.5" hidden="false" customHeight="true" outlineLevel="0" collapsed="false">
      <c r="A336" s="7" t="n">
        <v>332</v>
      </c>
      <c r="B336" s="7" t="s">
        <v>25</v>
      </c>
      <c r="C336" s="7" t="s">
        <v>4003</v>
      </c>
      <c r="D336" s="7" t="s">
        <v>4224</v>
      </c>
      <c r="E336" s="7" t="s">
        <v>4005</v>
      </c>
      <c r="F336" s="7" t="n">
        <v>110</v>
      </c>
      <c r="G336" s="15" t="s">
        <v>20</v>
      </c>
      <c r="H336" s="15" t="s">
        <v>28</v>
      </c>
      <c r="I336" s="7"/>
      <c r="J336" s="7" t="s">
        <v>2194</v>
      </c>
      <c r="K336" s="7" t="s">
        <v>4607</v>
      </c>
      <c r="L336" s="7" t="s">
        <v>4608</v>
      </c>
      <c r="M336" s="7" t="s">
        <v>4609</v>
      </c>
      <c r="N336" s="7" t="s">
        <v>4610</v>
      </c>
      <c r="O336" s="7"/>
      <c r="P336" s="7"/>
      <c r="Q336" s="7" t="n">
        <v>21</v>
      </c>
    </row>
    <row r="337" customFormat="false" ht="73.5" hidden="false" customHeight="true" outlineLevel="0" collapsed="false">
      <c r="A337" s="7" t="n">
        <v>333</v>
      </c>
      <c r="B337" s="7" t="s">
        <v>31</v>
      </c>
      <c r="C337" s="7" t="s">
        <v>4003</v>
      </c>
      <c r="D337" s="7" t="s">
        <v>4010</v>
      </c>
      <c r="E337" s="7" t="s">
        <v>3998</v>
      </c>
      <c r="F337" s="7" t="n">
        <v>55</v>
      </c>
      <c r="G337" s="14" t="s">
        <v>18</v>
      </c>
      <c r="H337" s="14" t="s">
        <v>18</v>
      </c>
      <c r="I337" s="7"/>
      <c r="J337" s="7" t="s">
        <v>2200</v>
      </c>
      <c r="K337" s="7" t="s">
        <v>4611</v>
      </c>
      <c r="L337" s="7" t="s">
        <v>4612</v>
      </c>
      <c r="M337" s="7" t="s">
        <v>4613</v>
      </c>
      <c r="N337" s="7" t="s">
        <v>3576</v>
      </c>
      <c r="O337" s="7"/>
      <c r="P337" s="7"/>
      <c r="Q337" s="7" t="n">
        <v>10</v>
      </c>
    </row>
    <row r="338" customFormat="false" ht="73.5" hidden="false" customHeight="true" outlineLevel="0" collapsed="false">
      <c r="A338" s="7" t="n">
        <v>334</v>
      </c>
      <c r="B338" s="7" t="s">
        <v>25</v>
      </c>
      <c r="C338" s="7" t="s">
        <v>4019</v>
      </c>
      <c r="D338" s="7" t="s">
        <v>4020</v>
      </c>
      <c r="E338" s="7" t="s">
        <v>4005</v>
      </c>
      <c r="F338" s="7" t="n">
        <v>105</v>
      </c>
      <c r="G338" s="15" t="s">
        <v>20</v>
      </c>
      <c r="H338" s="15" t="s">
        <v>28</v>
      </c>
      <c r="I338" s="7"/>
      <c r="J338" s="7" t="s">
        <v>2205</v>
      </c>
      <c r="K338" s="7" t="s">
        <v>4614</v>
      </c>
      <c r="L338" s="7" t="s">
        <v>4615</v>
      </c>
      <c r="M338" s="7" t="s">
        <v>4616</v>
      </c>
      <c r="N338" s="7" t="s">
        <v>4617</v>
      </c>
      <c r="O338" s="7"/>
      <c r="P338" s="7"/>
      <c r="Q338" s="7" t="n">
        <v>24</v>
      </c>
    </row>
    <row r="339" customFormat="false" ht="186.75" hidden="false" customHeight="true" outlineLevel="0" collapsed="false">
      <c r="A339" s="7" t="n">
        <v>335</v>
      </c>
      <c r="B339" s="7" t="s">
        <v>15</v>
      </c>
      <c r="C339" s="7" t="s">
        <v>3996</v>
      </c>
      <c r="D339" s="7" t="s">
        <v>4030</v>
      </c>
      <c r="E339" s="7" t="s">
        <v>4031</v>
      </c>
      <c r="F339" s="7" t="n">
        <v>119</v>
      </c>
      <c r="G339" s="15" t="s">
        <v>20</v>
      </c>
      <c r="H339" s="15" t="s">
        <v>32</v>
      </c>
      <c r="I339" s="7" t="s">
        <v>4618</v>
      </c>
      <c r="J339" s="7" t="s">
        <v>2214</v>
      </c>
      <c r="K339" s="7" t="s">
        <v>4619</v>
      </c>
      <c r="L339" s="7" t="s">
        <v>4620</v>
      </c>
      <c r="M339" s="7" t="s">
        <v>4621</v>
      </c>
      <c r="N339" s="7" t="s">
        <v>4622</v>
      </c>
      <c r="O339" s="7" t="s">
        <v>4623</v>
      </c>
      <c r="P339" s="7"/>
      <c r="Q339" s="7" t="n">
        <v>31</v>
      </c>
    </row>
    <row r="340" customFormat="false" ht="73.5" hidden="false" customHeight="true" outlineLevel="0" collapsed="false">
      <c r="A340" s="7" t="n">
        <v>336</v>
      </c>
      <c r="B340" s="7" t="s">
        <v>31</v>
      </c>
      <c r="C340" s="7" t="s">
        <v>4003</v>
      </c>
      <c r="D340" s="7" t="s">
        <v>4010</v>
      </c>
      <c r="E340" s="7" t="s">
        <v>3998</v>
      </c>
      <c r="F340" s="7" t="n">
        <v>62</v>
      </c>
      <c r="G340" s="14" t="s">
        <v>18</v>
      </c>
      <c r="H340" s="14" t="s">
        <v>18</v>
      </c>
      <c r="I340" s="7"/>
      <c r="J340" s="7" t="s">
        <v>2221</v>
      </c>
      <c r="K340" s="7" t="s">
        <v>4624</v>
      </c>
      <c r="L340" s="7" t="s">
        <v>4625</v>
      </c>
      <c r="M340" s="7" t="s">
        <v>4626</v>
      </c>
      <c r="N340" s="7" t="s">
        <v>4627</v>
      </c>
      <c r="O340" s="7"/>
      <c r="P340" s="7"/>
      <c r="Q340" s="7" t="n">
        <v>11</v>
      </c>
    </row>
    <row r="341" customFormat="false" ht="73.5" hidden="false" customHeight="true" outlineLevel="0" collapsed="false">
      <c r="A341" s="7" t="n">
        <v>337</v>
      </c>
      <c r="B341" s="7" t="s">
        <v>27</v>
      </c>
      <c r="C341" s="7" t="s">
        <v>4129</v>
      </c>
      <c r="D341" s="7" t="s">
        <v>4130</v>
      </c>
      <c r="E341" s="7" t="s">
        <v>3998</v>
      </c>
      <c r="F341" s="7" t="n">
        <v>24</v>
      </c>
      <c r="G341" s="14" t="s">
        <v>18</v>
      </c>
      <c r="H341" s="14" t="s">
        <v>18</v>
      </c>
      <c r="I341" s="7"/>
      <c r="J341" s="7" t="s">
        <v>2227</v>
      </c>
      <c r="K341" s="7" t="s">
        <v>4628</v>
      </c>
      <c r="L341" s="7" t="s">
        <v>4629</v>
      </c>
      <c r="M341" s="7" t="s">
        <v>4630</v>
      </c>
      <c r="N341" s="7" t="s">
        <v>4631</v>
      </c>
      <c r="O341" s="7"/>
      <c r="P341" s="7"/>
      <c r="Q341" s="7" t="n">
        <v>7</v>
      </c>
    </row>
    <row r="342" customFormat="false" ht="73.5" hidden="false" customHeight="true" outlineLevel="0" collapsed="false">
      <c r="A342" s="7" t="n">
        <v>338</v>
      </c>
      <c r="B342" s="7" t="s">
        <v>25</v>
      </c>
      <c r="C342" s="7" t="s">
        <v>4003</v>
      </c>
      <c r="D342" s="7" t="s">
        <v>4224</v>
      </c>
      <c r="E342" s="7" t="s">
        <v>4005</v>
      </c>
      <c r="F342" s="7" t="n">
        <v>107</v>
      </c>
      <c r="G342" s="15" t="s">
        <v>20</v>
      </c>
      <c r="H342" s="15" t="s">
        <v>28</v>
      </c>
      <c r="I342" s="7"/>
      <c r="J342" s="7" t="s">
        <v>2233</v>
      </c>
      <c r="K342" s="7" t="s">
        <v>4632</v>
      </c>
      <c r="L342" s="7" t="s">
        <v>4633</v>
      </c>
      <c r="M342" s="7" t="s">
        <v>4634</v>
      </c>
      <c r="N342" s="7" t="s">
        <v>4635</v>
      </c>
      <c r="O342" s="7"/>
      <c r="P342" s="7"/>
      <c r="Q342" s="7" t="n">
        <v>21</v>
      </c>
    </row>
    <row r="343" customFormat="false" ht="73.5" hidden="false" customHeight="true" outlineLevel="0" collapsed="false">
      <c r="A343" s="7" t="n">
        <v>339</v>
      </c>
      <c r="B343" s="7" t="s">
        <v>31</v>
      </c>
      <c r="C343" s="7" t="s">
        <v>4003</v>
      </c>
      <c r="D343" s="7" t="s">
        <v>4010</v>
      </c>
      <c r="E343" s="7" t="s">
        <v>3998</v>
      </c>
      <c r="F343" s="7" t="n">
        <v>28</v>
      </c>
      <c r="G343" s="14" t="s">
        <v>18</v>
      </c>
      <c r="H343" s="14" t="s">
        <v>18</v>
      </c>
      <c r="I343" s="7"/>
      <c r="J343" s="7" t="s">
        <v>2239</v>
      </c>
      <c r="K343" s="7" t="s">
        <v>4636</v>
      </c>
      <c r="L343" s="7" t="s">
        <v>4637</v>
      </c>
      <c r="M343" s="7" t="s">
        <v>4638</v>
      </c>
      <c r="N343" s="7" t="s">
        <v>4639</v>
      </c>
      <c r="O343" s="7"/>
      <c r="P343" s="7"/>
      <c r="Q343" s="7" t="n">
        <v>6</v>
      </c>
    </row>
    <row r="344" customFormat="false" ht="73.5" hidden="false" customHeight="true" outlineLevel="0" collapsed="false">
      <c r="A344" s="7" t="n">
        <v>340</v>
      </c>
      <c r="B344" s="7" t="s">
        <v>19</v>
      </c>
      <c r="C344" s="7" t="s">
        <v>3217</v>
      </c>
      <c r="D344" s="7" t="s">
        <v>4139</v>
      </c>
      <c r="E344" s="7" t="s">
        <v>4071</v>
      </c>
      <c r="F344" s="7" t="n">
        <v>95</v>
      </c>
      <c r="G344" s="15" t="s">
        <v>20</v>
      </c>
      <c r="H344" s="15" t="s">
        <v>28</v>
      </c>
      <c r="I344" s="7"/>
      <c r="J344" s="7" t="s">
        <v>2245</v>
      </c>
      <c r="K344" s="7" t="s">
        <v>4640</v>
      </c>
      <c r="L344" s="7" t="s">
        <v>4641</v>
      </c>
      <c r="M344" s="7" t="s">
        <v>4642</v>
      </c>
      <c r="N344" s="7"/>
      <c r="O344" s="7"/>
      <c r="P344" s="7"/>
      <c r="Q344" s="7" t="n">
        <v>24</v>
      </c>
    </row>
    <row r="345" customFormat="false" ht="73.5" hidden="false" customHeight="true" outlineLevel="0" collapsed="false">
      <c r="A345" s="7" t="n">
        <v>341</v>
      </c>
      <c r="B345" s="7" t="s">
        <v>21</v>
      </c>
      <c r="C345" s="7" t="s">
        <v>4058</v>
      </c>
      <c r="D345" s="7" t="s">
        <v>4059</v>
      </c>
      <c r="E345" s="7" t="s">
        <v>4005</v>
      </c>
      <c r="F345" s="7" t="n">
        <v>101</v>
      </c>
      <c r="G345" s="15" t="s">
        <v>20</v>
      </c>
      <c r="H345" s="15" t="s">
        <v>28</v>
      </c>
      <c r="I345" s="7"/>
      <c r="J345" s="7" t="s">
        <v>2250</v>
      </c>
      <c r="K345" s="7" t="s">
        <v>4643</v>
      </c>
      <c r="L345" s="7" t="s">
        <v>4644</v>
      </c>
      <c r="M345" s="7" t="s">
        <v>4645</v>
      </c>
      <c r="N345" s="7" t="s">
        <v>4646</v>
      </c>
      <c r="O345" s="7"/>
      <c r="P345" s="7"/>
      <c r="Q345" s="7" t="n">
        <v>18</v>
      </c>
    </row>
    <row r="346" customFormat="false" ht="213" hidden="false" customHeight="true" outlineLevel="0" collapsed="false">
      <c r="A346" s="7" t="n">
        <v>342</v>
      </c>
      <c r="B346" s="7" t="s">
        <v>15</v>
      </c>
      <c r="C346" s="7" t="s">
        <v>3996</v>
      </c>
      <c r="D346" s="7" t="s">
        <v>4030</v>
      </c>
      <c r="E346" s="7" t="s">
        <v>4031</v>
      </c>
      <c r="F346" s="7" t="n">
        <v>135</v>
      </c>
      <c r="G346" s="15" t="s">
        <v>20</v>
      </c>
      <c r="H346" s="15" t="s">
        <v>32</v>
      </c>
      <c r="I346" s="7" t="s">
        <v>4064</v>
      </c>
      <c r="J346" s="7" t="s">
        <v>2256</v>
      </c>
      <c r="K346" s="7" t="s">
        <v>4647</v>
      </c>
      <c r="L346" s="7" t="s">
        <v>4648</v>
      </c>
      <c r="M346" s="7" t="s">
        <v>4649</v>
      </c>
      <c r="N346" s="7" t="s">
        <v>4650</v>
      </c>
      <c r="O346" s="7" t="s">
        <v>4069</v>
      </c>
      <c r="P346" s="7"/>
      <c r="Q346" s="7" t="n">
        <v>37</v>
      </c>
    </row>
    <row r="347" customFormat="false" ht="73.5" hidden="false" customHeight="true" outlineLevel="0" collapsed="false">
      <c r="A347" s="7" t="n">
        <v>343</v>
      </c>
      <c r="B347" s="7" t="s">
        <v>19</v>
      </c>
      <c r="C347" s="7" t="s">
        <v>4003</v>
      </c>
      <c r="D347" s="7" t="s">
        <v>4004</v>
      </c>
      <c r="E347" s="7" t="s">
        <v>3998</v>
      </c>
      <c r="F347" s="7" t="n">
        <v>27</v>
      </c>
      <c r="G347" s="14" t="s">
        <v>18</v>
      </c>
      <c r="H347" s="14" t="s">
        <v>18</v>
      </c>
      <c r="I347" s="7"/>
      <c r="J347" s="7" t="s">
        <v>2263</v>
      </c>
      <c r="K347" s="7" t="s">
        <v>4651</v>
      </c>
      <c r="L347" s="7" t="s">
        <v>4652</v>
      </c>
      <c r="M347" s="7" t="s">
        <v>4653</v>
      </c>
      <c r="N347" s="7" t="s">
        <v>4654</v>
      </c>
      <c r="O347" s="7"/>
      <c r="P347" s="7"/>
      <c r="Q347" s="7" t="n">
        <v>7</v>
      </c>
    </row>
    <row r="348" customFormat="false" ht="73.5" hidden="false" customHeight="true" outlineLevel="0" collapsed="false">
      <c r="A348" s="7" t="n">
        <v>344</v>
      </c>
      <c r="B348" s="7" t="s">
        <v>15</v>
      </c>
      <c r="C348" s="7" t="s">
        <v>3996</v>
      </c>
      <c r="D348" s="7" t="s">
        <v>4030</v>
      </c>
      <c r="E348" s="7" t="s">
        <v>4302</v>
      </c>
      <c r="F348" s="7" t="n">
        <v>9</v>
      </c>
      <c r="G348" s="15" t="s">
        <v>20</v>
      </c>
      <c r="H348" s="15" t="s">
        <v>30</v>
      </c>
      <c r="I348" s="7"/>
      <c r="J348" s="7" t="s">
        <v>2269</v>
      </c>
      <c r="K348" s="7" t="s">
        <v>4655</v>
      </c>
      <c r="L348" s="7" t="s">
        <v>4656</v>
      </c>
      <c r="M348" s="7" t="s">
        <v>4657</v>
      </c>
      <c r="N348" s="7" t="s">
        <v>4658</v>
      </c>
      <c r="O348" s="7"/>
      <c r="P348" s="7"/>
      <c r="Q348" s="7" t="n">
        <v>5</v>
      </c>
    </row>
    <row r="349" customFormat="false" ht="73.5" hidden="false" customHeight="true" outlineLevel="0" collapsed="false">
      <c r="A349" s="7" t="n">
        <v>345</v>
      </c>
      <c r="B349" s="7" t="s">
        <v>29</v>
      </c>
      <c r="C349" s="7" t="s">
        <v>3217</v>
      </c>
      <c r="D349" s="7" t="s">
        <v>3898</v>
      </c>
      <c r="E349" s="7" t="s">
        <v>4025</v>
      </c>
      <c r="F349" s="7" t="n">
        <v>61</v>
      </c>
      <c r="G349" s="15" t="s">
        <v>20</v>
      </c>
      <c r="H349" s="15" t="s">
        <v>33</v>
      </c>
      <c r="I349" s="7"/>
      <c r="J349" s="7" t="s">
        <v>2275</v>
      </c>
      <c r="K349" s="7" t="s">
        <v>4659</v>
      </c>
      <c r="L349" s="7" t="s">
        <v>4660</v>
      </c>
      <c r="M349" s="7" t="s">
        <v>4661</v>
      </c>
      <c r="N349" s="7" t="s">
        <v>4662</v>
      </c>
      <c r="O349" s="7"/>
      <c r="P349" s="7"/>
      <c r="Q349" s="7" t="n">
        <v>13</v>
      </c>
    </row>
    <row r="350" customFormat="false" ht="73.5" hidden="false" customHeight="true" outlineLevel="0" collapsed="false">
      <c r="A350" s="7" t="n">
        <v>346</v>
      </c>
      <c r="B350" s="7" t="s">
        <v>17</v>
      </c>
      <c r="C350" s="7" t="s">
        <v>4044</v>
      </c>
      <c r="D350" s="7" t="s">
        <v>4045</v>
      </c>
      <c r="E350" s="7" t="s">
        <v>3998</v>
      </c>
      <c r="F350" s="7" t="n">
        <v>12</v>
      </c>
      <c r="G350" s="14" t="s">
        <v>18</v>
      </c>
      <c r="H350" s="14" t="s">
        <v>18</v>
      </c>
      <c r="I350" s="7"/>
      <c r="J350" s="7" t="s">
        <v>2281</v>
      </c>
      <c r="K350" s="7" t="s">
        <v>4663</v>
      </c>
      <c r="L350" s="7" t="s">
        <v>4664</v>
      </c>
      <c r="M350" s="7" t="s">
        <v>4665</v>
      </c>
      <c r="N350" s="7" t="s">
        <v>4666</v>
      </c>
      <c r="O350" s="7"/>
      <c r="P350" s="7"/>
      <c r="Q350" s="7" t="n">
        <v>5</v>
      </c>
    </row>
    <row r="351" customFormat="false" ht="73.5" hidden="false" customHeight="true" outlineLevel="0" collapsed="false">
      <c r="A351" s="7" t="n">
        <v>347</v>
      </c>
      <c r="B351" s="7" t="s">
        <v>22</v>
      </c>
      <c r="C351" s="7" t="s">
        <v>3996</v>
      </c>
      <c r="D351" s="7" t="s">
        <v>3997</v>
      </c>
      <c r="E351" s="7" t="s">
        <v>4005</v>
      </c>
      <c r="F351" s="7" t="n">
        <v>152</v>
      </c>
      <c r="G351" s="15" t="s">
        <v>20</v>
      </c>
      <c r="H351" s="15" t="s">
        <v>28</v>
      </c>
      <c r="I351" s="7"/>
      <c r="J351" s="7" t="s">
        <v>2287</v>
      </c>
      <c r="K351" s="7" t="s">
        <v>4667</v>
      </c>
      <c r="L351" s="7" t="s">
        <v>4668</v>
      </c>
      <c r="M351" s="7" t="s">
        <v>4669</v>
      </c>
      <c r="N351" s="7" t="s">
        <v>4670</v>
      </c>
      <c r="O351" s="7"/>
      <c r="P351" s="7"/>
      <c r="Q351" s="7" t="n">
        <v>27</v>
      </c>
    </row>
    <row r="352" customFormat="false" ht="73.5" hidden="false" customHeight="true" outlineLevel="0" collapsed="false">
      <c r="A352" s="7" t="n">
        <v>348</v>
      </c>
      <c r="B352" s="7" t="s">
        <v>22</v>
      </c>
      <c r="C352" s="7" t="s">
        <v>3996</v>
      </c>
      <c r="D352" s="7" t="s">
        <v>3997</v>
      </c>
      <c r="E352" s="7" t="s">
        <v>3998</v>
      </c>
      <c r="F352" s="7" t="n">
        <v>146</v>
      </c>
      <c r="G352" s="14" t="s">
        <v>18</v>
      </c>
      <c r="H352" s="14" t="s">
        <v>18</v>
      </c>
      <c r="I352" s="7"/>
      <c r="J352" s="7" t="s">
        <v>2293</v>
      </c>
      <c r="K352" s="7" t="s">
        <v>4671</v>
      </c>
      <c r="L352" s="7" t="s">
        <v>4672</v>
      </c>
      <c r="M352" s="7" t="s">
        <v>4673</v>
      </c>
      <c r="N352" s="7" t="s">
        <v>4674</v>
      </c>
      <c r="O352" s="7"/>
      <c r="P352" s="7"/>
      <c r="Q352" s="7" t="n">
        <v>26</v>
      </c>
    </row>
    <row r="353" customFormat="false" ht="73.5" hidden="false" customHeight="true" outlineLevel="0" collapsed="false">
      <c r="A353" s="7" t="n">
        <v>349</v>
      </c>
      <c r="B353" s="7" t="s">
        <v>23</v>
      </c>
      <c r="C353" s="7" t="s">
        <v>3217</v>
      </c>
      <c r="D353" s="7" t="s">
        <v>4038</v>
      </c>
      <c r="E353" s="7" t="s">
        <v>4039</v>
      </c>
      <c r="F353" s="7" t="n">
        <v>66</v>
      </c>
      <c r="G353" s="14" t="s">
        <v>18</v>
      </c>
      <c r="H353" s="14" t="s">
        <v>18</v>
      </c>
      <c r="I353" s="7"/>
      <c r="J353" s="7" t="s">
        <v>2299</v>
      </c>
      <c r="K353" s="7" t="s">
        <v>4675</v>
      </c>
      <c r="L353" s="7" t="s">
        <v>4676</v>
      </c>
      <c r="M353" s="7" t="s">
        <v>4677</v>
      </c>
      <c r="N353" s="7" t="s">
        <v>4678</v>
      </c>
      <c r="O353" s="7"/>
      <c r="P353" s="7"/>
      <c r="Q353" s="7" t="n">
        <v>20</v>
      </c>
    </row>
    <row r="354" customFormat="false" ht="73.5" hidden="false" customHeight="true" outlineLevel="0" collapsed="false">
      <c r="A354" s="7" t="n">
        <v>350</v>
      </c>
      <c r="B354" s="7" t="s">
        <v>29</v>
      </c>
      <c r="C354" s="7" t="s">
        <v>3217</v>
      </c>
      <c r="D354" s="7" t="s">
        <v>3898</v>
      </c>
      <c r="E354" s="7" t="s">
        <v>4025</v>
      </c>
      <c r="F354" s="7" t="n">
        <v>15</v>
      </c>
      <c r="G354" s="15" t="s">
        <v>20</v>
      </c>
      <c r="H354" s="15" t="s">
        <v>33</v>
      </c>
      <c r="I354" s="7"/>
      <c r="J354" s="7" t="s">
        <v>2305</v>
      </c>
      <c r="K354" s="7" t="s">
        <v>4679</v>
      </c>
      <c r="L354" s="7" t="s">
        <v>4680</v>
      </c>
      <c r="M354" s="7" t="s">
        <v>4681</v>
      </c>
      <c r="N354" s="7" t="s">
        <v>4682</v>
      </c>
      <c r="O354" s="7"/>
      <c r="P354" s="7"/>
      <c r="Q354" s="7" t="n">
        <v>5</v>
      </c>
    </row>
    <row r="355" customFormat="false" ht="73.5" hidden="false" customHeight="true" outlineLevel="0" collapsed="false">
      <c r="A355" s="7" t="n">
        <v>351</v>
      </c>
      <c r="B355" s="7" t="s">
        <v>25</v>
      </c>
      <c r="C355" s="7" t="s">
        <v>3217</v>
      </c>
      <c r="D355" s="7" t="s">
        <v>4320</v>
      </c>
      <c r="E355" s="7" t="s">
        <v>4005</v>
      </c>
      <c r="F355" s="7" t="n">
        <v>107</v>
      </c>
      <c r="G355" s="15" t="s">
        <v>20</v>
      </c>
      <c r="H355" s="15" t="s">
        <v>28</v>
      </c>
      <c r="I355" s="7"/>
      <c r="J355" s="7" t="s">
        <v>2311</v>
      </c>
      <c r="K355" s="7" t="s">
        <v>4683</v>
      </c>
      <c r="L355" s="7" t="s">
        <v>4684</v>
      </c>
      <c r="M355" s="7" t="s">
        <v>4685</v>
      </c>
      <c r="N355" s="7" t="s">
        <v>4686</v>
      </c>
      <c r="O355" s="7"/>
      <c r="P355" s="7"/>
      <c r="Q355" s="7" t="n">
        <v>22</v>
      </c>
    </row>
    <row r="356" customFormat="false" ht="73.5" hidden="false" customHeight="true" outlineLevel="0" collapsed="false">
      <c r="A356" s="7" t="n">
        <v>352</v>
      </c>
      <c r="B356" s="7" t="s">
        <v>19</v>
      </c>
      <c r="C356" s="7" t="s">
        <v>3217</v>
      </c>
      <c r="D356" s="7" t="s">
        <v>4139</v>
      </c>
      <c r="E356" s="7" t="s">
        <v>4071</v>
      </c>
      <c r="F356" s="7" t="n">
        <v>96</v>
      </c>
      <c r="G356" s="15" t="s">
        <v>20</v>
      </c>
      <c r="H356" s="15" t="s">
        <v>28</v>
      </c>
      <c r="I356" s="7"/>
      <c r="J356" s="7" t="s">
        <v>2317</v>
      </c>
      <c r="K356" s="7" t="s">
        <v>4687</v>
      </c>
      <c r="L356" s="7" t="s">
        <v>4688</v>
      </c>
      <c r="M356" s="7" t="s">
        <v>4689</v>
      </c>
      <c r="N356" s="7"/>
      <c r="O356" s="7"/>
      <c r="P356" s="7"/>
      <c r="Q356" s="7" t="n">
        <v>24</v>
      </c>
    </row>
    <row r="357" customFormat="false" ht="73.5" hidden="false" customHeight="true" outlineLevel="0" collapsed="false">
      <c r="A357" s="7" t="n">
        <v>353</v>
      </c>
      <c r="B357" s="7" t="s">
        <v>25</v>
      </c>
      <c r="C357" s="7" t="s">
        <v>4019</v>
      </c>
      <c r="D357" s="7" t="s">
        <v>4020</v>
      </c>
      <c r="E357" s="7" t="s">
        <v>4005</v>
      </c>
      <c r="F357" s="7" t="n">
        <v>102</v>
      </c>
      <c r="G357" s="15" t="s">
        <v>20</v>
      </c>
      <c r="H357" s="15" t="s">
        <v>28</v>
      </c>
      <c r="I357" s="7"/>
      <c r="J357" s="7" t="s">
        <v>2322</v>
      </c>
      <c r="K357" s="7" t="s">
        <v>4690</v>
      </c>
      <c r="L357" s="7" t="s">
        <v>4691</v>
      </c>
      <c r="M357" s="7" t="s">
        <v>4692</v>
      </c>
      <c r="N357" s="7" t="s">
        <v>4693</v>
      </c>
      <c r="O357" s="7"/>
      <c r="P357" s="7"/>
      <c r="Q357" s="7" t="n">
        <v>24</v>
      </c>
    </row>
    <row r="358" customFormat="false" ht="73.5" hidden="false" customHeight="true" outlineLevel="0" collapsed="false">
      <c r="A358" s="7" t="n">
        <v>354</v>
      </c>
      <c r="B358" s="7" t="s">
        <v>31</v>
      </c>
      <c r="C358" s="7" t="s">
        <v>4003</v>
      </c>
      <c r="D358" s="7" t="s">
        <v>4010</v>
      </c>
      <c r="E358" s="7" t="s">
        <v>3998</v>
      </c>
      <c r="F358" s="7" t="n">
        <v>110</v>
      </c>
      <c r="G358" s="14" t="s">
        <v>18</v>
      </c>
      <c r="H358" s="14" t="s">
        <v>18</v>
      </c>
      <c r="I358" s="7"/>
      <c r="J358" s="7" t="s">
        <v>2328</v>
      </c>
      <c r="K358" s="7" t="s">
        <v>4694</v>
      </c>
      <c r="L358" s="7" t="s">
        <v>4695</v>
      </c>
      <c r="M358" s="7" t="s">
        <v>4696</v>
      </c>
      <c r="N358" s="7" t="s">
        <v>4697</v>
      </c>
      <c r="O358" s="7"/>
      <c r="P358" s="7"/>
      <c r="Q358" s="7" t="n">
        <v>18</v>
      </c>
    </row>
    <row r="359" customFormat="false" ht="73.5" hidden="false" customHeight="true" outlineLevel="0" collapsed="false">
      <c r="A359" s="7" t="n">
        <v>355</v>
      </c>
      <c r="B359" s="7" t="s">
        <v>27</v>
      </c>
      <c r="C359" s="7" t="s">
        <v>3996</v>
      </c>
      <c r="D359" s="7" t="s">
        <v>4070</v>
      </c>
      <c r="E359" s="7" t="s">
        <v>3998</v>
      </c>
      <c r="F359" s="7" t="n">
        <v>37</v>
      </c>
      <c r="G359" s="14" t="s">
        <v>18</v>
      </c>
      <c r="H359" s="14" t="s">
        <v>18</v>
      </c>
      <c r="I359" s="7"/>
      <c r="J359" s="7" t="s">
        <v>2334</v>
      </c>
      <c r="K359" s="7" t="s">
        <v>4698</v>
      </c>
      <c r="L359" s="7" t="s">
        <v>4699</v>
      </c>
      <c r="M359" s="7" t="s">
        <v>4700</v>
      </c>
      <c r="N359" s="7" t="s">
        <v>4701</v>
      </c>
      <c r="O359" s="7"/>
      <c r="P359" s="7"/>
      <c r="Q359" s="7" t="n">
        <v>15</v>
      </c>
    </row>
    <row r="360" customFormat="false" ht="73.5" hidden="false" customHeight="true" outlineLevel="0" collapsed="false">
      <c r="A360" s="7" t="n">
        <v>356</v>
      </c>
      <c r="B360" s="7" t="s">
        <v>23</v>
      </c>
      <c r="C360" s="7" t="s">
        <v>3217</v>
      </c>
      <c r="D360" s="7" t="s">
        <v>4038</v>
      </c>
      <c r="E360" s="7" t="s">
        <v>3998</v>
      </c>
      <c r="F360" s="7" t="n">
        <v>45</v>
      </c>
      <c r="G360" s="14" t="s">
        <v>18</v>
      </c>
      <c r="H360" s="14" t="s">
        <v>18</v>
      </c>
      <c r="I360" s="7"/>
      <c r="J360" s="7" t="s">
        <v>2340</v>
      </c>
      <c r="K360" s="7" t="s">
        <v>4702</v>
      </c>
      <c r="L360" s="7" t="s">
        <v>4703</v>
      </c>
      <c r="M360" s="7" t="s">
        <v>4704</v>
      </c>
      <c r="N360" s="7" t="s">
        <v>4705</v>
      </c>
      <c r="O360" s="7"/>
      <c r="P360" s="7"/>
      <c r="Q360" s="7" t="n">
        <v>15</v>
      </c>
    </row>
    <row r="361" customFormat="false" ht="73.5" hidden="false" customHeight="true" outlineLevel="0" collapsed="false">
      <c r="A361" s="7" t="n">
        <v>357</v>
      </c>
      <c r="B361" s="7" t="s">
        <v>15</v>
      </c>
      <c r="C361" s="7" t="s">
        <v>3217</v>
      </c>
      <c r="D361" s="7" t="s">
        <v>4143</v>
      </c>
      <c r="E361" s="7" t="s">
        <v>4302</v>
      </c>
      <c r="F361" s="7" t="n">
        <v>100</v>
      </c>
      <c r="G361" s="15" t="s">
        <v>20</v>
      </c>
      <c r="H361" s="15" t="s">
        <v>30</v>
      </c>
      <c r="I361" s="7"/>
      <c r="J361" s="7" t="s">
        <v>2346</v>
      </c>
      <c r="K361" s="7" t="s">
        <v>4706</v>
      </c>
      <c r="L361" s="7" t="s">
        <v>4707</v>
      </c>
      <c r="M361" s="7" t="s">
        <v>4708</v>
      </c>
      <c r="N361" s="7" t="s">
        <v>4709</v>
      </c>
      <c r="O361" s="7"/>
      <c r="P361" s="7"/>
      <c r="Q361" s="7" t="n">
        <v>26</v>
      </c>
    </row>
    <row r="362" customFormat="false" ht="73.5" hidden="false" customHeight="true" outlineLevel="0" collapsed="false">
      <c r="A362" s="7" t="n">
        <v>358</v>
      </c>
      <c r="B362" s="7" t="s">
        <v>19</v>
      </c>
      <c r="C362" s="7" t="s">
        <v>4003</v>
      </c>
      <c r="D362" s="7" t="s">
        <v>4004</v>
      </c>
      <c r="E362" s="7" t="s">
        <v>4005</v>
      </c>
      <c r="F362" s="7" t="n">
        <v>153</v>
      </c>
      <c r="G362" s="15" t="s">
        <v>20</v>
      </c>
      <c r="H362" s="15" t="s">
        <v>28</v>
      </c>
      <c r="I362" s="7"/>
      <c r="J362" s="7" t="s">
        <v>2352</v>
      </c>
      <c r="K362" s="7" t="s">
        <v>4710</v>
      </c>
      <c r="L362" s="7" t="s">
        <v>4711</v>
      </c>
      <c r="M362" s="7" t="s">
        <v>4712</v>
      </c>
      <c r="N362" s="7" t="s">
        <v>4713</v>
      </c>
      <c r="O362" s="7"/>
      <c r="P362" s="7"/>
      <c r="Q362" s="7" t="n">
        <v>34</v>
      </c>
    </row>
    <row r="363" customFormat="false" ht="73.5" hidden="false" customHeight="true" outlineLevel="0" collapsed="false">
      <c r="A363" s="7" t="n">
        <v>359</v>
      </c>
      <c r="B363" s="7" t="s">
        <v>25</v>
      </c>
      <c r="C363" s="7" t="s">
        <v>4019</v>
      </c>
      <c r="D363" s="7" t="s">
        <v>4020</v>
      </c>
      <c r="E363" s="7" t="s">
        <v>4005</v>
      </c>
      <c r="F363" s="7" t="n">
        <v>109</v>
      </c>
      <c r="G363" s="15" t="s">
        <v>20</v>
      </c>
      <c r="H363" s="15" t="s">
        <v>28</v>
      </c>
      <c r="I363" s="7"/>
      <c r="J363" s="7" t="s">
        <v>2359</v>
      </c>
      <c r="K363" s="7" t="s">
        <v>4714</v>
      </c>
      <c r="L363" s="7" t="s">
        <v>4715</v>
      </c>
      <c r="M363" s="7" t="s">
        <v>4716</v>
      </c>
      <c r="N363" s="7" t="s">
        <v>4717</v>
      </c>
      <c r="O363" s="7"/>
      <c r="P363" s="7"/>
      <c r="Q363" s="7" t="n">
        <v>25</v>
      </c>
    </row>
    <row r="364" customFormat="false" ht="73.5" hidden="false" customHeight="true" outlineLevel="0" collapsed="false">
      <c r="A364" s="7" t="n">
        <v>360</v>
      </c>
      <c r="B364" s="7" t="s">
        <v>17</v>
      </c>
      <c r="C364" s="7" t="s">
        <v>4058</v>
      </c>
      <c r="D364" s="7" t="s">
        <v>4084</v>
      </c>
      <c r="E364" s="7" t="s">
        <v>3998</v>
      </c>
      <c r="F364" s="7" t="n">
        <v>92</v>
      </c>
      <c r="G364" s="14" t="s">
        <v>18</v>
      </c>
      <c r="H364" s="14" t="s">
        <v>18</v>
      </c>
      <c r="I364" s="7"/>
      <c r="J364" s="7" t="s">
        <v>2365</v>
      </c>
      <c r="K364" s="7" t="s">
        <v>4718</v>
      </c>
      <c r="L364" s="7" t="s">
        <v>4719</v>
      </c>
      <c r="M364" s="7" t="s">
        <v>4720</v>
      </c>
      <c r="N364" s="7" t="s">
        <v>4721</v>
      </c>
      <c r="O364" s="7"/>
      <c r="P364" s="7"/>
      <c r="Q364" s="7" t="n">
        <v>33</v>
      </c>
    </row>
    <row r="365" customFormat="false" ht="73.5" hidden="false" customHeight="true" outlineLevel="0" collapsed="false">
      <c r="A365" s="7" t="n">
        <v>361</v>
      </c>
      <c r="B365" s="7" t="s">
        <v>17</v>
      </c>
      <c r="C365" s="7" t="s">
        <v>4058</v>
      </c>
      <c r="D365" s="7" t="s">
        <v>4084</v>
      </c>
      <c r="E365" s="7" t="s">
        <v>3998</v>
      </c>
      <c r="F365" s="7" t="n">
        <v>7</v>
      </c>
      <c r="G365" s="14" t="s">
        <v>18</v>
      </c>
      <c r="H365" s="14" t="s">
        <v>18</v>
      </c>
      <c r="I365" s="7"/>
      <c r="J365" s="7" t="s">
        <v>2372</v>
      </c>
      <c r="K365" s="7" t="s">
        <v>4722</v>
      </c>
      <c r="L365" s="7" t="s">
        <v>4723</v>
      </c>
      <c r="M365" s="7" t="s">
        <v>4724</v>
      </c>
      <c r="N365" s="7" t="s">
        <v>4725</v>
      </c>
      <c r="O365" s="7"/>
      <c r="P365" s="7"/>
      <c r="Q365" s="7" t="n">
        <v>5</v>
      </c>
    </row>
    <row r="366" customFormat="false" ht="73.5" hidden="false" customHeight="true" outlineLevel="0" collapsed="false">
      <c r="A366" s="7" t="n">
        <v>362</v>
      </c>
      <c r="B366" s="7" t="s">
        <v>22</v>
      </c>
      <c r="C366" s="7" t="s">
        <v>3996</v>
      </c>
      <c r="D366" s="7" t="s">
        <v>3997</v>
      </c>
      <c r="E366" s="7" t="s">
        <v>3998</v>
      </c>
      <c r="F366" s="7" t="n">
        <v>38</v>
      </c>
      <c r="G366" s="14" t="s">
        <v>18</v>
      </c>
      <c r="H366" s="14" t="s">
        <v>18</v>
      </c>
      <c r="I366" s="7"/>
      <c r="J366" s="7" t="s">
        <v>2378</v>
      </c>
      <c r="K366" s="7" t="s">
        <v>4726</v>
      </c>
      <c r="L366" s="7" t="s">
        <v>4727</v>
      </c>
      <c r="M366" s="7" t="s">
        <v>4728</v>
      </c>
      <c r="N366" s="7" t="s">
        <v>4729</v>
      </c>
      <c r="O366" s="7"/>
      <c r="P366" s="7"/>
      <c r="Q366" s="7" t="n">
        <v>8</v>
      </c>
    </row>
    <row r="367" customFormat="false" ht="73.5" hidden="false" customHeight="true" outlineLevel="0" collapsed="false">
      <c r="A367" s="7" t="n">
        <v>363</v>
      </c>
      <c r="B367" s="7" t="s">
        <v>31</v>
      </c>
      <c r="C367" s="7" t="s">
        <v>4003</v>
      </c>
      <c r="D367" s="7" t="s">
        <v>4010</v>
      </c>
      <c r="E367" s="7" t="s">
        <v>3998</v>
      </c>
      <c r="F367" s="7" t="n">
        <v>61</v>
      </c>
      <c r="G367" s="14" t="s">
        <v>18</v>
      </c>
      <c r="H367" s="14" t="s">
        <v>18</v>
      </c>
      <c r="I367" s="7"/>
      <c r="J367" s="7" t="s">
        <v>2384</v>
      </c>
      <c r="K367" s="7" t="s">
        <v>4730</v>
      </c>
      <c r="L367" s="7" t="s">
        <v>4454</v>
      </c>
      <c r="M367" s="7" t="s">
        <v>4731</v>
      </c>
      <c r="N367" s="7" t="s">
        <v>4290</v>
      </c>
      <c r="O367" s="7"/>
      <c r="P367" s="7"/>
      <c r="Q367" s="7" t="n">
        <v>11</v>
      </c>
    </row>
    <row r="368" customFormat="false" ht="73.5" hidden="false" customHeight="true" outlineLevel="0" collapsed="false">
      <c r="A368" s="7" t="n">
        <v>364</v>
      </c>
      <c r="B368" s="7" t="s">
        <v>23</v>
      </c>
      <c r="C368" s="7" t="s">
        <v>3217</v>
      </c>
      <c r="D368" s="7" t="s">
        <v>4038</v>
      </c>
      <c r="E368" s="7" t="s">
        <v>3998</v>
      </c>
      <c r="F368" s="7" t="n">
        <v>35</v>
      </c>
      <c r="G368" s="14" t="s">
        <v>18</v>
      </c>
      <c r="H368" s="14" t="s">
        <v>18</v>
      </c>
      <c r="I368" s="7"/>
      <c r="J368" s="7" t="s">
        <v>2390</v>
      </c>
      <c r="K368" s="7" t="s">
        <v>4732</v>
      </c>
      <c r="L368" s="7" t="s">
        <v>4733</v>
      </c>
      <c r="M368" s="7" t="s">
        <v>4734</v>
      </c>
      <c r="N368" s="7" t="s">
        <v>4735</v>
      </c>
      <c r="O368" s="7"/>
      <c r="P368" s="7"/>
      <c r="Q368" s="7" t="n">
        <v>12</v>
      </c>
    </row>
    <row r="369" customFormat="false" ht="73.5" hidden="false" customHeight="true" outlineLevel="0" collapsed="false">
      <c r="A369" s="7" t="n">
        <v>365</v>
      </c>
      <c r="B369" s="7" t="s">
        <v>15</v>
      </c>
      <c r="C369" s="7" t="s">
        <v>3217</v>
      </c>
      <c r="D369" s="7" t="s">
        <v>4143</v>
      </c>
      <c r="E369" s="7" t="s">
        <v>4302</v>
      </c>
      <c r="F369" s="7" t="n">
        <v>58</v>
      </c>
      <c r="G369" s="15" t="s">
        <v>20</v>
      </c>
      <c r="H369" s="15" t="s">
        <v>30</v>
      </c>
      <c r="I369" s="7"/>
      <c r="J369" s="7" t="s">
        <v>2396</v>
      </c>
      <c r="K369" s="7" t="s">
        <v>4736</v>
      </c>
      <c r="L369" s="7" t="s">
        <v>4737</v>
      </c>
      <c r="M369" s="7" t="s">
        <v>4738</v>
      </c>
      <c r="N369" s="7" t="s">
        <v>4739</v>
      </c>
      <c r="O369" s="7"/>
      <c r="P369" s="7"/>
      <c r="Q369" s="7" t="n">
        <v>16</v>
      </c>
    </row>
    <row r="370" customFormat="false" ht="73.5" hidden="false" customHeight="true" outlineLevel="0" collapsed="false">
      <c r="A370" s="7" t="n">
        <v>366</v>
      </c>
      <c r="B370" s="7" t="s">
        <v>27</v>
      </c>
      <c r="C370" s="7" t="s">
        <v>4129</v>
      </c>
      <c r="D370" s="7" t="s">
        <v>4130</v>
      </c>
      <c r="E370" s="7" t="s">
        <v>3998</v>
      </c>
      <c r="F370" s="7" t="n">
        <v>9</v>
      </c>
      <c r="G370" s="14" t="s">
        <v>18</v>
      </c>
      <c r="H370" s="14" t="s">
        <v>18</v>
      </c>
      <c r="I370" s="7"/>
      <c r="J370" s="7" t="s">
        <v>2402</v>
      </c>
      <c r="K370" s="7" t="s">
        <v>4740</v>
      </c>
      <c r="L370" s="7" t="s">
        <v>4741</v>
      </c>
      <c r="M370" s="7" t="s">
        <v>4742</v>
      </c>
      <c r="N370" s="7" t="s">
        <v>4743</v>
      </c>
      <c r="O370" s="7"/>
      <c r="P370" s="7"/>
      <c r="Q370" s="7" t="n">
        <v>5</v>
      </c>
    </row>
    <row r="371" customFormat="false" ht="73.5" hidden="false" customHeight="true" outlineLevel="0" collapsed="false">
      <c r="A371" s="7" t="n">
        <v>367</v>
      </c>
      <c r="B371" s="7" t="s">
        <v>29</v>
      </c>
      <c r="C371" s="7" t="s">
        <v>3217</v>
      </c>
      <c r="D371" s="7" t="s">
        <v>3898</v>
      </c>
      <c r="E371" s="7" t="s">
        <v>4025</v>
      </c>
      <c r="F371" s="7" t="n">
        <v>12</v>
      </c>
      <c r="G371" s="15" t="s">
        <v>20</v>
      </c>
      <c r="H371" s="15" t="s">
        <v>33</v>
      </c>
      <c r="I371" s="7"/>
      <c r="J371" s="7" t="s">
        <v>2408</v>
      </c>
      <c r="K371" s="7" t="s">
        <v>4744</v>
      </c>
      <c r="L371" s="7" t="s">
        <v>4745</v>
      </c>
      <c r="M371" s="7" t="s">
        <v>4746</v>
      </c>
      <c r="N371" s="7" t="s">
        <v>4747</v>
      </c>
      <c r="O371" s="7"/>
      <c r="P371" s="7"/>
      <c r="Q371" s="7" t="n">
        <v>4</v>
      </c>
    </row>
    <row r="372" customFormat="false" ht="73.5" hidden="false" customHeight="true" outlineLevel="0" collapsed="false">
      <c r="A372" s="7" t="n">
        <v>368</v>
      </c>
      <c r="B372" s="7" t="s">
        <v>19</v>
      </c>
      <c r="C372" s="7" t="s">
        <v>4003</v>
      </c>
      <c r="D372" s="7" t="s">
        <v>4004</v>
      </c>
      <c r="E372" s="7" t="s">
        <v>4005</v>
      </c>
      <c r="F372" s="7" t="n">
        <v>162</v>
      </c>
      <c r="G372" s="15" t="s">
        <v>20</v>
      </c>
      <c r="H372" s="15" t="s">
        <v>28</v>
      </c>
      <c r="I372" s="7"/>
      <c r="J372" s="7" t="s">
        <v>2414</v>
      </c>
      <c r="K372" s="7" t="s">
        <v>4748</v>
      </c>
      <c r="L372" s="7" t="s">
        <v>4749</v>
      </c>
      <c r="M372" s="7" t="s">
        <v>4750</v>
      </c>
      <c r="N372" s="7" t="s">
        <v>4751</v>
      </c>
      <c r="O372" s="7"/>
      <c r="P372" s="7"/>
      <c r="Q372" s="7" t="n">
        <v>36</v>
      </c>
    </row>
    <row r="373" customFormat="false" ht="73.5" hidden="false" customHeight="true" outlineLevel="0" collapsed="false">
      <c r="A373" s="7" t="n">
        <v>369</v>
      </c>
      <c r="B373" s="7" t="s">
        <v>19</v>
      </c>
      <c r="C373" s="7" t="s">
        <v>3217</v>
      </c>
      <c r="D373" s="7" t="s">
        <v>4139</v>
      </c>
      <c r="E373" s="7" t="s">
        <v>4071</v>
      </c>
      <c r="F373" s="7" t="n">
        <v>99</v>
      </c>
      <c r="G373" s="15" t="s">
        <v>20</v>
      </c>
      <c r="H373" s="15" t="s">
        <v>28</v>
      </c>
      <c r="I373" s="7"/>
      <c r="J373" s="7" t="s">
        <v>2420</v>
      </c>
      <c r="K373" s="7" t="s">
        <v>4752</v>
      </c>
      <c r="L373" s="7" t="s">
        <v>4753</v>
      </c>
      <c r="M373" s="7" t="s">
        <v>4754</v>
      </c>
      <c r="N373" s="7"/>
      <c r="O373" s="7"/>
      <c r="P373" s="7"/>
      <c r="Q373" s="7" t="n">
        <v>25</v>
      </c>
    </row>
    <row r="374" customFormat="false" ht="73.5" hidden="false" customHeight="true" outlineLevel="0" collapsed="false">
      <c r="A374" s="7" t="n">
        <v>370</v>
      </c>
      <c r="B374" s="7" t="s">
        <v>21</v>
      </c>
      <c r="C374" s="7" t="s">
        <v>4058</v>
      </c>
      <c r="D374" s="7" t="s">
        <v>4059</v>
      </c>
      <c r="E374" s="7" t="s">
        <v>3998</v>
      </c>
      <c r="F374" s="7" t="n">
        <v>84</v>
      </c>
      <c r="G374" s="14" t="s">
        <v>18</v>
      </c>
      <c r="H374" s="14" t="s">
        <v>18</v>
      </c>
      <c r="I374" s="7"/>
      <c r="J374" s="7" t="s">
        <v>2425</v>
      </c>
      <c r="K374" s="7" t="s">
        <v>4755</v>
      </c>
      <c r="L374" s="7" t="s">
        <v>4756</v>
      </c>
      <c r="M374" s="7" t="s">
        <v>4757</v>
      </c>
      <c r="N374" s="7" t="s">
        <v>4758</v>
      </c>
      <c r="O374" s="7"/>
      <c r="P374" s="7"/>
      <c r="Q374" s="7" t="n">
        <v>15</v>
      </c>
    </row>
    <row r="375" customFormat="false" ht="73.5" hidden="false" customHeight="true" outlineLevel="0" collapsed="false">
      <c r="A375" s="7" t="n">
        <v>371</v>
      </c>
      <c r="B375" s="7" t="s">
        <v>23</v>
      </c>
      <c r="C375" s="7" t="s">
        <v>3217</v>
      </c>
      <c r="D375" s="7" t="s">
        <v>4038</v>
      </c>
      <c r="E375" s="7" t="s">
        <v>3998</v>
      </c>
      <c r="F375" s="7" t="n">
        <v>19</v>
      </c>
      <c r="G375" s="14" t="s">
        <v>18</v>
      </c>
      <c r="H375" s="14" t="s">
        <v>18</v>
      </c>
      <c r="I375" s="7"/>
      <c r="J375" s="7" t="s">
        <v>2431</v>
      </c>
      <c r="K375" s="7" t="s">
        <v>4759</v>
      </c>
      <c r="L375" s="7" t="s">
        <v>4760</v>
      </c>
      <c r="M375" s="7" t="s">
        <v>4761</v>
      </c>
      <c r="N375" s="7" t="s">
        <v>4762</v>
      </c>
      <c r="O375" s="7"/>
      <c r="P375" s="7"/>
      <c r="Q375" s="7" t="n">
        <v>8</v>
      </c>
    </row>
    <row r="376" customFormat="false" ht="73.5" hidden="false" customHeight="true" outlineLevel="0" collapsed="false">
      <c r="A376" s="7" t="n">
        <v>372</v>
      </c>
      <c r="B376" s="7" t="s">
        <v>17</v>
      </c>
      <c r="C376" s="7" t="s">
        <v>4044</v>
      </c>
      <c r="D376" s="7" t="s">
        <v>4045</v>
      </c>
      <c r="E376" s="7" t="s">
        <v>3998</v>
      </c>
      <c r="F376" s="7" t="n">
        <v>78</v>
      </c>
      <c r="G376" s="14" t="s">
        <v>18</v>
      </c>
      <c r="H376" s="14" t="s">
        <v>18</v>
      </c>
      <c r="I376" s="7"/>
      <c r="J376" s="7" t="s">
        <v>2437</v>
      </c>
      <c r="K376" s="7" t="s">
        <v>4763</v>
      </c>
      <c r="L376" s="7" t="s">
        <v>4764</v>
      </c>
      <c r="M376" s="7" t="s">
        <v>4765</v>
      </c>
      <c r="N376" s="7" t="s">
        <v>4766</v>
      </c>
      <c r="O376" s="7"/>
      <c r="P376" s="7"/>
      <c r="Q376" s="7" t="n">
        <v>16</v>
      </c>
    </row>
    <row r="377" customFormat="false" ht="73.5" hidden="false" customHeight="true" outlineLevel="0" collapsed="false">
      <c r="A377" s="7" t="n">
        <v>373</v>
      </c>
      <c r="B377" s="7" t="s">
        <v>15</v>
      </c>
      <c r="C377" s="7" t="s">
        <v>3996</v>
      </c>
      <c r="D377" s="7" t="s">
        <v>4030</v>
      </c>
      <c r="E377" s="7" t="s">
        <v>4302</v>
      </c>
      <c r="F377" s="7" t="n">
        <v>47</v>
      </c>
      <c r="G377" s="15" t="s">
        <v>20</v>
      </c>
      <c r="H377" s="15" t="s">
        <v>30</v>
      </c>
      <c r="I377" s="7"/>
      <c r="J377" s="7" t="s">
        <v>2443</v>
      </c>
      <c r="K377" s="7" t="s">
        <v>4767</v>
      </c>
      <c r="L377" s="7" t="s">
        <v>4768</v>
      </c>
      <c r="M377" s="7" t="s">
        <v>4769</v>
      </c>
      <c r="N377" s="7" t="s">
        <v>4770</v>
      </c>
      <c r="O377" s="7"/>
      <c r="P377" s="7"/>
      <c r="Q377" s="7" t="n">
        <v>13</v>
      </c>
    </row>
    <row r="378" customFormat="false" ht="73.5" hidden="false" customHeight="true" outlineLevel="0" collapsed="false">
      <c r="A378" s="7" t="n">
        <v>374</v>
      </c>
      <c r="B378" s="7" t="s">
        <v>21</v>
      </c>
      <c r="C378" s="7" t="s">
        <v>4058</v>
      </c>
      <c r="D378" s="7" t="s">
        <v>4059</v>
      </c>
      <c r="E378" s="7" t="s">
        <v>3998</v>
      </c>
      <c r="F378" s="7" t="n">
        <v>71</v>
      </c>
      <c r="G378" s="14" t="s">
        <v>18</v>
      </c>
      <c r="H378" s="14" t="s">
        <v>18</v>
      </c>
      <c r="I378" s="7"/>
      <c r="J378" s="7" t="s">
        <v>2449</v>
      </c>
      <c r="K378" s="7" t="s">
        <v>4771</v>
      </c>
      <c r="L378" s="7" t="s">
        <v>4772</v>
      </c>
      <c r="M378" s="7" t="s">
        <v>4773</v>
      </c>
      <c r="N378" s="7" t="s">
        <v>4774</v>
      </c>
      <c r="O378" s="7"/>
      <c r="P378" s="7"/>
      <c r="Q378" s="7" t="n">
        <v>13</v>
      </c>
    </row>
    <row r="379" customFormat="false" ht="73.5" hidden="false" customHeight="true" outlineLevel="0" collapsed="false">
      <c r="A379" s="7" t="n">
        <v>375</v>
      </c>
      <c r="B379" s="7" t="s">
        <v>25</v>
      </c>
      <c r="C379" s="7" t="s">
        <v>4003</v>
      </c>
      <c r="D379" s="7" t="s">
        <v>4224</v>
      </c>
      <c r="E379" s="7" t="s">
        <v>4005</v>
      </c>
      <c r="F379" s="7" t="n">
        <v>101</v>
      </c>
      <c r="G379" s="15" t="s">
        <v>20</v>
      </c>
      <c r="H379" s="15" t="s">
        <v>28</v>
      </c>
      <c r="I379" s="7"/>
      <c r="J379" s="7" t="s">
        <v>2455</v>
      </c>
      <c r="K379" s="7" t="s">
        <v>4775</v>
      </c>
      <c r="L379" s="7" t="s">
        <v>4776</v>
      </c>
      <c r="M379" s="7" t="s">
        <v>4777</v>
      </c>
      <c r="N379" s="7" t="s">
        <v>4778</v>
      </c>
      <c r="O379" s="7"/>
      <c r="P379" s="7"/>
      <c r="Q379" s="7" t="n">
        <v>20</v>
      </c>
    </row>
    <row r="380" customFormat="false" ht="73.5" hidden="false" customHeight="true" outlineLevel="0" collapsed="false">
      <c r="A380" s="7" t="n">
        <v>376</v>
      </c>
      <c r="B380" s="7" t="s">
        <v>22</v>
      </c>
      <c r="C380" s="7" t="s">
        <v>3996</v>
      </c>
      <c r="D380" s="7" t="s">
        <v>3997</v>
      </c>
      <c r="E380" s="7" t="s">
        <v>3998</v>
      </c>
      <c r="F380" s="7" t="n">
        <v>113</v>
      </c>
      <c r="G380" s="14" t="s">
        <v>18</v>
      </c>
      <c r="H380" s="14" t="s">
        <v>18</v>
      </c>
      <c r="I380" s="7"/>
      <c r="J380" s="7" t="s">
        <v>2461</v>
      </c>
      <c r="K380" s="7" t="s">
        <v>4779</v>
      </c>
      <c r="L380" s="7" t="s">
        <v>4780</v>
      </c>
      <c r="M380" s="7" t="s">
        <v>4781</v>
      </c>
      <c r="N380" s="7" t="s">
        <v>4782</v>
      </c>
      <c r="O380" s="7"/>
      <c r="P380" s="7"/>
      <c r="Q380" s="7" t="n">
        <v>21</v>
      </c>
    </row>
    <row r="381" customFormat="false" ht="73.5" hidden="false" customHeight="true" outlineLevel="0" collapsed="false">
      <c r="A381" s="7" t="n">
        <v>377</v>
      </c>
      <c r="B381" s="7" t="s">
        <v>27</v>
      </c>
      <c r="C381" s="7" t="s">
        <v>4129</v>
      </c>
      <c r="D381" s="7" t="s">
        <v>4130</v>
      </c>
      <c r="E381" s="7" t="s">
        <v>3998</v>
      </c>
      <c r="F381" s="7" t="n">
        <v>90</v>
      </c>
      <c r="G381" s="14" t="s">
        <v>18</v>
      </c>
      <c r="H381" s="14" t="s">
        <v>18</v>
      </c>
      <c r="I381" s="7"/>
      <c r="J381" s="7" t="s">
        <v>2467</v>
      </c>
      <c r="K381" s="7" t="s">
        <v>4783</v>
      </c>
      <c r="L381" s="7" t="s">
        <v>4784</v>
      </c>
      <c r="M381" s="7" t="s">
        <v>4785</v>
      </c>
      <c r="N381" s="7" t="s">
        <v>4786</v>
      </c>
      <c r="O381" s="7"/>
      <c r="P381" s="7"/>
      <c r="Q381" s="7" t="n">
        <v>23</v>
      </c>
    </row>
    <row r="382" customFormat="false" ht="73.5" hidden="false" customHeight="true" outlineLevel="0" collapsed="false">
      <c r="A382" s="7" t="n">
        <v>378</v>
      </c>
      <c r="B382" s="7" t="s">
        <v>21</v>
      </c>
      <c r="C382" s="7" t="s">
        <v>4058</v>
      </c>
      <c r="D382" s="7" t="s">
        <v>4059</v>
      </c>
      <c r="E382" s="7" t="s">
        <v>4005</v>
      </c>
      <c r="F382" s="7" t="n">
        <v>105</v>
      </c>
      <c r="G382" s="15" t="s">
        <v>20</v>
      </c>
      <c r="H382" s="15" t="s">
        <v>28</v>
      </c>
      <c r="I382" s="7"/>
      <c r="J382" s="7" t="s">
        <v>2473</v>
      </c>
      <c r="K382" s="7" t="s">
        <v>4787</v>
      </c>
      <c r="L382" s="7" t="s">
        <v>4788</v>
      </c>
      <c r="M382" s="7" t="s">
        <v>4789</v>
      </c>
      <c r="N382" s="7" t="s">
        <v>4790</v>
      </c>
      <c r="O382" s="7"/>
      <c r="P382" s="7"/>
      <c r="Q382" s="7" t="n">
        <v>19</v>
      </c>
    </row>
    <row r="383" customFormat="false" ht="121.5" hidden="false" customHeight="true" outlineLevel="0" collapsed="false">
      <c r="A383" s="7" t="n">
        <v>379</v>
      </c>
      <c r="B383" s="7" t="s">
        <v>15</v>
      </c>
      <c r="C383" s="7" t="s">
        <v>3996</v>
      </c>
      <c r="D383" s="7" t="s">
        <v>4030</v>
      </c>
      <c r="E383" s="7" t="s">
        <v>4031</v>
      </c>
      <c r="F383" s="7" t="n">
        <v>124</v>
      </c>
      <c r="G383" s="15" t="s">
        <v>20</v>
      </c>
      <c r="H383" s="15" t="s">
        <v>32</v>
      </c>
      <c r="I383" s="7" t="s">
        <v>4032</v>
      </c>
      <c r="J383" s="7" t="s">
        <v>2479</v>
      </c>
      <c r="K383" s="7" t="s">
        <v>4791</v>
      </c>
      <c r="L383" s="7" t="s">
        <v>4792</v>
      </c>
      <c r="M383" s="7" t="s">
        <v>4793</v>
      </c>
      <c r="N383" s="7" t="s">
        <v>4794</v>
      </c>
      <c r="O383" s="7" t="s">
        <v>4037</v>
      </c>
      <c r="P383" s="7"/>
      <c r="Q383" s="7" t="n">
        <v>33</v>
      </c>
    </row>
    <row r="384" customFormat="false" ht="73.5" hidden="false" customHeight="true" outlineLevel="0" collapsed="false">
      <c r="A384" s="7" t="n">
        <v>380</v>
      </c>
      <c r="B384" s="7" t="s">
        <v>21</v>
      </c>
      <c r="C384" s="7" t="s">
        <v>3217</v>
      </c>
      <c r="D384" s="7" t="s">
        <v>4108</v>
      </c>
      <c r="E384" s="7" t="s">
        <v>3998</v>
      </c>
      <c r="F384" s="7" t="n">
        <v>67</v>
      </c>
      <c r="G384" s="14" t="s">
        <v>18</v>
      </c>
      <c r="H384" s="14" t="s">
        <v>18</v>
      </c>
      <c r="I384" s="7"/>
      <c r="J384" s="7" t="s">
        <v>2485</v>
      </c>
      <c r="K384" s="7" t="s">
        <v>4795</v>
      </c>
      <c r="L384" s="7" t="s">
        <v>4796</v>
      </c>
      <c r="M384" s="7" t="s">
        <v>4797</v>
      </c>
      <c r="N384" s="7" t="s">
        <v>4798</v>
      </c>
      <c r="O384" s="7"/>
      <c r="P384" s="7"/>
      <c r="Q384" s="7" t="n">
        <v>12</v>
      </c>
    </row>
    <row r="385" customFormat="false" ht="73.5" hidden="false" customHeight="true" outlineLevel="0" collapsed="false">
      <c r="A385" s="7" t="n">
        <v>381</v>
      </c>
      <c r="B385" s="7" t="s">
        <v>31</v>
      </c>
      <c r="C385" s="7" t="s">
        <v>4003</v>
      </c>
      <c r="D385" s="7" t="s">
        <v>4010</v>
      </c>
      <c r="E385" s="7" t="s">
        <v>3998</v>
      </c>
      <c r="F385" s="7" t="n">
        <v>144</v>
      </c>
      <c r="G385" s="14" t="s">
        <v>18</v>
      </c>
      <c r="H385" s="14" t="s">
        <v>18</v>
      </c>
      <c r="I385" s="7"/>
      <c r="J385" s="7" t="s">
        <v>2491</v>
      </c>
      <c r="K385" s="7" t="s">
        <v>4799</v>
      </c>
      <c r="L385" s="7" t="s">
        <v>4800</v>
      </c>
      <c r="M385" s="7" t="s">
        <v>4801</v>
      </c>
      <c r="N385" s="7" t="s">
        <v>4802</v>
      </c>
      <c r="O385" s="7"/>
      <c r="P385" s="7"/>
      <c r="Q385" s="7" t="n">
        <v>23</v>
      </c>
    </row>
    <row r="386" customFormat="false" ht="73.5" hidden="false" customHeight="true" outlineLevel="0" collapsed="false">
      <c r="A386" s="7" t="n">
        <v>382</v>
      </c>
      <c r="B386" s="7" t="s">
        <v>29</v>
      </c>
      <c r="C386" s="7" t="s">
        <v>3217</v>
      </c>
      <c r="D386" s="7" t="s">
        <v>3898</v>
      </c>
      <c r="E386" s="7" t="s">
        <v>4025</v>
      </c>
      <c r="F386" s="7" t="n">
        <v>23</v>
      </c>
      <c r="G386" s="15" t="s">
        <v>20</v>
      </c>
      <c r="H386" s="15" t="s">
        <v>33</v>
      </c>
      <c r="I386" s="7"/>
      <c r="J386" s="7" t="s">
        <v>2497</v>
      </c>
      <c r="K386" s="7" t="s">
        <v>4803</v>
      </c>
      <c r="L386" s="7" t="s">
        <v>4804</v>
      </c>
      <c r="M386" s="7" t="s">
        <v>4805</v>
      </c>
      <c r="N386" s="7" t="s">
        <v>4806</v>
      </c>
      <c r="O386" s="7"/>
      <c r="P386" s="7"/>
      <c r="Q386" s="7" t="n">
        <v>7</v>
      </c>
    </row>
    <row r="387" customFormat="false" ht="73.5" hidden="false" customHeight="true" outlineLevel="0" collapsed="false">
      <c r="A387" s="7" t="n">
        <v>383</v>
      </c>
      <c r="B387" s="7" t="s">
        <v>23</v>
      </c>
      <c r="C387" s="7" t="s">
        <v>3217</v>
      </c>
      <c r="D387" s="7" t="s">
        <v>4038</v>
      </c>
      <c r="E387" s="7" t="s">
        <v>3998</v>
      </c>
      <c r="F387" s="7" t="n">
        <v>39</v>
      </c>
      <c r="G387" s="14" t="s">
        <v>18</v>
      </c>
      <c r="H387" s="14" t="s">
        <v>18</v>
      </c>
      <c r="I387" s="7"/>
      <c r="J387" s="7" t="s">
        <v>2503</v>
      </c>
      <c r="K387" s="7" t="s">
        <v>4807</v>
      </c>
      <c r="L387" s="7" t="s">
        <v>4808</v>
      </c>
      <c r="M387" s="7" t="s">
        <v>4809</v>
      </c>
      <c r="N387" s="7" t="s">
        <v>4810</v>
      </c>
      <c r="O387" s="7"/>
      <c r="P387" s="7"/>
      <c r="Q387" s="7" t="n">
        <v>13</v>
      </c>
    </row>
    <row r="388" customFormat="false" ht="73.5" hidden="false" customHeight="true" outlineLevel="0" collapsed="false">
      <c r="A388" s="7" t="n">
        <v>384</v>
      </c>
      <c r="B388" s="7" t="s">
        <v>22</v>
      </c>
      <c r="C388" s="7" t="s">
        <v>3996</v>
      </c>
      <c r="D388" s="7" t="s">
        <v>3997</v>
      </c>
      <c r="E388" s="7" t="s">
        <v>4005</v>
      </c>
      <c r="F388" s="7" t="n">
        <v>153</v>
      </c>
      <c r="G388" s="15" t="s">
        <v>20</v>
      </c>
      <c r="H388" s="15" t="s">
        <v>28</v>
      </c>
      <c r="I388" s="7"/>
      <c r="J388" s="7" t="s">
        <v>2509</v>
      </c>
      <c r="K388" s="7" t="s">
        <v>4811</v>
      </c>
      <c r="L388" s="7" t="s">
        <v>4812</v>
      </c>
      <c r="M388" s="7" t="s">
        <v>4813</v>
      </c>
      <c r="N388" s="7" t="s">
        <v>4814</v>
      </c>
      <c r="O388" s="7"/>
      <c r="P388" s="7"/>
      <c r="Q388" s="7" t="n">
        <v>27</v>
      </c>
    </row>
    <row r="389" customFormat="false" ht="73.5" hidden="false" customHeight="true" outlineLevel="0" collapsed="false">
      <c r="A389" s="7" t="n">
        <v>385</v>
      </c>
      <c r="B389" s="7" t="s">
        <v>19</v>
      </c>
      <c r="C389" s="7" t="s">
        <v>4003</v>
      </c>
      <c r="D389" s="7" t="s">
        <v>4004</v>
      </c>
      <c r="E389" s="7" t="s">
        <v>4815</v>
      </c>
      <c r="F389" s="7" t="n">
        <v>165</v>
      </c>
      <c r="G389" s="15" t="s">
        <v>20</v>
      </c>
      <c r="H389" s="15" t="s">
        <v>28</v>
      </c>
      <c r="I389" s="7"/>
      <c r="J389" s="7" t="s">
        <v>2515</v>
      </c>
      <c r="K389" s="7" t="s">
        <v>4816</v>
      </c>
      <c r="L389" s="7" t="s">
        <v>4817</v>
      </c>
      <c r="M389" s="7" t="s">
        <v>4818</v>
      </c>
      <c r="N389" s="7" t="s">
        <v>4819</v>
      </c>
      <c r="O389" s="7"/>
      <c r="P389" s="7"/>
      <c r="Q389" s="7" t="n">
        <v>37</v>
      </c>
    </row>
    <row r="390" customFormat="false" ht="73.5" hidden="false" customHeight="true" outlineLevel="0" collapsed="false">
      <c r="A390" s="7" t="n">
        <v>386</v>
      </c>
      <c r="B390" s="7" t="s">
        <v>27</v>
      </c>
      <c r="C390" s="7" t="s">
        <v>4129</v>
      </c>
      <c r="D390" s="7" t="s">
        <v>4130</v>
      </c>
      <c r="E390" s="7" t="s">
        <v>3998</v>
      </c>
      <c r="F390" s="7" t="n">
        <v>78</v>
      </c>
      <c r="G390" s="14" t="s">
        <v>18</v>
      </c>
      <c r="H390" s="14" t="s">
        <v>18</v>
      </c>
      <c r="I390" s="7"/>
      <c r="J390" s="7" t="s">
        <v>2521</v>
      </c>
      <c r="K390" s="7" t="s">
        <v>4820</v>
      </c>
      <c r="L390" s="7" t="s">
        <v>4821</v>
      </c>
      <c r="M390" s="7" t="s">
        <v>4822</v>
      </c>
      <c r="N390" s="7" t="s">
        <v>4823</v>
      </c>
      <c r="O390" s="7"/>
      <c r="P390" s="7"/>
      <c r="Q390" s="7" t="n">
        <v>20</v>
      </c>
    </row>
    <row r="391" customFormat="false" ht="73.5" hidden="false" customHeight="true" outlineLevel="0" collapsed="false">
      <c r="A391" s="7" t="n">
        <v>387</v>
      </c>
      <c r="B391" s="7" t="s">
        <v>15</v>
      </c>
      <c r="C391" s="7" t="s">
        <v>3217</v>
      </c>
      <c r="D391" s="7" t="s">
        <v>4143</v>
      </c>
      <c r="E391" s="7" t="s">
        <v>4302</v>
      </c>
      <c r="F391" s="7" t="n">
        <v>56</v>
      </c>
      <c r="G391" s="15" t="s">
        <v>20</v>
      </c>
      <c r="H391" s="15" t="s">
        <v>30</v>
      </c>
      <c r="I391" s="7"/>
      <c r="J391" s="7" t="s">
        <v>2527</v>
      </c>
      <c r="K391" s="7" t="s">
        <v>4824</v>
      </c>
      <c r="L391" s="7" t="s">
        <v>4474</v>
      </c>
      <c r="M391" s="7" t="s">
        <v>4475</v>
      </c>
      <c r="N391" s="7" t="s">
        <v>4476</v>
      </c>
      <c r="O391" s="7"/>
      <c r="P391" s="7"/>
      <c r="Q391" s="7" t="n">
        <v>15</v>
      </c>
    </row>
    <row r="392" customFormat="false" ht="73.5" hidden="false" customHeight="true" outlineLevel="0" collapsed="false">
      <c r="A392" s="7" t="n">
        <v>388</v>
      </c>
      <c r="B392" s="7" t="s">
        <v>19</v>
      </c>
      <c r="C392" s="7" t="s">
        <v>4003</v>
      </c>
      <c r="D392" s="7" t="s">
        <v>4004</v>
      </c>
      <c r="E392" s="7" t="s">
        <v>4005</v>
      </c>
      <c r="F392" s="7" t="n">
        <v>157</v>
      </c>
      <c r="G392" s="15" t="s">
        <v>20</v>
      </c>
      <c r="H392" s="15" t="s">
        <v>28</v>
      </c>
      <c r="I392" s="7"/>
      <c r="J392" s="7" t="s">
        <v>2530</v>
      </c>
      <c r="K392" s="7" t="s">
        <v>4825</v>
      </c>
      <c r="L392" s="7" t="s">
        <v>4826</v>
      </c>
      <c r="M392" s="7" t="s">
        <v>4827</v>
      </c>
      <c r="N392" s="7" t="s">
        <v>4828</v>
      </c>
      <c r="O392" s="7"/>
      <c r="P392" s="7"/>
      <c r="Q392" s="7" t="n">
        <v>35</v>
      </c>
    </row>
    <row r="393" customFormat="false" ht="73.5" hidden="false" customHeight="true" outlineLevel="0" collapsed="false">
      <c r="A393" s="7" t="n">
        <v>389</v>
      </c>
      <c r="B393" s="7" t="s">
        <v>27</v>
      </c>
      <c r="C393" s="7" t="s">
        <v>4129</v>
      </c>
      <c r="D393" s="7" t="s">
        <v>4130</v>
      </c>
      <c r="E393" s="7" t="s">
        <v>3998</v>
      </c>
      <c r="F393" s="7" t="n">
        <v>92</v>
      </c>
      <c r="G393" s="14" t="s">
        <v>18</v>
      </c>
      <c r="H393" s="14" t="s">
        <v>18</v>
      </c>
      <c r="I393" s="7"/>
      <c r="J393" s="7" t="s">
        <v>2536</v>
      </c>
      <c r="K393" s="7" t="s">
        <v>4829</v>
      </c>
      <c r="L393" s="7" t="s">
        <v>4830</v>
      </c>
      <c r="M393" s="7" t="s">
        <v>4831</v>
      </c>
      <c r="N393" s="7" t="s">
        <v>4832</v>
      </c>
      <c r="O393" s="7"/>
      <c r="P393" s="7"/>
      <c r="Q393" s="7" t="n">
        <v>24</v>
      </c>
    </row>
    <row r="394" customFormat="false" ht="73.5" hidden="false" customHeight="true" outlineLevel="0" collapsed="false">
      <c r="A394" s="7" t="n">
        <v>390</v>
      </c>
      <c r="B394" s="7" t="s">
        <v>27</v>
      </c>
      <c r="C394" s="7" t="s">
        <v>3996</v>
      </c>
      <c r="D394" s="7" t="s">
        <v>4070</v>
      </c>
      <c r="E394" s="7" t="s">
        <v>4071</v>
      </c>
      <c r="F394" s="7" t="n">
        <v>110</v>
      </c>
      <c r="G394" s="15" t="s">
        <v>20</v>
      </c>
      <c r="H394" s="15" t="s">
        <v>28</v>
      </c>
      <c r="I394" s="7"/>
      <c r="J394" s="7" t="s">
        <v>2542</v>
      </c>
      <c r="K394" s="7" t="s">
        <v>4833</v>
      </c>
      <c r="L394" s="7" t="s">
        <v>4834</v>
      </c>
      <c r="M394" s="7" t="s">
        <v>4835</v>
      </c>
      <c r="N394" s="7" t="s">
        <v>4836</v>
      </c>
      <c r="O394" s="7"/>
      <c r="P394" s="7"/>
      <c r="Q394" s="7" t="n">
        <v>39</v>
      </c>
    </row>
    <row r="395" customFormat="false" ht="73.5" hidden="false" customHeight="true" outlineLevel="0" collapsed="false">
      <c r="A395" s="7" t="n">
        <v>391</v>
      </c>
      <c r="B395" s="7" t="s">
        <v>21</v>
      </c>
      <c r="C395" s="7" t="s">
        <v>4058</v>
      </c>
      <c r="D395" s="7" t="s">
        <v>4059</v>
      </c>
      <c r="E395" s="7" t="s">
        <v>4005</v>
      </c>
      <c r="F395" s="7" t="n">
        <v>103</v>
      </c>
      <c r="G395" s="15" t="s">
        <v>20</v>
      </c>
      <c r="H395" s="15" t="s">
        <v>28</v>
      </c>
      <c r="I395" s="7"/>
      <c r="J395" s="7" t="s">
        <v>2548</v>
      </c>
      <c r="K395" s="7" t="s">
        <v>4837</v>
      </c>
      <c r="L395" s="7" t="s">
        <v>4838</v>
      </c>
      <c r="M395" s="7" t="s">
        <v>4839</v>
      </c>
      <c r="N395" s="7" t="s">
        <v>4840</v>
      </c>
      <c r="O395" s="7"/>
      <c r="P395" s="7"/>
      <c r="Q395" s="7" t="n">
        <v>18</v>
      </c>
    </row>
    <row r="396" customFormat="false" ht="73.5" hidden="false" customHeight="true" outlineLevel="0" collapsed="false">
      <c r="A396" s="7" t="n">
        <v>392</v>
      </c>
      <c r="B396" s="7" t="s">
        <v>29</v>
      </c>
      <c r="C396" s="7" t="s">
        <v>3217</v>
      </c>
      <c r="D396" s="7" t="s">
        <v>3898</v>
      </c>
      <c r="E396" s="7" t="s">
        <v>4025</v>
      </c>
      <c r="F396" s="7" t="n">
        <v>63</v>
      </c>
      <c r="G396" s="15" t="s">
        <v>20</v>
      </c>
      <c r="H396" s="15" t="s">
        <v>33</v>
      </c>
      <c r="I396" s="7"/>
      <c r="J396" s="7" t="s">
        <v>2554</v>
      </c>
      <c r="K396" s="7" t="s">
        <v>4841</v>
      </c>
      <c r="L396" s="7" t="s">
        <v>4842</v>
      </c>
      <c r="M396" s="7" t="s">
        <v>4843</v>
      </c>
      <c r="N396" s="7" t="s">
        <v>4844</v>
      </c>
      <c r="O396" s="7"/>
      <c r="P396" s="7"/>
      <c r="Q396" s="7" t="n">
        <v>14</v>
      </c>
    </row>
    <row r="397" customFormat="false" ht="73.5" hidden="false" customHeight="true" outlineLevel="0" collapsed="false">
      <c r="A397" s="7" t="n">
        <v>393</v>
      </c>
      <c r="B397" s="7" t="s">
        <v>23</v>
      </c>
      <c r="C397" s="7" t="s">
        <v>3217</v>
      </c>
      <c r="D397" s="7" t="s">
        <v>4038</v>
      </c>
      <c r="E397" s="7" t="s">
        <v>4039</v>
      </c>
      <c r="F397" s="7" t="n">
        <v>65</v>
      </c>
      <c r="G397" s="14" t="s">
        <v>18</v>
      </c>
      <c r="H397" s="14" t="s">
        <v>18</v>
      </c>
      <c r="I397" s="7"/>
      <c r="J397" s="7" t="s">
        <v>2561</v>
      </c>
      <c r="K397" s="7" t="s">
        <v>4845</v>
      </c>
      <c r="L397" s="7" t="s">
        <v>4846</v>
      </c>
      <c r="M397" s="7" t="s">
        <v>4847</v>
      </c>
      <c r="N397" s="7" t="s">
        <v>4848</v>
      </c>
      <c r="O397" s="7"/>
      <c r="P397" s="7"/>
      <c r="Q397" s="7" t="n">
        <v>20</v>
      </c>
    </row>
    <row r="398" customFormat="false" ht="73.5" hidden="false" customHeight="true" outlineLevel="0" collapsed="false">
      <c r="A398" s="7" t="n">
        <v>394</v>
      </c>
      <c r="B398" s="7" t="s">
        <v>19</v>
      </c>
      <c r="C398" s="7" t="s">
        <v>3217</v>
      </c>
      <c r="D398" s="7" t="s">
        <v>4139</v>
      </c>
      <c r="E398" s="7" t="s">
        <v>3998</v>
      </c>
      <c r="F398" s="7" t="n">
        <v>32</v>
      </c>
      <c r="G398" s="14" t="s">
        <v>18</v>
      </c>
      <c r="H398" s="14" t="s">
        <v>18</v>
      </c>
      <c r="I398" s="7"/>
      <c r="J398" s="7" t="s">
        <v>2567</v>
      </c>
      <c r="K398" s="7" t="s">
        <v>4849</v>
      </c>
      <c r="L398" s="7" t="s">
        <v>4850</v>
      </c>
      <c r="M398" s="7" t="s">
        <v>4687</v>
      </c>
      <c r="N398" s="7"/>
      <c r="O398" s="7"/>
      <c r="P398" s="7"/>
      <c r="Q398" s="7" t="n">
        <v>9</v>
      </c>
    </row>
    <row r="399" customFormat="false" ht="73.5" hidden="false" customHeight="true" outlineLevel="0" collapsed="false">
      <c r="A399" s="7" t="n">
        <v>395</v>
      </c>
      <c r="B399" s="7" t="s">
        <v>31</v>
      </c>
      <c r="C399" s="7" t="s">
        <v>4003</v>
      </c>
      <c r="D399" s="7" t="s">
        <v>4010</v>
      </c>
      <c r="E399" s="7" t="s">
        <v>3998</v>
      </c>
      <c r="F399" s="7" t="n">
        <v>65</v>
      </c>
      <c r="G399" s="14" t="s">
        <v>18</v>
      </c>
      <c r="H399" s="14" t="s">
        <v>18</v>
      </c>
      <c r="I399" s="7"/>
      <c r="J399" s="7" t="s">
        <v>2572</v>
      </c>
      <c r="K399" s="7" t="s">
        <v>3528</v>
      </c>
      <c r="L399" s="7" t="s">
        <v>4851</v>
      </c>
      <c r="M399" s="7" t="s">
        <v>4852</v>
      </c>
      <c r="N399" s="7" t="s">
        <v>4853</v>
      </c>
      <c r="O399" s="7"/>
      <c r="P399" s="7"/>
      <c r="Q399" s="7" t="n">
        <v>12</v>
      </c>
    </row>
    <row r="400" customFormat="false" ht="73.5" hidden="false" customHeight="true" outlineLevel="0" collapsed="false">
      <c r="A400" s="7" t="n">
        <v>396</v>
      </c>
      <c r="B400" s="7" t="s">
        <v>19</v>
      </c>
      <c r="C400" s="7" t="s">
        <v>4003</v>
      </c>
      <c r="D400" s="7" t="s">
        <v>4004</v>
      </c>
      <c r="E400" s="7" t="s">
        <v>4815</v>
      </c>
      <c r="F400" s="7" t="n">
        <v>163</v>
      </c>
      <c r="G400" s="15" t="s">
        <v>20</v>
      </c>
      <c r="H400" s="15" t="s">
        <v>28</v>
      </c>
      <c r="I400" s="7"/>
      <c r="J400" s="7" t="s">
        <v>2578</v>
      </c>
      <c r="K400" s="7" t="s">
        <v>4854</v>
      </c>
      <c r="L400" s="7" t="s">
        <v>4855</v>
      </c>
      <c r="M400" s="7" t="s">
        <v>4856</v>
      </c>
      <c r="N400" s="7" t="s">
        <v>4857</v>
      </c>
      <c r="O400" s="7"/>
      <c r="P400" s="7"/>
      <c r="Q400" s="7" t="n">
        <v>37</v>
      </c>
    </row>
    <row r="401" customFormat="false" ht="73.5" hidden="false" customHeight="true" outlineLevel="0" collapsed="false">
      <c r="A401" s="7" t="n">
        <v>397</v>
      </c>
      <c r="B401" s="7" t="s">
        <v>31</v>
      </c>
      <c r="C401" s="7" t="s">
        <v>4003</v>
      </c>
      <c r="D401" s="7" t="s">
        <v>4010</v>
      </c>
      <c r="E401" s="7" t="s">
        <v>3998</v>
      </c>
      <c r="F401" s="7" t="n">
        <v>19</v>
      </c>
      <c r="G401" s="14" t="s">
        <v>18</v>
      </c>
      <c r="H401" s="14" t="s">
        <v>18</v>
      </c>
      <c r="I401" s="7"/>
      <c r="J401" s="7" t="s">
        <v>2584</v>
      </c>
      <c r="K401" s="7" t="s">
        <v>4858</v>
      </c>
      <c r="L401" s="7" t="s">
        <v>4859</v>
      </c>
      <c r="M401" s="7" t="s">
        <v>4860</v>
      </c>
      <c r="N401" s="7" t="s">
        <v>4861</v>
      </c>
      <c r="O401" s="7"/>
      <c r="P401" s="7"/>
      <c r="Q401" s="7" t="n">
        <v>4</v>
      </c>
    </row>
    <row r="402" customFormat="false" ht="73.5" hidden="false" customHeight="true" outlineLevel="0" collapsed="false">
      <c r="A402" s="7" t="n">
        <v>398</v>
      </c>
      <c r="B402" s="7" t="s">
        <v>22</v>
      </c>
      <c r="C402" s="7" t="s">
        <v>3996</v>
      </c>
      <c r="D402" s="7" t="s">
        <v>3997</v>
      </c>
      <c r="E402" s="7" t="s">
        <v>3998</v>
      </c>
      <c r="F402" s="7" t="n">
        <v>65</v>
      </c>
      <c r="G402" s="14" t="s">
        <v>18</v>
      </c>
      <c r="H402" s="14" t="s">
        <v>18</v>
      </c>
      <c r="I402" s="7"/>
      <c r="J402" s="7" t="s">
        <v>2590</v>
      </c>
      <c r="K402" s="7" t="s">
        <v>4862</v>
      </c>
      <c r="L402" s="7" t="s">
        <v>4863</v>
      </c>
      <c r="M402" s="7" t="s">
        <v>4864</v>
      </c>
      <c r="N402" s="7" t="s">
        <v>4865</v>
      </c>
      <c r="O402" s="7"/>
      <c r="P402" s="7"/>
      <c r="Q402" s="7" t="n">
        <v>13</v>
      </c>
    </row>
    <row r="403" customFormat="false" ht="73.5" hidden="false" customHeight="true" outlineLevel="0" collapsed="false">
      <c r="A403" s="7" t="n">
        <v>399</v>
      </c>
      <c r="B403" s="7" t="s">
        <v>19</v>
      </c>
      <c r="C403" s="7" t="s">
        <v>3217</v>
      </c>
      <c r="D403" s="7" t="s">
        <v>4139</v>
      </c>
      <c r="E403" s="7" t="s">
        <v>4071</v>
      </c>
      <c r="F403" s="7" t="n">
        <v>97</v>
      </c>
      <c r="G403" s="15" t="s">
        <v>20</v>
      </c>
      <c r="H403" s="15" t="s">
        <v>28</v>
      </c>
      <c r="I403" s="7"/>
      <c r="J403" s="7" t="s">
        <v>2596</v>
      </c>
      <c r="K403" s="7" t="s">
        <v>4866</v>
      </c>
      <c r="L403" s="7" t="s">
        <v>4867</v>
      </c>
      <c r="M403" s="7" t="s">
        <v>4868</v>
      </c>
      <c r="N403" s="7"/>
      <c r="O403" s="7"/>
      <c r="P403" s="7"/>
      <c r="Q403" s="7" t="n">
        <v>24</v>
      </c>
    </row>
    <row r="404" customFormat="false" ht="73.5" hidden="false" customHeight="true" outlineLevel="0" collapsed="false">
      <c r="A404" s="7" t="n">
        <v>400</v>
      </c>
      <c r="B404" s="7" t="s">
        <v>27</v>
      </c>
      <c r="C404" s="7" t="s">
        <v>4129</v>
      </c>
      <c r="D404" s="7" t="s">
        <v>4130</v>
      </c>
      <c r="E404" s="7" t="s">
        <v>3998</v>
      </c>
      <c r="F404" s="7" t="n">
        <v>74</v>
      </c>
      <c r="G404" s="14" t="s">
        <v>18</v>
      </c>
      <c r="H404" s="14" t="s">
        <v>18</v>
      </c>
      <c r="I404" s="7"/>
      <c r="J404" s="7" t="s">
        <v>2601</v>
      </c>
      <c r="K404" s="7" t="s">
        <v>3307</v>
      </c>
      <c r="L404" s="7" t="s">
        <v>4869</v>
      </c>
      <c r="M404" s="7" t="s">
        <v>4870</v>
      </c>
      <c r="N404" s="7" t="s">
        <v>4871</v>
      </c>
      <c r="O404" s="7"/>
      <c r="P404" s="7"/>
      <c r="Q404" s="7" t="n">
        <v>19</v>
      </c>
    </row>
    <row r="405" customFormat="false" ht="73.5" hidden="false" customHeight="true" outlineLevel="0" collapsed="false">
      <c r="A405" s="7" t="n">
        <v>401</v>
      </c>
      <c r="B405" s="7" t="s">
        <v>31</v>
      </c>
      <c r="C405" s="7" t="s">
        <v>4003</v>
      </c>
      <c r="D405" s="7" t="s">
        <v>4010</v>
      </c>
      <c r="E405" s="7" t="s">
        <v>3998</v>
      </c>
      <c r="F405" s="7" t="n">
        <v>5</v>
      </c>
      <c r="G405" s="14" t="s">
        <v>18</v>
      </c>
      <c r="H405" s="14" t="s">
        <v>18</v>
      </c>
      <c r="I405" s="7"/>
      <c r="J405" s="7" t="s">
        <v>2606</v>
      </c>
      <c r="K405" s="7" t="s">
        <v>4872</v>
      </c>
      <c r="L405" s="7" t="s">
        <v>4873</v>
      </c>
      <c r="M405" s="7" t="s">
        <v>4874</v>
      </c>
      <c r="N405" s="7" t="s">
        <v>4875</v>
      </c>
      <c r="O405" s="7"/>
      <c r="P405" s="7"/>
      <c r="Q405" s="7" t="n">
        <v>1</v>
      </c>
    </row>
    <row r="406" customFormat="false" ht="73.5" hidden="false" customHeight="true" outlineLevel="0" collapsed="false">
      <c r="A406" s="7" t="n">
        <v>402</v>
      </c>
      <c r="B406" s="7" t="s">
        <v>19</v>
      </c>
      <c r="C406" s="7" t="s">
        <v>3217</v>
      </c>
      <c r="D406" s="7" t="s">
        <v>4139</v>
      </c>
      <c r="E406" s="7" t="s">
        <v>4071</v>
      </c>
      <c r="F406" s="7" t="n">
        <v>91</v>
      </c>
      <c r="G406" s="15" t="s">
        <v>20</v>
      </c>
      <c r="H406" s="15" t="s">
        <v>28</v>
      </c>
      <c r="I406" s="7"/>
      <c r="J406" s="7" t="s">
        <v>2613</v>
      </c>
      <c r="K406" s="7" t="s">
        <v>4876</v>
      </c>
      <c r="L406" s="7" t="s">
        <v>4877</v>
      </c>
      <c r="M406" s="7" t="s">
        <v>4878</v>
      </c>
      <c r="N406" s="7"/>
      <c r="O406" s="7"/>
      <c r="P406" s="7"/>
      <c r="Q406" s="7" t="n">
        <v>23</v>
      </c>
    </row>
    <row r="407" customFormat="false" ht="73.5" hidden="false" customHeight="true" outlineLevel="0" collapsed="false">
      <c r="A407" s="7" t="n">
        <v>403</v>
      </c>
      <c r="B407" s="7" t="s">
        <v>22</v>
      </c>
      <c r="C407" s="7" t="s">
        <v>3996</v>
      </c>
      <c r="D407" s="7" t="s">
        <v>3997</v>
      </c>
      <c r="E407" s="7" t="s">
        <v>3998</v>
      </c>
      <c r="F407" s="7" t="n">
        <v>85</v>
      </c>
      <c r="G407" s="14" t="s">
        <v>18</v>
      </c>
      <c r="H407" s="14" t="s">
        <v>18</v>
      </c>
      <c r="I407" s="7"/>
      <c r="J407" s="7" t="s">
        <v>2618</v>
      </c>
      <c r="K407" s="7" t="s">
        <v>4879</v>
      </c>
      <c r="L407" s="7" t="s">
        <v>4880</v>
      </c>
      <c r="M407" s="7" t="s">
        <v>4881</v>
      </c>
      <c r="N407" s="7" t="s">
        <v>4882</v>
      </c>
      <c r="O407" s="7"/>
      <c r="P407" s="7"/>
      <c r="Q407" s="7" t="n">
        <v>16</v>
      </c>
    </row>
    <row r="408" customFormat="false" ht="73.5" hidden="false" customHeight="true" outlineLevel="0" collapsed="false">
      <c r="A408" s="7" t="n">
        <v>404</v>
      </c>
      <c r="B408" s="7" t="s">
        <v>31</v>
      </c>
      <c r="C408" s="7" t="s">
        <v>4003</v>
      </c>
      <c r="D408" s="7" t="s">
        <v>4010</v>
      </c>
      <c r="E408" s="7" t="s">
        <v>3998</v>
      </c>
      <c r="F408" s="7" t="n">
        <v>49</v>
      </c>
      <c r="G408" s="14" t="s">
        <v>18</v>
      </c>
      <c r="H408" s="14" t="s">
        <v>18</v>
      </c>
      <c r="I408" s="7"/>
      <c r="J408" s="7" t="s">
        <v>2624</v>
      </c>
      <c r="K408" s="7" t="s">
        <v>4883</v>
      </c>
      <c r="L408" s="7" t="s">
        <v>4884</v>
      </c>
      <c r="M408" s="7" t="s">
        <v>4885</v>
      </c>
      <c r="N408" s="7" t="s">
        <v>4886</v>
      </c>
      <c r="O408" s="7"/>
      <c r="P408" s="7"/>
      <c r="Q408" s="7" t="n">
        <v>9</v>
      </c>
    </row>
    <row r="409" customFormat="false" ht="73.5" hidden="false" customHeight="true" outlineLevel="0" collapsed="false">
      <c r="A409" s="7" t="n">
        <v>405</v>
      </c>
      <c r="B409" s="7" t="s">
        <v>15</v>
      </c>
      <c r="C409" s="7" t="s">
        <v>3217</v>
      </c>
      <c r="D409" s="7" t="s">
        <v>4143</v>
      </c>
      <c r="E409" s="7" t="s">
        <v>4302</v>
      </c>
      <c r="F409" s="7" t="n">
        <v>99</v>
      </c>
      <c r="G409" s="15" t="s">
        <v>20</v>
      </c>
      <c r="H409" s="15" t="s">
        <v>30</v>
      </c>
      <c r="I409" s="7"/>
      <c r="J409" s="7" t="s">
        <v>2630</v>
      </c>
      <c r="K409" s="7" t="s">
        <v>4887</v>
      </c>
      <c r="L409" s="7" t="s">
        <v>4888</v>
      </c>
      <c r="M409" s="7" t="s">
        <v>4889</v>
      </c>
      <c r="N409" s="7" t="s">
        <v>4890</v>
      </c>
      <c r="O409" s="7"/>
      <c r="P409" s="7"/>
      <c r="Q409" s="7" t="n">
        <v>26</v>
      </c>
    </row>
    <row r="410" customFormat="false" ht="73.5" hidden="false" customHeight="true" outlineLevel="0" collapsed="false">
      <c r="A410" s="7" t="n">
        <v>406</v>
      </c>
      <c r="B410" s="7" t="s">
        <v>19</v>
      </c>
      <c r="C410" s="7" t="s">
        <v>3217</v>
      </c>
      <c r="D410" s="7" t="s">
        <v>4139</v>
      </c>
      <c r="E410" s="7" t="s">
        <v>3998</v>
      </c>
      <c r="F410" s="7" t="n">
        <v>5</v>
      </c>
      <c r="G410" s="14" t="s">
        <v>18</v>
      </c>
      <c r="H410" s="14" t="s">
        <v>18</v>
      </c>
      <c r="I410" s="7"/>
      <c r="J410" s="7" t="s">
        <v>2636</v>
      </c>
      <c r="K410" s="7" t="s">
        <v>4891</v>
      </c>
      <c r="L410" s="7" t="s">
        <v>4892</v>
      </c>
      <c r="M410" s="7" t="s">
        <v>4893</v>
      </c>
      <c r="N410" s="7"/>
      <c r="O410" s="7"/>
      <c r="P410" s="7"/>
      <c r="Q410" s="7" t="n">
        <v>3</v>
      </c>
    </row>
    <row r="411" customFormat="false" ht="73.5" hidden="false" customHeight="true" outlineLevel="0" collapsed="false">
      <c r="A411" s="7" t="n">
        <v>407</v>
      </c>
      <c r="B411" s="7" t="s">
        <v>27</v>
      </c>
      <c r="C411" s="7" t="s">
        <v>3996</v>
      </c>
      <c r="D411" s="7" t="s">
        <v>4070</v>
      </c>
      <c r="E411" s="7" t="s">
        <v>4071</v>
      </c>
      <c r="F411" s="7" t="n">
        <v>101</v>
      </c>
      <c r="G411" s="15" t="s">
        <v>20</v>
      </c>
      <c r="H411" s="15" t="s">
        <v>28</v>
      </c>
      <c r="I411" s="7"/>
      <c r="J411" s="7" t="s">
        <v>2641</v>
      </c>
      <c r="K411" s="7" t="s">
        <v>4894</v>
      </c>
      <c r="L411" s="7" t="s">
        <v>4895</v>
      </c>
      <c r="M411" s="7" t="s">
        <v>4896</v>
      </c>
      <c r="N411" s="7" t="s">
        <v>4897</v>
      </c>
      <c r="O411" s="7"/>
      <c r="P411" s="7"/>
      <c r="Q411" s="7" t="n">
        <v>36</v>
      </c>
    </row>
    <row r="412" customFormat="false" ht="73.5" hidden="false" customHeight="true" outlineLevel="0" collapsed="false">
      <c r="A412" s="7" t="n">
        <v>408</v>
      </c>
      <c r="B412" s="7" t="s">
        <v>27</v>
      </c>
      <c r="C412" s="7" t="s">
        <v>3996</v>
      </c>
      <c r="D412" s="7" t="s">
        <v>4070</v>
      </c>
      <c r="E412" s="7" t="s">
        <v>4071</v>
      </c>
      <c r="F412" s="7" t="n">
        <v>108</v>
      </c>
      <c r="G412" s="15" t="s">
        <v>20</v>
      </c>
      <c r="H412" s="15" t="s">
        <v>28</v>
      </c>
      <c r="I412" s="7"/>
      <c r="J412" s="7" t="s">
        <v>2647</v>
      </c>
      <c r="K412" s="7" t="s">
        <v>4898</v>
      </c>
      <c r="L412" s="7" t="s">
        <v>4899</v>
      </c>
      <c r="M412" s="7" t="s">
        <v>4900</v>
      </c>
      <c r="N412" s="7" t="s">
        <v>4901</v>
      </c>
      <c r="O412" s="7"/>
      <c r="P412" s="7"/>
      <c r="Q412" s="7" t="n">
        <v>38</v>
      </c>
    </row>
    <row r="413" customFormat="false" ht="73.5" hidden="false" customHeight="true" outlineLevel="0" collapsed="false">
      <c r="A413" s="7" t="n">
        <v>409</v>
      </c>
      <c r="B413" s="7" t="s">
        <v>19</v>
      </c>
      <c r="C413" s="7" t="s">
        <v>3217</v>
      </c>
      <c r="D413" s="7" t="s">
        <v>4139</v>
      </c>
      <c r="E413" s="7" t="s">
        <v>4071</v>
      </c>
      <c r="F413" s="7" t="n">
        <v>98</v>
      </c>
      <c r="G413" s="15" t="s">
        <v>20</v>
      </c>
      <c r="H413" s="15" t="s">
        <v>28</v>
      </c>
      <c r="I413" s="7"/>
      <c r="J413" s="7" t="s">
        <v>2653</v>
      </c>
      <c r="K413" s="7" t="s">
        <v>4902</v>
      </c>
      <c r="L413" s="7" t="s">
        <v>4903</v>
      </c>
      <c r="M413" s="7" t="s">
        <v>4904</v>
      </c>
      <c r="N413" s="7"/>
      <c r="O413" s="7"/>
      <c r="P413" s="7"/>
      <c r="Q413" s="7" t="n">
        <v>24</v>
      </c>
    </row>
    <row r="414" customFormat="false" ht="73.5" hidden="false" customHeight="true" outlineLevel="0" collapsed="false">
      <c r="A414" s="7" t="n">
        <v>410</v>
      </c>
      <c r="B414" s="7" t="s">
        <v>17</v>
      </c>
      <c r="C414" s="7" t="s">
        <v>4058</v>
      </c>
      <c r="D414" s="7" t="s">
        <v>4084</v>
      </c>
      <c r="E414" s="7" t="s">
        <v>3998</v>
      </c>
      <c r="F414" s="7" t="n">
        <v>32</v>
      </c>
      <c r="G414" s="14" t="s">
        <v>18</v>
      </c>
      <c r="H414" s="14" t="s">
        <v>18</v>
      </c>
      <c r="I414" s="7"/>
      <c r="J414" s="7" t="s">
        <v>2658</v>
      </c>
      <c r="K414" s="7" t="s">
        <v>4905</v>
      </c>
      <c r="L414" s="7" t="s">
        <v>4906</v>
      </c>
      <c r="M414" s="7" t="s">
        <v>4907</v>
      </c>
      <c r="N414" s="7" t="s">
        <v>4908</v>
      </c>
      <c r="O414" s="7"/>
      <c r="P414" s="7"/>
      <c r="Q414" s="7" t="n">
        <v>13</v>
      </c>
    </row>
    <row r="415" customFormat="false" ht="73.5" hidden="false" customHeight="true" outlineLevel="0" collapsed="false">
      <c r="A415" s="7" t="n">
        <v>411</v>
      </c>
      <c r="B415" s="7" t="s">
        <v>27</v>
      </c>
      <c r="C415" s="7" t="s">
        <v>3996</v>
      </c>
      <c r="D415" s="7" t="s">
        <v>4070</v>
      </c>
      <c r="E415" s="7" t="s">
        <v>3998</v>
      </c>
      <c r="F415" s="7" t="n">
        <v>11</v>
      </c>
      <c r="G415" s="14" t="s">
        <v>18</v>
      </c>
      <c r="H415" s="14" t="s">
        <v>18</v>
      </c>
      <c r="I415" s="7"/>
      <c r="J415" s="7" t="s">
        <v>2664</v>
      </c>
      <c r="K415" s="7" t="s">
        <v>4909</v>
      </c>
      <c r="L415" s="7" t="s">
        <v>4910</v>
      </c>
      <c r="M415" s="7" t="s">
        <v>4911</v>
      </c>
      <c r="N415" s="7" t="s">
        <v>4912</v>
      </c>
      <c r="O415" s="7"/>
      <c r="P415" s="7"/>
      <c r="Q415" s="7" t="n">
        <v>6</v>
      </c>
    </row>
    <row r="416" customFormat="false" ht="73.5" hidden="false" customHeight="true" outlineLevel="0" collapsed="false">
      <c r="A416" s="7" t="n">
        <v>412</v>
      </c>
      <c r="B416" s="7" t="s">
        <v>31</v>
      </c>
      <c r="C416" s="7" t="s">
        <v>4003</v>
      </c>
      <c r="D416" s="7" t="s">
        <v>4010</v>
      </c>
      <c r="E416" s="7" t="s">
        <v>3998</v>
      </c>
      <c r="F416" s="7" t="n">
        <v>74</v>
      </c>
      <c r="G416" s="14" t="s">
        <v>18</v>
      </c>
      <c r="H416" s="14" t="s">
        <v>18</v>
      </c>
      <c r="I416" s="7"/>
      <c r="J416" s="7" t="s">
        <v>2670</v>
      </c>
      <c r="K416" s="7" t="s">
        <v>4913</v>
      </c>
      <c r="L416" s="7" t="s">
        <v>4914</v>
      </c>
      <c r="M416" s="7" t="s">
        <v>4915</v>
      </c>
      <c r="N416" s="7" t="s">
        <v>4916</v>
      </c>
      <c r="O416" s="7"/>
      <c r="P416" s="7"/>
      <c r="Q416" s="7" t="n">
        <v>13</v>
      </c>
    </row>
    <row r="417" customFormat="false" ht="73.5" hidden="false" customHeight="true" outlineLevel="0" collapsed="false">
      <c r="A417" s="7" t="n">
        <v>413</v>
      </c>
      <c r="B417" s="7" t="s">
        <v>22</v>
      </c>
      <c r="C417" s="7" t="s">
        <v>3996</v>
      </c>
      <c r="D417" s="7" t="s">
        <v>3997</v>
      </c>
      <c r="E417" s="7" t="s">
        <v>3998</v>
      </c>
      <c r="F417" s="7" t="n">
        <v>123</v>
      </c>
      <c r="G417" s="14" t="s">
        <v>18</v>
      </c>
      <c r="H417" s="14" t="s">
        <v>18</v>
      </c>
      <c r="I417" s="7"/>
      <c r="J417" s="7" t="s">
        <v>2676</v>
      </c>
      <c r="K417" s="7" t="s">
        <v>4917</v>
      </c>
      <c r="L417" s="7" t="s">
        <v>4918</v>
      </c>
      <c r="M417" s="7" t="s">
        <v>4919</v>
      </c>
      <c r="N417" s="7" t="s">
        <v>4920</v>
      </c>
      <c r="O417" s="7"/>
      <c r="P417" s="7"/>
      <c r="Q417" s="7" t="n">
        <v>22</v>
      </c>
    </row>
    <row r="418" customFormat="false" ht="73.5" hidden="false" customHeight="true" outlineLevel="0" collapsed="false">
      <c r="A418" s="7" t="n">
        <v>414</v>
      </c>
      <c r="B418" s="7" t="s">
        <v>29</v>
      </c>
      <c r="C418" s="7" t="s">
        <v>3217</v>
      </c>
      <c r="D418" s="7" t="s">
        <v>3898</v>
      </c>
      <c r="E418" s="7" t="s">
        <v>4025</v>
      </c>
      <c r="F418" s="7" t="n">
        <v>36</v>
      </c>
      <c r="G418" s="15" t="s">
        <v>20</v>
      </c>
      <c r="H418" s="15" t="s">
        <v>33</v>
      </c>
      <c r="I418" s="7"/>
      <c r="J418" s="7" t="s">
        <v>2682</v>
      </c>
      <c r="K418" s="7" t="s">
        <v>4921</v>
      </c>
      <c r="L418" s="7" t="s">
        <v>4922</v>
      </c>
      <c r="M418" s="7" t="s">
        <v>4923</v>
      </c>
      <c r="N418" s="7" t="s">
        <v>4924</v>
      </c>
      <c r="O418" s="7"/>
      <c r="P418" s="7"/>
      <c r="Q418" s="7" t="n">
        <v>9</v>
      </c>
    </row>
    <row r="419" customFormat="false" ht="73.5" hidden="false" customHeight="true" outlineLevel="0" collapsed="false">
      <c r="A419" s="7" t="n">
        <v>415</v>
      </c>
      <c r="B419" s="7" t="s">
        <v>25</v>
      </c>
      <c r="C419" s="7" t="s">
        <v>4019</v>
      </c>
      <c r="D419" s="7" t="s">
        <v>4020</v>
      </c>
      <c r="E419" s="7" t="s">
        <v>3998</v>
      </c>
      <c r="F419" s="7" t="n">
        <v>18</v>
      </c>
      <c r="G419" s="14" t="s">
        <v>18</v>
      </c>
      <c r="H419" s="14" t="s">
        <v>18</v>
      </c>
      <c r="I419" s="7"/>
      <c r="J419" s="7" t="s">
        <v>2688</v>
      </c>
      <c r="K419" s="7" t="s">
        <v>4925</v>
      </c>
      <c r="L419" s="7" t="s">
        <v>4926</v>
      </c>
      <c r="M419" s="7" t="s">
        <v>3420</v>
      </c>
      <c r="N419" s="7" t="s">
        <v>4927</v>
      </c>
      <c r="O419" s="7"/>
      <c r="P419" s="7"/>
      <c r="Q419" s="7" t="n">
        <v>6</v>
      </c>
    </row>
    <row r="420" customFormat="false" ht="73.5" hidden="false" customHeight="true" outlineLevel="0" collapsed="false">
      <c r="A420" s="7" t="n">
        <v>416</v>
      </c>
      <c r="B420" s="7" t="s">
        <v>19</v>
      </c>
      <c r="C420" s="7" t="s">
        <v>4003</v>
      </c>
      <c r="D420" s="7" t="s">
        <v>4004</v>
      </c>
      <c r="E420" s="7" t="s">
        <v>4005</v>
      </c>
      <c r="F420" s="7" t="n">
        <v>151</v>
      </c>
      <c r="G420" s="15" t="s">
        <v>20</v>
      </c>
      <c r="H420" s="15" t="s">
        <v>28</v>
      </c>
      <c r="I420" s="7"/>
      <c r="J420" s="7" t="s">
        <v>2694</v>
      </c>
      <c r="K420" s="7" t="s">
        <v>4928</v>
      </c>
      <c r="L420" s="7" t="s">
        <v>4929</v>
      </c>
      <c r="M420" s="7" t="s">
        <v>4930</v>
      </c>
      <c r="N420" s="7" t="s">
        <v>4931</v>
      </c>
      <c r="O420" s="7"/>
      <c r="P420" s="7"/>
      <c r="Q420" s="7" t="n">
        <v>34</v>
      </c>
    </row>
    <row r="421" customFormat="false" ht="73.5" hidden="false" customHeight="true" outlineLevel="0" collapsed="false">
      <c r="A421" s="7" t="n">
        <v>417</v>
      </c>
      <c r="B421" s="7" t="s">
        <v>23</v>
      </c>
      <c r="C421" s="7" t="s">
        <v>3217</v>
      </c>
      <c r="D421" s="7" t="s">
        <v>4038</v>
      </c>
      <c r="E421" s="7" t="s">
        <v>3998</v>
      </c>
      <c r="F421" s="7" t="n">
        <v>15</v>
      </c>
      <c r="G421" s="14" t="s">
        <v>18</v>
      </c>
      <c r="H421" s="14" t="s">
        <v>18</v>
      </c>
      <c r="I421" s="7"/>
      <c r="J421" s="7" t="s">
        <v>2700</v>
      </c>
      <c r="K421" s="7" t="s">
        <v>4932</v>
      </c>
      <c r="L421" s="7" t="s">
        <v>4933</v>
      </c>
      <c r="M421" s="7" t="s">
        <v>4934</v>
      </c>
      <c r="N421" s="7" t="s">
        <v>4935</v>
      </c>
      <c r="O421" s="7"/>
      <c r="P421" s="7"/>
      <c r="Q421" s="7" t="n">
        <v>7</v>
      </c>
    </row>
    <row r="422" customFormat="false" ht="73.5" hidden="false" customHeight="true" outlineLevel="0" collapsed="false">
      <c r="A422" s="7" t="n">
        <v>418</v>
      </c>
      <c r="B422" s="7" t="s">
        <v>15</v>
      </c>
      <c r="C422" s="7" t="s">
        <v>3996</v>
      </c>
      <c r="D422" s="7" t="s">
        <v>4030</v>
      </c>
      <c r="E422" s="7" t="s">
        <v>4302</v>
      </c>
      <c r="F422" s="7" t="n">
        <v>80</v>
      </c>
      <c r="G422" s="15" t="s">
        <v>20</v>
      </c>
      <c r="H422" s="15" t="s">
        <v>30</v>
      </c>
      <c r="I422" s="7"/>
      <c r="J422" s="7" t="s">
        <v>2706</v>
      </c>
      <c r="K422" s="7" t="s">
        <v>4936</v>
      </c>
      <c r="L422" s="7" t="s">
        <v>4937</v>
      </c>
      <c r="M422" s="7" t="s">
        <v>4938</v>
      </c>
      <c r="N422" s="7" t="s">
        <v>4939</v>
      </c>
      <c r="O422" s="7"/>
      <c r="P422" s="7"/>
      <c r="Q422" s="7" t="n">
        <v>19</v>
      </c>
    </row>
    <row r="423" customFormat="false" ht="73.5" hidden="false" customHeight="true" outlineLevel="0" collapsed="false">
      <c r="A423" s="7" t="n">
        <v>419</v>
      </c>
      <c r="B423" s="7" t="s">
        <v>15</v>
      </c>
      <c r="C423" s="7" t="s">
        <v>3217</v>
      </c>
      <c r="D423" s="7" t="s">
        <v>4143</v>
      </c>
      <c r="E423" s="7" t="s">
        <v>4302</v>
      </c>
      <c r="F423" s="7" t="n">
        <v>53</v>
      </c>
      <c r="G423" s="15" t="s">
        <v>20</v>
      </c>
      <c r="H423" s="15" t="s">
        <v>30</v>
      </c>
      <c r="I423" s="7"/>
      <c r="J423" s="7" t="s">
        <v>2712</v>
      </c>
      <c r="K423" s="7" t="s">
        <v>4940</v>
      </c>
      <c r="L423" s="7" t="s">
        <v>4941</v>
      </c>
      <c r="M423" s="7" t="s">
        <v>4942</v>
      </c>
      <c r="N423" s="7" t="s">
        <v>4943</v>
      </c>
      <c r="O423" s="7"/>
      <c r="P423" s="7"/>
      <c r="Q423" s="7" t="n">
        <v>14</v>
      </c>
    </row>
    <row r="424" customFormat="false" ht="73.5" hidden="false" customHeight="true" outlineLevel="0" collapsed="false">
      <c r="A424" s="7" t="n">
        <v>420</v>
      </c>
      <c r="B424" s="7" t="s">
        <v>23</v>
      </c>
      <c r="C424" s="7" t="s">
        <v>3217</v>
      </c>
      <c r="D424" s="7" t="s">
        <v>4038</v>
      </c>
      <c r="E424" s="7" t="s">
        <v>3998</v>
      </c>
      <c r="F424" s="7" t="n">
        <v>12</v>
      </c>
      <c r="G424" s="14" t="s">
        <v>18</v>
      </c>
      <c r="H424" s="14" t="s">
        <v>18</v>
      </c>
      <c r="I424" s="7"/>
      <c r="J424" s="7" t="s">
        <v>2718</v>
      </c>
      <c r="K424" s="7" t="s">
        <v>4944</v>
      </c>
      <c r="L424" s="7" t="s">
        <v>4945</v>
      </c>
      <c r="M424" s="7" t="s">
        <v>4946</v>
      </c>
      <c r="N424" s="7" t="s">
        <v>3360</v>
      </c>
      <c r="O424" s="7"/>
      <c r="P424" s="7"/>
      <c r="Q424" s="7" t="n">
        <v>6</v>
      </c>
    </row>
    <row r="425" customFormat="false" ht="73.5" hidden="false" customHeight="true" outlineLevel="0" collapsed="false">
      <c r="A425" s="7" t="n">
        <v>421</v>
      </c>
      <c r="B425" s="7" t="s">
        <v>21</v>
      </c>
      <c r="C425" s="7" t="s">
        <v>3217</v>
      </c>
      <c r="D425" s="7" t="s">
        <v>4108</v>
      </c>
      <c r="E425" s="7" t="s">
        <v>3998</v>
      </c>
      <c r="F425" s="7" t="n">
        <v>21</v>
      </c>
      <c r="G425" s="14" t="s">
        <v>18</v>
      </c>
      <c r="H425" s="14" t="s">
        <v>18</v>
      </c>
      <c r="I425" s="7"/>
      <c r="J425" s="7" t="s">
        <v>2723</v>
      </c>
      <c r="K425" s="7" t="s">
        <v>4947</v>
      </c>
      <c r="L425" s="7" t="s">
        <v>4948</v>
      </c>
      <c r="M425" s="7" t="s">
        <v>4949</v>
      </c>
      <c r="N425" s="7" t="s">
        <v>4950</v>
      </c>
      <c r="O425" s="7"/>
      <c r="P425" s="7"/>
      <c r="Q425" s="7" t="n">
        <v>5</v>
      </c>
    </row>
    <row r="426" customFormat="false" ht="73.5" hidden="false" customHeight="true" outlineLevel="0" collapsed="false">
      <c r="A426" s="7" t="n">
        <v>422</v>
      </c>
      <c r="B426" s="7" t="s">
        <v>27</v>
      </c>
      <c r="C426" s="7" t="s">
        <v>3996</v>
      </c>
      <c r="D426" s="7" t="s">
        <v>4070</v>
      </c>
      <c r="E426" s="7" t="s">
        <v>3998</v>
      </c>
      <c r="F426" s="7" t="n">
        <v>84</v>
      </c>
      <c r="G426" s="14" t="s">
        <v>18</v>
      </c>
      <c r="H426" s="14" t="s">
        <v>18</v>
      </c>
      <c r="I426" s="7"/>
      <c r="J426" s="7" t="s">
        <v>2729</v>
      </c>
      <c r="K426" s="7" t="s">
        <v>4951</v>
      </c>
      <c r="L426" s="7" t="s">
        <v>4952</v>
      </c>
      <c r="M426" s="7" t="s">
        <v>4953</v>
      </c>
      <c r="N426" s="7" t="s">
        <v>4954</v>
      </c>
      <c r="O426" s="7"/>
      <c r="P426" s="7"/>
      <c r="Q426" s="7" t="n">
        <v>30</v>
      </c>
    </row>
    <row r="427" customFormat="false" ht="73.5" hidden="false" customHeight="true" outlineLevel="0" collapsed="false">
      <c r="A427" s="7" t="n">
        <v>423</v>
      </c>
      <c r="B427" s="7" t="s">
        <v>17</v>
      </c>
      <c r="C427" s="7" t="s">
        <v>4044</v>
      </c>
      <c r="D427" s="7" t="s">
        <v>4045</v>
      </c>
      <c r="E427" s="7" t="s">
        <v>4005</v>
      </c>
      <c r="F427" s="7" t="n">
        <v>104</v>
      </c>
      <c r="G427" s="15" t="s">
        <v>20</v>
      </c>
      <c r="H427" s="15" t="s">
        <v>28</v>
      </c>
      <c r="I427" s="7"/>
      <c r="J427" s="7" t="s">
        <v>2736</v>
      </c>
      <c r="K427" s="7" t="s">
        <v>4955</v>
      </c>
      <c r="L427" s="7" t="s">
        <v>4956</v>
      </c>
      <c r="M427" s="7" t="s">
        <v>4957</v>
      </c>
      <c r="N427" s="7" t="s">
        <v>4958</v>
      </c>
      <c r="O427" s="7"/>
      <c r="P427" s="7"/>
      <c r="Q427" s="7" t="n">
        <v>20</v>
      </c>
    </row>
    <row r="428" customFormat="false" ht="73.5" hidden="false" customHeight="true" outlineLevel="0" collapsed="false">
      <c r="A428" s="7" t="n">
        <v>424</v>
      </c>
      <c r="B428" s="7" t="s">
        <v>31</v>
      </c>
      <c r="C428" s="7" t="s">
        <v>4003</v>
      </c>
      <c r="D428" s="7" t="s">
        <v>4010</v>
      </c>
      <c r="E428" s="7" t="s">
        <v>3998</v>
      </c>
      <c r="F428" s="7" t="n">
        <v>56</v>
      </c>
      <c r="G428" s="14" t="s">
        <v>18</v>
      </c>
      <c r="H428" s="14" t="s">
        <v>18</v>
      </c>
      <c r="I428" s="7"/>
      <c r="J428" s="7" t="s">
        <v>2742</v>
      </c>
      <c r="K428" s="7" t="s">
        <v>4959</v>
      </c>
      <c r="L428" s="7" t="s">
        <v>4960</v>
      </c>
      <c r="M428" s="7" t="s">
        <v>4961</v>
      </c>
      <c r="N428" s="7" t="s">
        <v>4962</v>
      </c>
      <c r="O428" s="7"/>
      <c r="P428" s="7"/>
      <c r="Q428" s="7" t="n">
        <v>10</v>
      </c>
    </row>
    <row r="429" customFormat="false" ht="73.5" hidden="false" customHeight="true" outlineLevel="0" collapsed="false">
      <c r="A429" s="7" t="n">
        <v>425</v>
      </c>
      <c r="B429" s="7" t="s">
        <v>17</v>
      </c>
      <c r="C429" s="7" t="s">
        <v>4058</v>
      </c>
      <c r="D429" s="7" t="s">
        <v>4084</v>
      </c>
      <c r="E429" s="7" t="s">
        <v>4005</v>
      </c>
      <c r="F429" s="7" t="n">
        <v>102</v>
      </c>
      <c r="G429" s="15" t="s">
        <v>20</v>
      </c>
      <c r="H429" s="15" t="s">
        <v>28</v>
      </c>
      <c r="I429" s="7"/>
      <c r="J429" s="7" t="s">
        <v>2748</v>
      </c>
      <c r="K429" s="7" t="s">
        <v>4963</v>
      </c>
      <c r="L429" s="7" t="s">
        <v>4964</v>
      </c>
      <c r="M429" s="7" t="s">
        <v>4965</v>
      </c>
      <c r="N429" s="7" t="s">
        <v>4966</v>
      </c>
      <c r="O429" s="7"/>
      <c r="P429" s="7"/>
      <c r="Q429" s="7" t="n">
        <v>37</v>
      </c>
    </row>
    <row r="430" customFormat="false" ht="73.5" hidden="false" customHeight="true" outlineLevel="0" collapsed="false">
      <c r="A430" s="7" t="n">
        <v>426</v>
      </c>
      <c r="B430" s="7" t="s">
        <v>22</v>
      </c>
      <c r="C430" s="7" t="s">
        <v>3996</v>
      </c>
      <c r="D430" s="7" t="s">
        <v>3997</v>
      </c>
      <c r="E430" s="7" t="s">
        <v>4005</v>
      </c>
      <c r="F430" s="7" t="n">
        <v>160</v>
      </c>
      <c r="G430" s="15" t="s">
        <v>20</v>
      </c>
      <c r="H430" s="15" t="s">
        <v>28</v>
      </c>
      <c r="I430" s="7"/>
      <c r="J430" s="7" t="s">
        <v>2754</v>
      </c>
      <c r="K430" s="7" t="s">
        <v>4967</v>
      </c>
      <c r="L430" s="7" t="s">
        <v>4968</v>
      </c>
      <c r="M430" s="7" t="s">
        <v>4969</v>
      </c>
      <c r="N430" s="7" t="s">
        <v>4970</v>
      </c>
      <c r="O430" s="7"/>
      <c r="P430" s="7"/>
      <c r="Q430" s="7" t="n">
        <v>29</v>
      </c>
    </row>
    <row r="431" customFormat="false" ht="73.5" hidden="false" customHeight="true" outlineLevel="0" collapsed="false">
      <c r="A431" s="7" t="n">
        <v>427</v>
      </c>
      <c r="B431" s="7" t="s">
        <v>29</v>
      </c>
      <c r="C431" s="7" t="s">
        <v>3217</v>
      </c>
      <c r="D431" s="7" t="s">
        <v>3898</v>
      </c>
      <c r="E431" s="7" t="s">
        <v>4971</v>
      </c>
      <c r="F431" s="7" t="n">
        <v>88</v>
      </c>
      <c r="G431" s="15" t="s">
        <v>20</v>
      </c>
      <c r="H431" s="15" t="s">
        <v>33</v>
      </c>
      <c r="I431" s="7"/>
      <c r="J431" s="7" t="s">
        <v>2760</v>
      </c>
      <c r="K431" s="7" t="s">
        <v>4972</v>
      </c>
      <c r="L431" s="7" t="s">
        <v>4973</v>
      </c>
      <c r="M431" s="7" t="s">
        <v>4974</v>
      </c>
      <c r="N431" s="7" t="s">
        <v>4975</v>
      </c>
      <c r="O431" s="7"/>
      <c r="P431" s="7"/>
      <c r="Q431" s="7" t="n">
        <v>19</v>
      </c>
    </row>
    <row r="432" customFormat="false" ht="73.5" hidden="false" customHeight="true" outlineLevel="0" collapsed="false">
      <c r="A432" s="7" t="n">
        <v>428</v>
      </c>
      <c r="B432" s="7" t="s">
        <v>22</v>
      </c>
      <c r="C432" s="7" t="s">
        <v>3996</v>
      </c>
      <c r="D432" s="7" t="s">
        <v>3997</v>
      </c>
      <c r="E432" s="7" t="s">
        <v>3998</v>
      </c>
      <c r="F432" s="7" t="n">
        <v>39</v>
      </c>
      <c r="G432" s="14" t="s">
        <v>18</v>
      </c>
      <c r="H432" s="14" t="s">
        <v>18</v>
      </c>
      <c r="I432" s="7"/>
      <c r="J432" s="7" t="s">
        <v>2766</v>
      </c>
      <c r="K432" s="7" t="s">
        <v>4976</v>
      </c>
      <c r="L432" s="7" t="s">
        <v>4977</v>
      </c>
      <c r="M432" s="7" t="s">
        <v>4978</v>
      </c>
      <c r="N432" s="7" t="s">
        <v>4979</v>
      </c>
      <c r="O432" s="7"/>
      <c r="P432" s="7"/>
      <c r="Q432" s="7" t="n">
        <v>8</v>
      </c>
    </row>
    <row r="433" customFormat="false" ht="73.5" hidden="false" customHeight="true" outlineLevel="0" collapsed="false">
      <c r="A433" s="7" t="n">
        <v>429</v>
      </c>
      <c r="B433" s="7" t="s">
        <v>31</v>
      </c>
      <c r="C433" s="7" t="s">
        <v>4003</v>
      </c>
      <c r="D433" s="7" t="s">
        <v>4010</v>
      </c>
      <c r="E433" s="7" t="s">
        <v>3998</v>
      </c>
      <c r="F433" s="7" t="n">
        <v>70</v>
      </c>
      <c r="G433" s="14" t="s">
        <v>18</v>
      </c>
      <c r="H433" s="14" t="s">
        <v>18</v>
      </c>
      <c r="I433" s="7"/>
      <c r="J433" s="7" t="s">
        <v>2772</v>
      </c>
      <c r="K433" s="7" t="s">
        <v>4980</v>
      </c>
      <c r="L433" s="7" t="s">
        <v>4981</v>
      </c>
      <c r="M433" s="7" t="s">
        <v>4982</v>
      </c>
      <c r="N433" s="7" t="s">
        <v>4983</v>
      </c>
      <c r="O433" s="7"/>
      <c r="P433" s="7"/>
      <c r="Q433" s="7" t="n">
        <v>12</v>
      </c>
    </row>
    <row r="434" customFormat="false" ht="73.5" hidden="false" customHeight="true" outlineLevel="0" collapsed="false">
      <c r="A434" s="7" t="n">
        <v>430</v>
      </c>
      <c r="B434" s="7" t="s">
        <v>23</v>
      </c>
      <c r="C434" s="7" t="s">
        <v>3217</v>
      </c>
      <c r="D434" s="7" t="s">
        <v>4038</v>
      </c>
      <c r="E434" s="7" t="s">
        <v>3998</v>
      </c>
      <c r="F434" s="7" t="n">
        <v>11</v>
      </c>
      <c r="G434" s="14" t="s">
        <v>18</v>
      </c>
      <c r="H434" s="14" t="s">
        <v>18</v>
      </c>
      <c r="I434" s="7"/>
      <c r="J434" s="7" t="s">
        <v>2778</v>
      </c>
      <c r="K434" s="7" t="s">
        <v>4984</v>
      </c>
      <c r="L434" s="7" t="s">
        <v>4985</v>
      </c>
      <c r="M434" s="7" t="s">
        <v>4986</v>
      </c>
      <c r="N434" s="7" t="s">
        <v>4650</v>
      </c>
      <c r="O434" s="7"/>
      <c r="P434" s="7"/>
      <c r="Q434" s="7" t="n">
        <v>6</v>
      </c>
    </row>
    <row r="435" customFormat="false" ht="73.5" hidden="false" customHeight="true" outlineLevel="0" collapsed="false">
      <c r="A435" s="7" t="n">
        <v>431</v>
      </c>
      <c r="B435" s="7" t="s">
        <v>29</v>
      </c>
      <c r="C435" s="7" t="s">
        <v>3217</v>
      </c>
      <c r="D435" s="7" t="s">
        <v>3898</v>
      </c>
      <c r="E435" s="7" t="s">
        <v>4025</v>
      </c>
      <c r="F435" s="7" t="n">
        <v>59</v>
      </c>
      <c r="G435" s="15" t="s">
        <v>20</v>
      </c>
      <c r="H435" s="15" t="s">
        <v>33</v>
      </c>
      <c r="I435" s="7"/>
      <c r="J435" s="7" t="s">
        <v>2783</v>
      </c>
      <c r="K435" s="7" t="s">
        <v>4987</v>
      </c>
      <c r="L435" s="7" t="s">
        <v>4988</v>
      </c>
      <c r="M435" s="7" t="s">
        <v>4989</v>
      </c>
      <c r="N435" s="7" t="s">
        <v>4990</v>
      </c>
      <c r="O435" s="7"/>
      <c r="P435" s="7"/>
      <c r="Q435" s="7" t="n">
        <v>13</v>
      </c>
    </row>
    <row r="436" customFormat="false" ht="121.5" hidden="false" customHeight="true" outlineLevel="0" collapsed="false">
      <c r="A436" s="7" t="n">
        <v>432</v>
      </c>
      <c r="B436" s="7" t="s">
        <v>15</v>
      </c>
      <c r="C436" s="7" t="s">
        <v>3996</v>
      </c>
      <c r="D436" s="7" t="s">
        <v>4030</v>
      </c>
      <c r="E436" s="7" t="s">
        <v>4031</v>
      </c>
      <c r="F436" s="7" t="n">
        <v>123</v>
      </c>
      <c r="G436" s="15" t="s">
        <v>20</v>
      </c>
      <c r="H436" s="15" t="s">
        <v>32</v>
      </c>
      <c r="I436" s="7" t="s">
        <v>4032</v>
      </c>
      <c r="J436" s="7" t="s">
        <v>2789</v>
      </c>
      <c r="K436" s="7" t="s">
        <v>4991</v>
      </c>
      <c r="L436" s="7" t="s">
        <v>4992</v>
      </c>
      <c r="M436" s="7" t="s">
        <v>4993</v>
      </c>
      <c r="N436" s="7" t="s">
        <v>4994</v>
      </c>
      <c r="O436" s="7" t="s">
        <v>4037</v>
      </c>
      <c r="P436" s="7"/>
      <c r="Q436" s="7" t="n">
        <v>32</v>
      </c>
    </row>
    <row r="437" customFormat="false" ht="73.5" hidden="false" customHeight="true" outlineLevel="0" collapsed="false">
      <c r="A437" s="7" t="n">
        <v>433</v>
      </c>
      <c r="B437" s="7" t="s">
        <v>19</v>
      </c>
      <c r="C437" s="7" t="s">
        <v>4003</v>
      </c>
      <c r="D437" s="7" t="s">
        <v>4004</v>
      </c>
      <c r="E437" s="7" t="s">
        <v>4815</v>
      </c>
      <c r="F437" s="7" t="n">
        <v>164</v>
      </c>
      <c r="G437" s="15" t="s">
        <v>20</v>
      </c>
      <c r="H437" s="15" t="s">
        <v>28</v>
      </c>
      <c r="I437" s="7"/>
      <c r="J437" s="7" t="s">
        <v>2796</v>
      </c>
      <c r="K437" s="7" t="s">
        <v>4995</v>
      </c>
      <c r="L437" s="7" t="s">
        <v>4996</v>
      </c>
      <c r="M437" s="7" t="s">
        <v>4997</v>
      </c>
      <c r="N437" s="7" t="s">
        <v>4998</v>
      </c>
      <c r="O437" s="7"/>
      <c r="P437" s="7"/>
      <c r="Q437" s="7" t="n">
        <v>37</v>
      </c>
    </row>
    <row r="438" customFormat="false" ht="73.5" hidden="false" customHeight="true" outlineLevel="0" collapsed="false">
      <c r="A438" s="7" t="n">
        <v>434</v>
      </c>
      <c r="B438" s="7" t="s">
        <v>22</v>
      </c>
      <c r="C438" s="7" t="s">
        <v>3996</v>
      </c>
      <c r="D438" s="7" t="s">
        <v>3997</v>
      </c>
      <c r="E438" s="7" t="s">
        <v>3998</v>
      </c>
      <c r="F438" s="7" t="n">
        <v>96</v>
      </c>
      <c r="G438" s="14" t="s">
        <v>18</v>
      </c>
      <c r="H438" s="14" t="s">
        <v>18</v>
      </c>
      <c r="I438" s="7"/>
      <c r="J438" s="7" t="s">
        <v>2802</v>
      </c>
      <c r="K438" s="7" t="s">
        <v>4972</v>
      </c>
      <c r="L438" s="7" t="s">
        <v>4973</v>
      </c>
      <c r="M438" s="7" t="s">
        <v>4254</v>
      </c>
      <c r="N438" s="7" t="s">
        <v>4999</v>
      </c>
      <c r="O438" s="7"/>
      <c r="P438" s="7"/>
      <c r="Q438" s="7" t="n">
        <v>18</v>
      </c>
    </row>
    <row r="439" customFormat="false" ht="73.5" hidden="false" customHeight="true" outlineLevel="0" collapsed="false">
      <c r="A439" s="7" t="n">
        <v>435</v>
      </c>
      <c r="B439" s="7" t="s">
        <v>21</v>
      </c>
      <c r="C439" s="7" t="s">
        <v>4058</v>
      </c>
      <c r="D439" s="7" t="s">
        <v>4059</v>
      </c>
      <c r="E439" s="7" t="s">
        <v>3998</v>
      </c>
      <c r="F439" s="7" t="n">
        <v>92</v>
      </c>
      <c r="G439" s="14" t="s">
        <v>18</v>
      </c>
      <c r="H439" s="14" t="s">
        <v>18</v>
      </c>
      <c r="I439" s="7"/>
      <c r="J439" s="7" t="s">
        <v>2806</v>
      </c>
      <c r="K439" s="7" t="s">
        <v>5000</v>
      </c>
      <c r="L439" s="7" t="s">
        <v>5001</v>
      </c>
      <c r="M439" s="7" t="s">
        <v>5002</v>
      </c>
      <c r="N439" s="7" t="s">
        <v>5003</v>
      </c>
      <c r="O439" s="7"/>
      <c r="P439" s="7"/>
      <c r="Q439" s="7" t="n">
        <v>16</v>
      </c>
    </row>
    <row r="440" customFormat="false" ht="73.5" hidden="false" customHeight="true" outlineLevel="0" collapsed="false">
      <c r="A440" s="7" t="n">
        <v>436</v>
      </c>
      <c r="B440" s="7" t="s">
        <v>21</v>
      </c>
      <c r="C440" s="7" t="s">
        <v>3217</v>
      </c>
      <c r="D440" s="7" t="s">
        <v>4108</v>
      </c>
      <c r="E440" s="7" t="s">
        <v>3998</v>
      </c>
      <c r="F440" s="7" t="n">
        <v>19</v>
      </c>
      <c r="G440" s="14" t="s">
        <v>18</v>
      </c>
      <c r="H440" s="14" t="s">
        <v>18</v>
      </c>
      <c r="I440" s="7"/>
      <c r="J440" s="7" t="s">
        <v>2812</v>
      </c>
      <c r="K440" s="7" t="s">
        <v>5004</v>
      </c>
      <c r="L440" s="7" t="s">
        <v>5005</v>
      </c>
      <c r="M440" s="7" t="s">
        <v>5006</v>
      </c>
      <c r="N440" s="7" t="s">
        <v>5007</v>
      </c>
      <c r="O440" s="7"/>
      <c r="P440" s="7"/>
      <c r="Q440" s="7" t="n">
        <v>5</v>
      </c>
    </row>
    <row r="441" customFormat="false" ht="73.5" hidden="false" customHeight="true" outlineLevel="0" collapsed="false">
      <c r="A441" s="7" t="n">
        <v>437</v>
      </c>
      <c r="B441" s="7" t="s">
        <v>27</v>
      </c>
      <c r="C441" s="7" t="s">
        <v>4129</v>
      </c>
      <c r="D441" s="7" t="s">
        <v>4130</v>
      </c>
      <c r="E441" s="7" t="s">
        <v>3998</v>
      </c>
      <c r="F441" s="7" t="n">
        <v>57</v>
      </c>
      <c r="G441" s="14" t="s">
        <v>18</v>
      </c>
      <c r="H441" s="14" t="s">
        <v>18</v>
      </c>
      <c r="I441" s="7"/>
      <c r="J441" s="7" t="s">
        <v>2818</v>
      </c>
      <c r="K441" s="7" t="s">
        <v>3537</v>
      </c>
      <c r="L441" s="7" t="s">
        <v>5008</v>
      </c>
      <c r="M441" s="7" t="s">
        <v>5009</v>
      </c>
      <c r="N441" s="7" t="s">
        <v>5010</v>
      </c>
      <c r="O441" s="7"/>
      <c r="P441" s="7"/>
      <c r="Q441" s="7" t="n">
        <v>15</v>
      </c>
    </row>
    <row r="442" customFormat="false" ht="73.5" hidden="false" customHeight="true" outlineLevel="0" collapsed="false">
      <c r="A442" s="7" t="n">
        <v>438</v>
      </c>
      <c r="B442" s="7" t="s">
        <v>23</v>
      </c>
      <c r="C442" s="7" t="s">
        <v>3217</v>
      </c>
      <c r="D442" s="7" t="s">
        <v>4038</v>
      </c>
      <c r="E442" s="7" t="s">
        <v>3998</v>
      </c>
      <c r="F442" s="7" t="n">
        <v>32</v>
      </c>
      <c r="G442" s="14" t="s">
        <v>18</v>
      </c>
      <c r="H442" s="14" t="s">
        <v>18</v>
      </c>
      <c r="I442" s="7"/>
      <c r="J442" s="7" t="s">
        <v>2824</v>
      </c>
      <c r="K442" s="7" t="s">
        <v>5011</v>
      </c>
      <c r="L442" s="7" t="s">
        <v>5012</v>
      </c>
      <c r="M442" s="7" t="s">
        <v>5013</v>
      </c>
      <c r="N442" s="7" t="s">
        <v>5014</v>
      </c>
      <c r="O442" s="7"/>
      <c r="P442" s="7"/>
      <c r="Q442" s="7" t="n">
        <v>11</v>
      </c>
    </row>
    <row r="443" customFormat="false" ht="73.5" hidden="false" customHeight="true" outlineLevel="0" collapsed="false">
      <c r="A443" s="7" t="n">
        <v>439</v>
      </c>
      <c r="B443" s="7" t="s">
        <v>27</v>
      </c>
      <c r="C443" s="7" t="s">
        <v>4129</v>
      </c>
      <c r="D443" s="7" t="s">
        <v>4130</v>
      </c>
      <c r="E443" s="7" t="s">
        <v>3998</v>
      </c>
      <c r="F443" s="7" t="n">
        <v>18</v>
      </c>
      <c r="G443" s="14" t="s">
        <v>18</v>
      </c>
      <c r="H443" s="14" t="s">
        <v>18</v>
      </c>
      <c r="I443" s="7"/>
      <c r="J443" s="7" t="s">
        <v>2830</v>
      </c>
      <c r="K443" s="7" t="s">
        <v>5015</v>
      </c>
      <c r="L443" s="7" t="s">
        <v>5016</v>
      </c>
      <c r="M443" s="7" t="s">
        <v>5017</v>
      </c>
      <c r="N443" s="7" t="s">
        <v>5018</v>
      </c>
      <c r="O443" s="7"/>
      <c r="P443" s="7"/>
      <c r="Q443" s="7" t="n">
        <v>6</v>
      </c>
    </row>
    <row r="444" customFormat="false" ht="73.5" hidden="false" customHeight="true" outlineLevel="0" collapsed="false">
      <c r="A444" s="7" t="n">
        <v>440</v>
      </c>
      <c r="B444" s="7" t="s">
        <v>21</v>
      </c>
      <c r="C444" s="7" t="s">
        <v>3217</v>
      </c>
      <c r="D444" s="7" t="s">
        <v>4108</v>
      </c>
      <c r="E444" s="7" t="s">
        <v>3998</v>
      </c>
      <c r="F444" s="7" t="n">
        <v>28</v>
      </c>
      <c r="G444" s="14" t="s">
        <v>18</v>
      </c>
      <c r="H444" s="14" t="s">
        <v>18</v>
      </c>
      <c r="I444" s="7"/>
      <c r="J444" s="7" t="s">
        <v>2836</v>
      </c>
      <c r="K444" s="7" t="s">
        <v>5019</v>
      </c>
      <c r="L444" s="7" t="s">
        <v>5020</v>
      </c>
      <c r="M444" s="7" t="s">
        <v>5021</v>
      </c>
      <c r="N444" s="7" t="s">
        <v>5022</v>
      </c>
      <c r="O444" s="7"/>
      <c r="P444" s="7"/>
      <c r="Q444" s="7" t="n">
        <v>6</v>
      </c>
    </row>
    <row r="445" customFormat="false" ht="73.5" hidden="false" customHeight="true" outlineLevel="0" collapsed="false">
      <c r="A445" s="7" t="n">
        <v>441</v>
      </c>
      <c r="B445" s="7" t="s">
        <v>17</v>
      </c>
      <c r="C445" s="7" t="s">
        <v>4044</v>
      </c>
      <c r="D445" s="7" t="s">
        <v>4045</v>
      </c>
      <c r="E445" s="7" t="s">
        <v>4005</v>
      </c>
      <c r="F445" s="7" t="n">
        <v>105</v>
      </c>
      <c r="G445" s="15" t="s">
        <v>20</v>
      </c>
      <c r="H445" s="15" t="s">
        <v>28</v>
      </c>
      <c r="I445" s="7"/>
      <c r="J445" s="7" t="s">
        <v>2842</v>
      </c>
      <c r="K445" s="7" t="s">
        <v>5023</v>
      </c>
      <c r="L445" s="7" t="s">
        <v>5024</v>
      </c>
      <c r="M445" s="7" t="s">
        <v>5025</v>
      </c>
      <c r="N445" s="7" t="s">
        <v>5026</v>
      </c>
      <c r="O445" s="7"/>
      <c r="P445" s="7"/>
      <c r="Q445" s="7" t="n">
        <v>20</v>
      </c>
    </row>
    <row r="446" customFormat="false" ht="73.5" hidden="false" customHeight="true" outlineLevel="0" collapsed="false">
      <c r="A446" s="7" t="n">
        <v>442</v>
      </c>
      <c r="B446" s="7" t="s">
        <v>27</v>
      </c>
      <c r="C446" s="7" t="s">
        <v>4129</v>
      </c>
      <c r="D446" s="7" t="s">
        <v>4130</v>
      </c>
      <c r="E446" s="7" t="s">
        <v>3998</v>
      </c>
      <c r="F446" s="7" t="n">
        <v>99</v>
      </c>
      <c r="G446" s="14" t="s">
        <v>18</v>
      </c>
      <c r="H446" s="14" t="s">
        <v>18</v>
      </c>
      <c r="I446" s="7"/>
      <c r="J446" s="7" t="s">
        <v>2848</v>
      </c>
      <c r="K446" s="7" t="s">
        <v>5027</v>
      </c>
      <c r="L446" s="7" t="s">
        <v>5028</v>
      </c>
      <c r="M446" s="7" t="s">
        <v>5029</v>
      </c>
      <c r="N446" s="7" t="s">
        <v>5030</v>
      </c>
      <c r="O446" s="7"/>
      <c r="P446" s="7"/>
      <c r="Q446" s="7" t="n">
        <v>25</v>
      </c>
    </row>
    <row r="447" customFormat="false" ht="73.5" hidden="false" customHeight="true" outlineLevel="0" collapsed="false">
      <c r="A447" s="7" t="n">
        <v>443</v>
      </c>
      <c r="B447" s="7" t="s">
        <v>15</v>
      </c>
      <c r="C447" s="7" t="s">
        <v>3217</v>
      </c>
      <c r="D447" s="7" t="s">
        <v>4143</v>
      </c>
      <c r="E447" s="7" t="s">
        <v>4302</v>
      </c>
      <c r="F447" s="7" t="n">
        <v>81</v>
      </c>
      <c r="G447" s="15" t="s">
        <v>20</v>
      </c>
      <c r="H447" s="15" t="s">
        <v>30</v>
      </c>
      <c r="I447" s="7"/>
      <c r="J447" s="7" t="s">
        <v>2854</v>
      </c>
      <c r="K447" s="7" t="s">
        <v>5031</v>
      </c>
      <c r="L447" s="7" t="s">
        <v>5032</v>
      </c>
      <c r="M447" s="7" t="s">
        <v>5033</v>
      </c>
      <c r="N447" s="7" t="s">
        <v>5034</v>
      </c>
      <c r="O447" s="7"/>
      <c r="P447" s="7"/>
      <c r="Q447" s="7" t="n">
        <v>22</v>
      </c>
    </row>
    <row r="448" customFormat="false" ht="73.5" hidden="false" customHeight="true" outlineLevel="0" collapsed="false">
      <c r="A448" s="7" t="n">
        <v>444</v>
      </c>
      <c r="B448" s="7" t="s">
        <v>21</v>
      </c>
      <c r="C448" s="7" t="s">
        <v>4058</v>
      </c>
      <c r="D448" s="7" t="s">
        <v>4059</v>
      </c>
      <c r="E448" s="7" t="s">
        <v>3998</v>
      </c>
      <c r="F448" s="7" t="n">
        <v>57</v>
      </c>
      <c r="G448" s="14" t="s">
        <v>18</v>
      </c>
      <c r="H448" s="14" t="s">
        <v>18</v>
      </c>
      <c r="I448" s="7"/>
      <c r="J448" s="7" t="s">
        <v>2860</v>
      </c>
      <c r="K448" s="7" t="s">
        <v>5035</v>
      </c>
      <c r="L448" s="7" t="s">
        <v>5036</v>
      </c>
      <c r="M448" s="7" t="s">
        <v>5037</v>
      </c>
      <c r="N448" s="7" t="s">
        <v>5038</v>
      </c>
      <c r="O448" s="7"/>
      <c r="P448" s="7"/>
      <c r="Q448" s="7" t="n">
        <v>11</v>
      </c>
    </row>
    <row r="449" customFormat="false" ht="73.5" hidden="false" customHeight="true" outlineLevel="0" collapsed="false">
      <c r="A449" s="7" t="n">
        <v>445</v>
      </c>
      <c r="B449" s="7" t="s">
        <v>31</v>
      </c>
      <c r="C449" s="7" t="s">
        <v>4003</v>
      </c>
      <c r="D449" s="7" t="s">
        <v>4010</v>
      </c>
      <c r="E449" s="7" t="s">
        <v>3998</v>
      </c>
      <c r="F449" s="7" t="n">
        <v>106</v>
      </c>
      <c r="G449" s="14" t="s">
        <v>18</v>
      </c>
      <c r="H449" s="14" t="s">
        <v>18</v>
      </c>
      <c r="I449" s="7"/>
      <c r="J449" s="7" t="s">
        <v>2866</v>
      </c>
      <c r="K449" s="7" t="s">
        <v>5039</v>
      </c>
      <c r="L449" s="7" t="s">
        <v>5040</v>
      </c>
      <c r="M449" s="7" t="s">
        <v>5041</v>
      </c>
      <c r="N449" s="7" t="s">
        <v>5042</v>
      </c>
      <c r="O449" s="7"/>
      <c r="P449" s="7"/>
      <c r="Q449" s="7" t="n">
        <v>18</v>
      </c>
    </row>
    <row r="450" customFormat="false" ht="73.5" hidden="false" customHeight="true" outlineLevel="0" collapsed="false">
      <c r="A450" s="7" t="n">
        <v>446</v>
      </c>
      <c r="B450" s="7" t="s">
        <v>29</v>
      </c>
      <c r="C450" s="7" t="s">
        <v>3217</v>
      </c>
      <c r="D450" s="7" t="s">
        <v>3898</v>
      </c>
      <c r="E450" s="7" t="s">
        <v>4025</v>
      </c>
      <c r="F450" s="7" t="n">
        <v>1</v>
      </c>
      <c r="G450" s="15" t="s">
        <v>20</v>
      </c>
      <c r="H450" s="15" t="s">
        <v>33</v>
      </c>
      <c r="I450" s="7"/>
      <c r="J450" s="7" t="s">
        <v>2872</v>
      </c>
      <c r="K450" s="7" t="s">
        <v>5043</v>
      </c>
      <c r="L450" s="7" t="s">
        <v>5044</v>
      </c>
      <c r="M450" s="7" t="s">
        <v>5045</v>
      </c>
      <c r="N450" s="7" t="s">
        <v>5046</v>
      </c>
      <c r="O450" s="7"/>
      <c r="P450" s="7"/>
      <c r="Q450" s="7" t="n">
        <v>2</v>
      </c>
    </row>
    <row r="451" customFormat="false" ht="73.5" hidden="false" customHeight="true" outlineLevel="0" collapsed="false">
      <c r="A451" s="7" t="n">
        <v>447</v>
      </c>
      <c r="B451" s="7" t="s">
        <v>19</v>
      </c>
      <c r="C451" s="7" t="s">
        <v>4003</v>
      </c>
      <c r="D451" s="7" t="s">
        <v>4004</v>
      </c>
      <c r="E451" s="7" t="s">
        <v>4005</v>
      </c>
      <c r="F451" s="7" t="n">
        <v>154</v>
      </c>
      <c r="G451" s="15" t="s">
        <v>20</v>
      </c>
      <c r="H451" s="15" t="s">
        <v>28</v>
      </c>
      <c r="I451" s="7"/>
      <c r="J451" s="7" t="s">
        <v>2878</v>
      </c>
      <c r="K451" s="7" t="s">
        <v>5047</v>
      </c>
      <c r="L451" s="7" t="s">
        <v>5048</v>
      </c>
      <c r="M451" s="7" t="s">
        <v>5049</v>
      </c>
      <c r="N451" s="7" t="s">
        <v>5050</v>
      </c>
      <c r="O451" s="7"/>
      <c r="P451" s="7"/>
      <c r="Q451" s="7" t="n">
        <v>35</v>
      </c>
    </row>
    <row r="452" customFormat="false" ht="73.5" hidden="false" customHeight="true" outlineLevel="0" collapsed="false">
      <c r="A452" s="7" t="n">
        <v>448</v>
      </c>
      <c r="B452" s="7" t="s">
        <v>23</v>
      </c>
      <c r="C452" s="7" t="s">
        <v>3217</v>
      </c>
      <c r="D452" s="7" t="s">
        <v>4038</v>
      </c>
      <c r="E452" s="7" t="s">
        <v>4039</v>
      </c>
      <c r="F452" s="7" t="n">
        <v>80</v>
      </c>
      <c r="G452" s="14" t="s">
        <v>18</v>
      </c>
      <c r="H452" s="14" t="s">
        <v>18</v>
      </c>
      <c r="I452" s="7"/>
      <c r="J452" s="7" t="s">
        <v>2884</v>
      </c>
      <c r="K452" s="7" t="s">
        <v>4687</v>
      </c>
      <c r="L452" s="7" t="s">
        <v>5051</v>
      </c>
      <c r="M452" s="7" t="s">
        <v>4849</v>
      </c>
      <c r="N452" s="7" t="s">
        <v>5052</v>
      </c>
      <c r="O452" s="7"/>
      <c r="P452" s="7"/>
      <c r="Q452" s="7" t="n">
        <v>23</v>
      </c>
    </row>
    <row r="453" customFormat="false" ht="73.5" hidden="false" customHeight="true" outlineLevel="0" collapsed="false">
      <c r="A453" s="7" t="n">
        <v>449</v>
      </c>
      <c r="B453" s="7" t="s">
        <v>27</v>
      </c>
      <c r="C453" s="7" t="s">
        <v>4129</v>
      </c>
      <c r="D453" s="7" t="s">
        <v>4130</v>
      </c>
      <c r="E453" s="7" t="s">
        <v>3998</v>
      </c>
      <c r="F453" s="7" t="n">
        <v>22</v>
      </c>
      <c r="G453" s="14" t="s">
        <v>18</v>
      </c>
      <c r="H453" s="14" t="s">
        <v>18</v>
      </c>
      <c r="I453" s="7"/>
      <c r="J453" s="7" t="s">
        <v>2889</v>
      </c>
      <c r="K453" s="7" t="s">
        <v>5053</v>
      </c>
      <c r="L453" s="7" t="s">
        <v>5054</v>
      </c>
      <c r="M453" s="7" t="s">
        <v>5055</v>
      </c>
      <c r="N453" s="7" t="s">
        <v>5056</v>
      </c>
      <c r="O453" s="7"/>
      <c r="P453" s="7"/>
      <c r="Q453" s="7" t="n">
        <v>7</v>
      </c>
    </row>
    <row r="454" customFormat="false" ht="73.5" hidden="false" customHeight="true" outlineLevel="0" collapsed="false">
      <c r="A454" s="7" t="n">
        <v>450</v>
      </c>
      <c r="B454" s="7" t="s">
        <v>22</v>
      </c>
      <c r="C454" s="7" t="s">
        <v>3996</v>
      </c>
      <c r="D454" s="7" t="s">
        <v>3997</v>
      </c>
      <c r="E454" s="7" t="s">
        <v>3998</v>
      </c>
      <c r="F454" s="7" t="n">
        <v>101</v>
      </c>
      <c r="G454" s="14" t="s">
        <v>18</v>
      </c>
      <c r="H454" s="14" t="s">
        <v>18</v>
      </c>
      <c r="I454" s="7"/>
      <c r="J454" s="7" t="s">
        <v>2895</v>
      </c>
      <c r="K454" s="7" t="s">
        <v>5057</v>
      </c>
      <c r="L454" s="7" t="s">
        <v>5058</v>
      </c>
      <c r="M454" s="7" t="s">
        <v>5059</v>
      </c>
      <c r="N454" s="7" t="s">
        <v>5060</v>
      </c>
      <c r="O454" s="7"/>
      <c r="P454" s="7"/>
      <c r="Q454" s="7" t="n">
        <v>19</v>
      </c>
    </row>
    <row r="455" customFormat="false" ht="73.5" hidden="false" customHeight="true" outlineLevel="0" collapsed="false">
      <c r="A455" s="7" t="n">
        <v>451</v>
      </c>
      <c r="B455" s="7" t="s">
        <v>15</v>
      </c>
      <c r="C455" s="7" t="s">
        <v>3217</v>
      </c>
      <c r="D455" s="7" t="s">
        <v>4143</v>
      </c>
      <c r="E455" s="7" t="s">
        <v>4302</v>
      </c>
      <c r="F455" s="7" t="n">
        <v>4</v>
      </c>
      <c r="G455" s="15" t="s">
        <v>20</v>
      </c>
      <c r="H455" s="15" t="s">
        <v>30</v>
      </c>
      <c r="I455" s="7"/>
      <c r="J455" s="7" t="s">
        <v>2901</v>
      </c>
      <c r="K455" s="7" t="s">
        <v>5061</v>
      </c>
      <c r="L455" s="7" t="s">
        <v>5062</v>
      </c>
      <c r="M455" s="7" t="s">
        <v>5063</v>
      </c>
      <c r="N455" s="7" t="s">
        <v>5064</v>
      </c>
      <c r="O455" s="7"/>
      <c r="P455" s="7"/>
      <c r="Q455" s="7" t="n">
        <v>2</v>
      </c>
    </row>
    <row r="456" customFormat="false" ht="73.5" hidden="false" customHeight="true" outlineLevel="0" collapsed="false">
      <c r="A456" s="7" t="n">
        <v>452</v>
      </c>
      <c r="B456" s="7" t="s">
        <v>25</v>
      </c>
      <c r="C456" s="7" t="s">
        <v>4019</v>
      </c>
      <c r="D456" s="7" t="s">
        <v>4020</v>
      </c>
      <c r="E456" s="7" t="s">
        <v>4005</v>
      </c>
      <c r="F456" s="7" t="n">
        <v>106</v>
      </c>
      <c r="G456" s="15" t="s">
        <v>20</v>
      </c>
      <c r="H456" s="15" t="s">
        <v>28</v>
      </c>
      <c r="I456" s="7"/>
      <c r="J456" s="7" t="s">
        <v>2907</v>
      </c>
      <c r="K456" s="7" t="s">
        <v>5065</v>
      </c>
      <c r="L456" s="7" t="s">
        <v>5066</v>
      </c>
      <c r="M456" s="7" t="s">
        <v>5067</v>
      </c>
      <c r="N456" s="7" t="s">
        <v>5068</v>
      </c>
      <c r="O456" s="7"/>
      <c r="P456" s="7"/>
      <c r="Q456" s="7" t="n">
        <v>25</v>
      </c>
    </row>
    <row r="457" customFormat="false" ht="73.5" hidden="false" customHeight="true" outlineLevel="0" collapsed="false">
      <c r="A457" s="7" t="n">
        <v>453</v>
      </c>
      <c r="B457" s="7" t="s">
        <v>21</v>
      </c>
      <c r="C457" s="7" t="s">
        <v>3217</v>
      </c>
      <c r="D457" s="7" t="s">
        <v>4108</v>
      </c>
      <c r="E457" s="7" t="s">
        <v>3998</v>
      </c>
      <c r="F457" s="7" t="n">
        <v>35</v>
      </c>
      <c r="G457" s="14" t="s">
        <v>18</v>
      </c>
      <c r="H457" s="14" t="s">
        <v>18</v>
      </c>
      <c r="I457" s="7"/>
      <c r="J457" s="7" t="s">
        <v>2913</v>
      </c>
      <c r="K457" s="7" t="s">
        <v>5069</v>
      </c>
      <c r="L457" s="7" t="s">
        <v>5070</v>
      </c>
      <c r="M457" s="7" t="s">
        <v>5071</v>
      </c>
      <c r="N457" s="7" t="s">
        <v>5072</v>
      </c>
      <c r="O457" s="7"/>
      <c r="P457" s="7"/>
      <c r="Q457" s="7" t="n">
        <v>7</v>
      </c>
    </row>
    <row r="458" customFormat="false" ht="73.5" hidden="false" customHeight="true" outlineLevel="0" collapsed="false">
      <c r="A458" s="7" t="n">
        <v>454</v>
      </c>
      <c r="B458" s="7" t="s">
        <v>19</v>
      </c>
      <c r="C458" s="7" t="s">
        <v>4003</v>
      </c>
      <c r="D458" s="7" t="s">
        <v>4004</v>
      </c>
      <c r="E458" s="7" t="s">
        <v>4005</v>
      </c>
      <c r="F458" s="7" t="n">
        <v>152</v>
      </c>
      <c r="G458" s="15" t="s">
        <v>20</v>
      </c>
      <c r="H458" s="15" t="s">
        <v>28</v>
      </c>
      <c r="I458" s="7"/>
      <c r="J458" s="7" t="s">
        <v>2919</v>
      </c>
      <c r="K458" s="7" t="s">
        <v>5073</v>
      </c>
      <c r="L458" s="7" t="s">
        <v>5074</v>
      </c>
      <c r="M458" s="7" t="s">
        <v>5075</v>
      </c>
      <c r="N458" s="7" t="s">
        <v>5076</v>
      </c>
      <c r="O458" s="7"/>
      <c r="P458" s="7"/>
      <c r="Q458" s="7" t="n">
        <v>34</v>
      </c>
    </row>
    <row r="459" customFormat="false" ht="73.5" hidden="false" customHeight="true" outlineLevel="0" collapsed="false">
      <c r="A459" s="7" t="n">
        <v>455</v>
      </c>
      <c r="B459" s="7" t="s">
        <v>17</v>
      </c>
      <c r="C459" s="7" t="s">
        <v>4058</v>
      </c>
      <c r="D459" s="7" t="s">
        <v>4084</v>
      </c>
      <c r="E459" s="7" t="s">
        <v>3998</v>
      </c>
      <c r="F459" s="7" t="n">
        <v>79</v>
      </c>
      <c r="G459" s="14" t="s">
        <v>18</v>
      </c>
      <c r="H459" s="14" t="s">
        <v>18</v>
      </c>
      <c r="I459" s="7"/>
      <c r="J459" s="7" t="s">
        <v>2925</v>
      </c>
      <c r="K459" s="7" t="s">
        <v>5077</v>
      </c>
      <c r="L459" s="7" t="s">
        <v>5078</v>
      </c>
      <c r="M459" s="7" t="s">
        <v>5079</v>
      </c>
      <c r="N459" s="7" t="s">
        <v>5080</v>
      </c>
      <c r="O459" s="7"/>
      <c r="P459" s="7"/>
      <c r="Q459" s="7" t="n">
        <v>29</v>
      </c>
    </row>
    <row r="460" customFormat="false" ht="73.5" hidden="false" customHeight="true" outlineLevel="0" collapsed="false">
      <c r="A460" s="7" t="n">
        <v>456</v>
      </c>
      <c r="B460" s="7" t="s">
        <v>23</v>
      </c>
      <c r="C460" s="7" t="s">
        <v>3217</v>
      </c>
      <c r="D460" s="7" t="s">
        <v>4038</v>
      </c>
      <c r="E460" s="7" t="s">
        <v>3998</v>
      </c>
      <c r="F460" s="7" t="n">
        <v>14</v>
      </c>
      <c r="G460" s="14" t="s">
        <v>18</v>
      </c>
      <c r="H460" s="14" t="s">
        <v>18</v>
      </c>
      <c r="I460" s="7"/>
      <c r="J460" s="7" t="s">
        <v>2931</v>
      </c>
      <c r="K460" s="7" t="s">
        <v>5081</v>
      </c>
      <c r="L460" s="7" t="s">
        <v>5082</v>
      </c>
      <c r="M460" s="7" t="s">
        <v>5083</v>
      </c>
      <c r="N460" s="7" t="s">
        <v>5084</v>
      </c>
      <c r="O460" s="7"/>
      <c r="P460" s="7"/>
      <c r="Q460" s="7" t="n">
        <v>7</v>
      </c>
    </row>
    <row r="461" customFormat="false" ht="73.5" hidden="false" customHeight="true" outlineLevel="0" collapsed="false">
      <c r="A461" s="7" t="n">
        <v>457</v>
      </c>
      <c r="B461" s="7" t="s">
        <v>22</v>
      </c>
      <c r="C461" s="7" t="s">
        <v>3996</v>
      </c>
      <c r="D461" s="7" t="s">
        <v>3997</v>
      </c>
      <c r="E461" s="7" t="s">
        <v>3998</v>
      </c>
      <c r="F461" s="7" t="n">
        <v>22</v>
      </c>
      <c r="G461" s="14" t="s">
        <v>18</v>
      </c>
      <c r="H461" s="14" t="s">
        <v>18</v>
      </c>
      <c r="I461" s="7"/>
      <c r="J461" s="7" t="s">
        <v>2937</v>
      </c>
      <c r="K461" s="7" t="s">
        <v>5085</v>
      </c>
      <c r="L461" s="7" t="s">
        <v>4291</v>
      </c>
      <c r="M461" s="7" t="s">
        <v>4159</v>
      </c>
      <c r="N461" s="7" t="s">
        <v>5086</v>
      </c>
      <c r="O461" s="7"/>
      <c r="P461" s="7"/>
      <c r="Q461" s="7" t="n">
        <v>5</v>
      </c>
    </row>
    <row r="462" customFormat="false" ht="73.5" hidden="false" customHeight="true" outlineLevel="0" collapsed="false">
      <c r="A462" s="7" t="n">
        <v>458</v>
      </c>
      <c r="B462" s="7" t="s">
        <v>27</v>
      </c>
      <c r="C462" s="7" t="s">
        <v>4129</v>
      </c>
      <c r="D462" s="7" t="s">
        <v>4130</v>
      </c>
      <c r="E462" s="7" t="s">
        <v>3998</v>
      </c>
      <c r="F462" s="7" t="n">
        <v>59</v>
      </c>
      <c r="G462" s="14" t="s">
        <v>18</v>
      </c>
      <c r="H462" s="14" t="s">
        <v>18</v>
      </c>
      <c r="I462" s="7"/>
      <c r="J462" s="7" t="s">
        <v>2942</v>
      </c>
      <c r="K462" s="7" t="s">
        <v>5087</v>
      </c>
      <c r="L462" s="7" t="s">
        <v>5088</v>
      </c>
      <c r="M462" s="7" t="s">
        <v>5089</v>
      </c>
      <c r="N462" s="7" t="s">
        <v>5090</v>
      </c>
      <c r="O462" s="7"/>
      <c r="P462" s="7"/>
      <c r="Q462" s="7" t="n">
        <v>16</v>
      </c>
    </row>
    <row r="463" customFormat="false" ht="73.5" hidden="false" customHeight="true" outlineLevel="0" collapsed="false">
      <c r="A463" s="7" t="n">
        <v>459</v>
      </c>
      <c r="B463" s="7" t="s">
        <v>25</v>
      </c>
      <c r="C463" s="7" t="s">
        <v>3217</v>
      </c>
      <c r="D463" s="7" t="s">
        <v>4320</v>
      </c>
      <c r="E463" s="7" t="s">
        <v>4005</v>
      </c>
      <c r="F463" s="7" t="n">
        <v>102</v>
      </c>
      <c r="G463" s="15" t="s">
        <v>20</v>
      </c>
      <c r="H463" s="15" t="s">
        <v>28</v>
      </c>
      <c r="I463" s="7"/>
      <c r="J463" s="7" t="s">
        <v>2948</v>
      </c>
      <c r="K463" s="7" t="s">
        <v>5091</v>
      </c>
      <c r="L463" s="7" t="s">
        <v>5092</v>
      </c>
      <c r="M463" s="7" t="s">
        <v>5093</v>
      </c>
      <c r="N463" s="7" t="s">
        <v>5094</v>
      </c>
      <c r="O463" s="7"/>
      <c r="P463" s="7"/>
      <c r="Q463" s="7" t="n">
        <v>21</v>
      </c>
    </row>
    <row r="464" customFormat="false" ht="73.5" hidden="false" customHeight="true" outlineLevel="0" collapsed="false">
      <c r="A464" s="7" t="n">
        <v>460</v>
      </c>
      <c r="B464" s="7" t="s">
        <v>27</v>
      </c>
      <c r="C464" s="7" t="s">
        <v>3996</v>
      </c>
      <c r="D464" s="7" t="s">
        <v>4070</v>
      </c>
      <c r="E464" s="7" t="s">
        <v>4071</v>
      </c>
      <c r="F464" s="7" t="n">
        <v>104</v>
      </c>
      <c r="G464" s="15" t="s">
        <v>20</v>
      </c>
      <c r="H464" s="15" t="s">
        <v>28</v>
      </c>
      <c r="I464" s="7"/>
      <c r="J464" s="7" t="s">
        <v>2954</v>
      </c>
      <c r="K464" s="7" t="s">
        <v>5095</v>
      </c>
      <c r="L464" s="7" t="s">
        <v>5096</v>
      </c>
      <c r="M464" s="7" t="s">
        <v>5097</v>
      </c>
      <c r="N464" s="7" t="s">
        <v>5098</v>
      </c>
      <c r="O464" s="7"/>
      <c r="P464" s="7"/>
      <c r="Q464" s="7" t="n">
        <v>37</v>
      </c>
    </row>
    <row r="465" customFormat="false" ht="73.5" hidden="false" customHeight="true" outlineLevel="0" collapsed="false">
      <c r="A465" s="7" t="n">
        <v>461</v>
      </c>
      <c r="B465" s="7" t="s">
        <v>15</v>
      </c>
      <c r="C465" s="7" t="s">
        <v>3996</v>
      </c>
      <c r="D465" s="7" t="s">
        <v>4030</v>
      </c>
      <c r="E465" s="7" t="s">
        <v>4302</v>
      </c>
      <c r="F465" s="7" t="n">
        <v>36</v>
      </c>
      <c r="G465" s="15" t="s">
        <v>20</v>
      </c>
      <c r="H465" s="15" t="s">
        <v>30</v>
      </c>
      <c r="I465" s="7"/>
      <c r="J465" s="7" t="s">
        <v>2960</v>
      </c>
      <c r="K465" s="7" t="s">
        <v>5099</v>
      </c>
      <c r="L465" s="7" t="s">
        <v>5100</v>
      </c>
      <c r="M465" s="7" t="s">
        <v>5101</v>
      </c>
      <c r="N465" s="7" t="s">
        <v>5102</v>
      </c>
      <c r="O465" s="7"/>
      <c r="P465" s="7"/>
      <c r="Q465" s="7" t="n">
        <v>11</v>
      </c>
    </row>
    <row r="466" customFormat="false" ht="73.5" hidden="false" customHeight="true" outlineLevel="0" collapsed="false">
      <c r="A466" s="7" t="n">
        <v>462</v>
      </c>
      <c r="B466" s="7" t="s">
        <v>25</v>
      </c>
      <c r="C466" s="7" t="s">
        <v>3217</v>
      </c>
      <c r="D466" s="7" t="s">
        <v>4320</v>
      </c>
      <c r="E466" s="7" t="s">
        <v>4005</v>
      </c>
      <c r="F466" s="7" t="n">
        <v>109</v>
      </c>
      <c r="G466" s="15" t="s">
        <v>20</v>
      </c>
      <c r="H466" s="15" t="s">
        <v>28</v>
      </c>
      <c r="I466" s="7"/>
      <c r="J466" s="7" t="s">
        <v>2966</v>
      </c>
      <c r="K466" s="7" t="s">
        <v>5103</v>
      </c>
      <c r="L466" s="7" t="s">
        <v>5104</v>
      </c>
      <c r="M466" s="7" t="s">
        <v>5105</v>
      </c>
      <c r="N466" s="7" t="s">
        <v>5106</v>
      </c>
      <c r="O466" s="7"/>
      <c r="P466" s="7"/>
      <c r="Q466" s="7" t="n">
        <v>22</v>
      </c>
    </row>
    <row r="467" customFormat="false" ht="73.5" hidden="false" customHeight="true" outlineLevel="0" collapsed="false">
      <c r="A467" s="7" t="n">
        <v>463</v>
      </c>
      <c r="B467" s="7" t="s">
        <v>31</v>
      </c>
      <c r="C467" s="7" t="s">
        <v>4003</v>
      </c>
      <c r="D467" s="7" t="s">
        <v>4010</v>
      </c>
      <c r="E467" s="7" t="s">
        <v>3998</v>
      </c>
      <c r="F467" s="7" t="n">
        <v>143</v>
      </c>
      <c r="G467" s="14" t="s">
        <v>18</v>
      </c>
      <c r="H467" s="14" t="s">
        <v>18</v>
      </c>
      <c r="I467" s="7"/>
      <c r="J467" s="7" t="s">
        <v>2972</v>
      </c>
      <c r="K467" s="7" t="s">
        <v>5107</v>
      </c>
      <c r="L467" s="7" t="s">
        <v>5108</v>
      </c>
      <c r="M467" s="7" t="s">
        <v>5109</v>
      </c>
      <c r="N467" s="7" t="s">
        <v>5110</v>
      </c>
      <c r="O467" s="7"/>
      <c r="P467" s="7"/>
      <c r="Q467" s="7" t="n">
        <v>23</v>
      </c>
    </row>
    <row r="468" customFormat="false" ht="73.5" hidden="false" customHeight="true" outlineLevel="0" collapsed="false">
      <c r="A468" s="7" t="n">
        <v>464</v>
      </c>
      <c r="B468" s="7" t="s">
        <v>31</v>
      </c>
      <c r="C468" s="7" t="s">
        <v>4003</v>
      </c>
      <c r="D468" s="7" t="s">
        <v>4010</v>
      </c>
      <c r="E468" s="7" t="s">
        <v>3998</v>
      </c>
      <c r="F468" s="7" t="n">
        <v>32</v>
      </c>
      <c r="G468" s="14" t="s">
        <v>18</v>
      </c>
      <c r="H468" s="14" t="s">
        <v>18</v>
      </c>
      <c r="I468" s="7"/>
      <c r="J468" s="7" t="s">
        <v>2978</v>
      </c>
      <c r="K468" s="7" t="s">
        <v>5111</v>
      </c>
      <c r="L468" s="7" t="s">
        <v>5112</v>
      </c>
      <c r="M468" s="7" t="s">
        <v>5113</v>
      </c>
      <c r="N468" s="7" t="s">
        <v>5114</v>
      </c>
      <c r="O468" s="7"/>
      <c r="P468" s="7"/>
      <c r="Q468" s="7" t="n">
        <v>6</v>
      </c>
    </row>
    <row r="469" customFormat="false" ht="73.5" hidden="false" customHeight="true" outlineLevel="0" collapsed="false">
      <c r="A469" s="7" t="n">
        <v>465</v>
      </c>
      <c r="B469" s="7" t="s">
        <v>23</v>
      </c>
      <c r="C469" s="7" t="s">
        <v>3217</v>
      </c>
      <c r="D469" s="7" t="s">
        <v>4038</v>
      </c>
      <c r="E469" s="7" t="s">
        <v>3998</v>
      </c>
      <c r="F469" s="7" t="n">
        <v>20</v>
      </c>
      <c r="G469" s="14" t="s">
        <v>18</v>
      </c>
      <c r="H469" s="14" t="s">
        <v>18</v>
      </c>
      <c r="I469" s="7"/>
      <c r="J469" s="7" t="s">
        <v>2984</v>
      </c>
      <c r="K469" s="7" t="s">
        <v>5115</v>
      </c>
      <c r="L469" s="7" t="s">
        <v>5116</v>
      </c>
      <c r="M469" s="7" t="s">
        <v>5117</v>
      </c>
      <c r="N469" s="7" t="s">
        <v>5118</v>
      </c>
      <c r="O469" s="7"/>
      <c r="P469" s="7"/>
      <c r="Q469" s="7" t="n">
        <v>8</v>
      </c>
    </row>
    <row r="470" customFormat="false" ht="73.5" hidden="false" customHeight="true" outlineLevel="0" collapsed="false">
      <c r="A470" s="7" t="n">
        <v>466</v>
      </c>
      <c r="B470" s="7" t="s">
        <v>27</v>
      </c>
      <c r="C470" s="7" t="s">
        <v>4129</v>
      </c>
      <c r="D470" s="7" t="s">
        <v>4130</v>
      </c>
      <c r="E470" s="7" t="s">
        <v>3998</v>
      </c>
      <c r="F470" s="7" t="n">
        <v>64</v>
      </c>
      <c r="G470" s="14" t="s">
        <v>18</v>
      </c>
      <c r="H470" s="14" t="s">
        <v>18</v>
      </c>
      <c r="I470" s="7"/>
      <c r="J470" s="7" t="s">
        <v>2990</v>
      </c>
      <c r="K470" s="7" t="s">
        <v>5119</v>
      </c>
      <c r="L470" s="7" t="s">
        <v>5120</v>
      </c>
      <c r="M470" s="7" t="s">
        <v>5121</v>
      </c>
      <c r="N470" s="7" t="s">
        <v>5122</v>
      </c>
      <c r="O470" s="7"/>
      <c r="P470" s="7"/>
      <c r="Q470" s="7" t="n">
        <v>17</v>
      </c>
    </row>
    <row r="471" customFormat="false" ht="73.5" hidden="false" customHeight="true" outlineLevel="0" collapsed="false">
      <c r="A471" s="7" t="n">
        <v>467</v>
      </c>
      <c r="B471" s="7" t="s">
        <v>17</v>
      </c>
      <c r="C471" s="7" t="s">
        <v>4058</v>
      </c>
      <c r="D471" s="7" t="s">
        <v>4084</v>
      </c>
      <c r="E471" s="7" t="s">
        <v>3998</v>
      </c>
      <c r="F471" s="7" t="n">
        <v>80</v>
      </c>
      <c r="G471" s="14" t="s">
        <v>18</v>
      </c>
      <c r="H471" s="14" t="s">
        <v>18</v>
      </c>
      <c r="I471" s="7"/>
      <c r="J471" s="7" t="s">
        <v>2996</v>
      </c>
      <c r="K471" s="7" t="s">
        <v>5123</v>
      </c>
      <c r="L471" s="7" t="s">
        <v>5124</v>
      </c>
      <c r="M471" s="7" t="s">
        <v>5125</v>
      </c>
      <c r="N471" s="7" t="s">
        <v>5126</v>
      </c>
      <c r="O471" s="7"/>
      <c r="P471" s="7"/>
      <c r="Q471" s="7" t="n">
        <v>29</v>
      </c>
    </row>
    <row r="472" customFormat="false" ht="73.5" hidden="false" customHeight="true" outlineLevel="0" collapsed="false">
      <c r="A472" s="7" t="n">
        <v>468</v>
      </c>
      <c r="B472" s="7" t="s">
        <v>17</v>
      </c>
      <c r="C472" s="7" t="s">
        <v>4044</v>
      </c>
      <c r="D472" s="7" t="s">
        <v>4045</v>
      </c>
      <c r="E472" s="7" t="s">
        <v>4005</v>
      </c>
      <c r="F472" s="7" t="n">
        <v>109</v>
      </c>
      <c r="G472" s="15" t="s">
        <v>20</v>
      </c>
      <c r="H472" s="15" t="s">
        <v>28</v>
      </c>
      <c r="I472" s="7"/>
      <c r="J472" s="7" t="s">
        <v>3002</v>
      </c>
      <c r="K472" s="7" t="s">
        <v>5127</v>
      </c>
      <c r="L472" s="7" t="s">
        <v>5128</v>
      </c>
      <c r="M472" s="7" t="s">
        <v>5129</v>
      </c>
      <c r="N472" s="7" t="s">
        <v>5130</v>
      </c>
      <c r="O472" s="7"/>
      <c r="P472" s="7"/>
      <c r="Q472" s="7" t="n">
        <v>21</v>
      </c>
    </row>
    <row r="473" customFormat="false" ht="73.5" hidden="false" customHeight="true" outlineLevel="0" collapsed="false">
      <c r="A473" s="7" t="n">
        <v>469</v>
      </c>
      <c r="B473" s="7" t="s">
        <v>17</v>
      </c>
      <c r="C473" s="7" t="s">
        <v>4058</v>
      </c>
      <c r="D473" s="7" t="s">
        <v>4084</v>
      </c>
      <c r="E473" s="7" t="s">
        <v>4005</v>
      </c>
      <c r="F473" s="7" t="n">
        <v>103</v>
      </c>
      <c r="G473" s="15" t="s">
        <v>20</v>
      </c>
      <c r="H473" s="15" t="s">
        <v>28</v>
      </c>
      <c r="I473" s="7"/>
      <c r="J473" s="7" t="s">
        <v>3008</v>
      </c>
      <c r="K473" s="7" t="s">
        <v>5131</v>
      </c>
      <c r="L473" s="7" t="s">
        <v>5132</v>
      </c>
      <c r="M473" s="7" t="s">
        <v>5133</v>
      </c>
      <c r="N473" s="7" t="s">
        <v>5134</v>
      </c>
      <c r="O473" s="7"/>
      <c r="P473" s="7"/>
      <c r="Q473" s="7" t="n">
        <v>37</v>
      </c>
    </row>
    <row r="474" customFormat="false" ht="73.5" hidden="false" customHeight="true" outlineLevel="0" collapsed="false">
      <c r="A474" s="7" t="n">
        <v>470</v>
      </c>
      <c r="B474" s="7" t="s">
        <v>17</v>
      </c>
      <c r="C474" s="7" t="s">
        <v>4058</v>
      </c>
      <c r="D474" s="7" t="s">
        <v>4084</v>
      </c>
      <c r="E474" s="7" t="s">
        <v>4005</v>
      </c>
      <c r="F474" s="7" t="n">
        <v>108</v>
      </c>
      <c r="G474" s="15" t="s">
        <v>20</v>
      </c>
      <c r="H474" s="15" t="s">
        <v>28</v>
      </c>
      <c r="I474" s="7"/>
      <c r="J474" s="7" t="s">
        <v>3014</v>
      </c>
      <c r="K474" s="7" t="s">
        <v>5135</v>
      </c>
      <c r="L474" s="7" t="s">
        <v>5136</v>
      </c>
      <c r="M474" s="7" t="s">
        <v>5137</v>
      </c>
      <c r="N474" s="7" t="s">
        <v>5138</v>
      </c>
      <c r="O474" s="7"/>
      <c r="P474" s="7"/>
      <c r="Q474" s="7" t="n">
        <v>39</v>
      </c>
    </row>
    <row r="475" customFormat="false" ht="73.5" hidden="false" customHeight="true" outlineLevel="0" collapsed="false">
      <c r="A475" s="7" t="n">
        <v>471</v>
      </c>
      <c r="B475" s="7" t="s">
        <v>22</v>
      </c>
      <c r="C475" s="7" t="s">
        <v>3996</v>
      </c>
      <c r="D475" s="7" t="s">
        <v>3997</v>
      </c>
      <c r="E475" s="7" t="s">
        <v>3998</v>
      </c>
      <c r="F475" s="7" t="n">
        <v>37</v>
      </c>
      <c r="G475" s="14" t="s">
        <v>18</v>
      </c>
      <c r="H475" s="14" t="s">
        <v>18</v>
      </c>
      <c r="I475" s="7"/>
      <c r="J475" s="7" t="s">
        <v>3020</v>
      </c>
      <c r="K475" s="7" t="s">
        <v>5139</v>
      </c>
      <c r="L475" s="7" t="s">
        <v>5140</v>
      </c>
      <c r="M475" s="7" t="s">
        <v>5141</v>
      </c>
      <c r="N475" s="7" t="s">
        <v>5142</v>
      </c>
      <c r="O475" s="7"/>
      <c r="P475" s="7"/>
      <c r="Q475" s="7" t="n">
        <v>8</v>
      </c>
    </row>
    <row r="476" customFormat="false" ht="73.5" hidden="false" customHeight="true" outlineLevel="0" collapsed="false">
      <c r="A476" s="7" t="n">
        <v>472</v>
      </c>
      <c r="B476" s="7" t="s">
        <v>25</v>
      </c>
      <c r="C476" s="7" t="s">
        <v>4003</v>
      </c>
      <c r="D476" s="7" t="s">
        <v>4224</v>
      </c>
      <c r="E476" s="7" t="s">
        <v>4005</v>
      </c>
      <c r="F476" s="7" t="n">
        <v>103</v>
      </c>
      <c r="G476" s="15" t="s">
        <v>20</v>
      </c>
      <c r="H476" s="15" t="s">
        <v>28</v>
      </c>
      <c r="I476" s="7"/>
      <c r="J476" s="7" t="s">
        <v>3026</v>
      </c>
      <c r="K476" s="7" t="s">
        <v>5143</v>
      </c>
      <c r="L476" s="7" t="s">
        <v>5144</v>
      </c>
      <c r="M476" s="7" t="s">
        <v>5145</v>
      </c>
      <c r="N476" s="7" t="s">
        <v>5146</v>
      </c>
      <c r="O476" s="7"/>
      <c r="P476" s="7"/>
      <c r="Q476" s="7" t="n">
        <v>20</v>
      </c>
    </row>
    <row r="477" customFormat="false" ht="186.75" hidden="false" customHeight="true" outlineLevel="0" collapsed="false">
      <c r="A477" s="7" t="n">
        <v>473</v>
      </c>
      <c r="B477" s="7" t="s">
        <v>15</v>
      </c>
      <c r="C477" s="7" t="s">
        <v>3217</v>
      </c>
      <c r="D477" s="7" t="s">
        <v>4143</v>
      </c>
      <c r="E477" s="7" t="s">
        <v>4031</v>
      </c>
      <c r="F477" s="7" t="n">
        <v>102</v>
      </c>
      <c r="G477" s="15" t="s">
        <v>20</v>
      </c>
      <c r="H477" s="15" t="s">
        <v>32</v>
      </c>
      <c r="I477" s="7" t="s">
        <v>4311</v>
      </c>
      <c r="J477" s="7" t="s">
        <v>3032</v>
      </c>
      <c r="K477" s="7" t="s">
        <v>5147</v>
      </c>
      <c r="L477" s="7" t="s">
        <v>5148</v>
      </c>
      <c r="M477" s="7" t="s">
        <v>5149</v>
      </c>
      <c r="N477" s="7" t="s">
        <v>5150</v>
      </c>
      <c r="O477" s="7" t="s">
        <v>4316</v>
      </c>
      <c r="P477" s="7"/>
      <c r="Q477" s="7" t="n">
        <v>27</v>
      </c>
    </row>
    <row r="478" customFormat="false" ht="73.5" hidden="false" customHeight="true" outlineLevel="0" collapsed="false">
      <c r="A478" s="7" t="n">
        <v>474</v>
      </c>
      <c r="B478" s="7" t="s">
        <v>27</v>
      </c>
      <c r="C478" s="7" t="s">
        <v>3996</v>
      </c>
      <c r="D478" s="7" t="s">
        <v>4070</v>
      </c>
      <c r="E478" s="7" t="s">
        <v>4071</v>
      </c>
      <c r="F478" s="7" t="n">
        <v>105</v>
      </c>
      <c r="G478" s="15" t="s">
        <v>20</v>
      </c>
      <c r="H478" s="15" t="s">
        <v>28</v>
      </c>
      <c r="I478" s="7"/>
      <c r="J478" s="7" t="s">
        <v>3038</v>
      </c>
      <c r="K478" s="7" t="s">
        <v>5151</v>
      </c>
      <c r="L478" s="7" t="s">
        <v>5152</v>
      </c>
      <c r="M478" s="7" t="s">
        <v>4248</v>
      </c>
      <c r="N478" s="7" t="s">
        <v>5153</v>
      </c>
      <c r="O478" s="7"/>
      <c r="P478" s="7"/>
      <c r="Q478" s="7" t="n">
        <v>38</v>
      </c>
    </row>
    <row r="479" customFormat="false" ht="73.5" hidden="false" customHeight="true" outlineLevel="0" collapsed="false">
      <c r="A479" s="7" t="n">
        <v>475</v>
      </c>
      <c r="B479" s="7" t="s">
        <v>19</v>
      </c>
      <c r="C479" s="7" t="s">
        <v>4003</v>
      </c>
      <c r="D479" s="7" t="s">
        <v>4004</v>
      </c>
      <c r="E479" s="7" t="s">
        <v>4005</v>
      </c>
      <c r="F479" s="7" t="n">
        <v>161</v>
      </c>
      <c r="G479" s="15" t="s">
        <v>20</v>
      </c>
      <c r="H479" s="15" t="s">
        <v>28</v>
      </c>
      <c r="I479" s="7"/>
      <c r="J479" s="7" t="s">
        <v>3043</v>
      </c>
      <c r="K479" s="7" t="s">
        <v>5154</v>
      </c>
      <c r="L479" s="7" t="s">
        <v>5155</v>
      </c>
      <c r="M479" s="7" t="s">
        <v>5156</v>
      </c>
      <c r="N479" s="7" t="s">
        <v>5157</v>
      </c>
      <c r="O479" s="7"/>
      <c r="P479" s="7"/>
      <c r="Q479" s="7" t="n">
        <v>36</v>
      </c>
    </row>
    <row r="480" customFormat="false" ht="73.5" hidden="false" customHeight="true" outlineLevel="0" collapsed="false">
      <c r="A480" s="7" t="n">
        <v>476</v>
      </c>
      <c r="B480" s="7" t="s">
        <v>31</v>
      </c>
      <c r="C480" s="7" t="s">
        <v>4003</v>
      </c>
      <c r="D480" s="7" t="s">
        <v>4010</v>
      </c>
      <c r="E480" s="7" t="s">
        <v>3998</v>
      </c>
      <c r="F480" s="7" t="n">
        <v>66</v>
      </c>
      <c r="G480" s="14" t="s">
        <v>18</v>
      </c>
      <c r="H480" s="14" t="s">
        <v>18</v>
      </c>
      <c r="I480" s="7"/>
      <c r="J480" s="7" t="s">
        <v>3049</v>
      </c>
      <c r="K480" s="7" t="s">
        <v>5158</v>
      </c>
      <c r="L480" s="7" t="s">
        <v>5159</v>
      </c>
      <c r="M480" s="7" t="s">
        <v>5160</v>
      </c>
      <c r="N480" s="7" t="s">
        <v>5161</v>
      </c>
      <c r="O480" s="7"/>
      <c r="P480" s="7"/>
      <c r="Q480" s="7" t="n">
        <v>12</v>
      </c>
    </row>
    <row r="481" customFormat="false" ht="73.5" hidden="false" customHeight="true" outlineLevel="0" collapsed="false">
      <c r="A481" s="7" t="n">
        <v>477</v>
      </c>
      <c r="B481" s="7" t="s">
        <v>17</v>
      </c>
      <c r="C481" s="7" t="s">
        <v>4044</v>
      </c>
      <c r="D481" s="7" t="s">
        <v>4045</v>
      </c>
      <c r="E481" s="7" t="s">
        <v>3998</v>
      </c>
      <c r="F481" s="7" t="n">
        <v>87</v>
      </c>
      <c r="G481" s="14" t="s">
        <v>18</v>
      </c>
      <c r="H481" s="14" t="s">
        <v>18</v>
      </c>
      <c r="I481" s="7"/>
      <c r="J481" s="7" t="s">
        <v>3055</v>
      </c>
      <c r="K481" s="7" t="s">
        <v>5162</v>
      </c>
      <c r="L481" s="7" t="s">
        <v>5163</v>
      </c>
      <c r="M481" s="7" t="s">
        <v>5164</v>
      </c>
      <c r="N481" s="7" t="s">
        <v>5165</v>
      </c>
      <c r="O481" s="7"/>
      <c r="P481" s="7"/>
      <c r="Q481" s="7" t="n">
        <v>17</v>
      </c>
    </row>
    <row r="482" customFormat="false" ht="73.5" hidden="false" customHeight="true" outlineLevel="0" collapsed="false">
      <c r="A482" s="7" t="n">
        <v>478</v>
      </c>
      <c r="B482" s="7" t="s">
        <v>27</v>
      </c>
      <c r="C482" s="7" t="s">
        <v>3996</v>
      </c>
      <c r="D482" s="7" t="s">
        <v>4070</v>
      </c>
      <c r="E482" s="7" t="s">
        <v>4071</v>
      </c>
      <c r="F482" s="7" t="n">
        <v>102</v>
      </c>
      <c r="G482" s="15" t="s">
        <v>20</v>
      </c>
      <c r="H482" s="15" t="s">
        <v>28</v>
      </c>
      <c r="I482" s="7"/>
      <c r="J482" s="7" t="s">
        <v>3061</v>
      </c>
      <c r="K482" s="7" t="s">
        <v>5166</v>
      </c>
      <c r="L482" s="7" t="s">
        <v>5167</v>
      </c>
      <c r="M482" s="7" t="s">
        <v>5168</v>
      </c>
      <c r="N482" s="7" t="s">
        <v>5169</v>
      </c>
      <c r="O482" s="7"/>
      <c r="P482" s="7"/>
      <c r="Q482" s="7" t="n">
        <v>37</v>
      </c>
    </row>
    <row r="483" customFormat="false" ht="73.5" hidden="false" customHeight="true" outlineLevel="0" collapsed="false">
      <c r="A483" s="7" t="n">
        <v>479</v>
      </c>
      <c r="B483" s="7" t="s">
        <v>21</v>
      </c>
      <c r="C483" s="7" t="s">
        <v>4058</v>
      </c>
      <c r="D483" s="7" t="s">
        <v>4059</v>
      </c>
      <c r="E483" s="7" t="s">
        <v>3998</v>
      </c>
      <c r="F483" s="7" t="n">
        <v>88</v>
      </c>
      <c r="G483" s="14" t="s">
        <v>18</v>
      </c>
      <c r="H483" s="14" t="s">
        <v>18</v>
      </c>
      <c r="I483" s="7"/>
      <c r="J483" s="7" t="s">
        <v>3067</v>
      </c>
      <c r="K483" s="7" t="s">
        <v>5170</v>
      </c>
      <c r="L483" s="7" t="s">
        <v>5171</v>
      </c>
      <c r="M483" s="7" t="s">
        <v>5172</v>
      </c>
      <c r="N483" s="7" t="s">
        <v>5173</v>
      </c>
      <c r="O483" s="7"/>
      <c r="P483" s="7"/>
      <c r="Q483" s="7" t="n">
        <v>16</v>
      </c>
    </row>
    <row r="484" customFormat="false" ht="73.5" hidden="false" customHeight="true" outlineLevel="0" collapsed="false">
      <c r="A484" s="7" t="n">
        <v>480</v>
      </c>
      <c r="B484" s="7" t="s">
        <v>19</v>
      </c>
      <c r="C484" s="7" t="s">
        <v>4003</v>
      </c>
      <c r="D484" s="7" t="s">
        <v>4004</v>
      </c>
      <c r="E484" s="7" t="s">
        <v>3998</v>
      </c>
      <c r="F484" s="7" t="n">
        <v>66</v>
      </c>
      <c r="G484" s="14" t="s">
        <v>18</v>
      </c>
      <c r="H484" s="14" t="s">
        <v>18</v>
      </c>
      <c r="I484" s="7"/>
      <c r="J484" s="7" t="s">
        <v>3073</v>
      </c>
      <c r="K484" s="7" t="s">
        <v>5174</v>
      </c>
      <c r="L484" s="7" t="s">
        <v>5175</v>
      </c>
      <c r="M484" s="7" t="s">
        <v>5176</v>
      </c>
      <c r="N484" s="7" t="s">
        <v>5177</v>
      </c>
      <c r="O484" s="7"/>
      <c r="P484" s="7"/>
      <c r="Q484" s="7" t="n">
        <v>15</v>
      </c>
    </row>
    <row r="485" customFormat="false" ht="73.5" hidden="false" customHeight="true" outlineLevel="0" collapsed="false">
      <c r="A485" s="7" t="n">
        <v>481</v>
      </c>
      <c r="B485" s="7" t="s">
        <v>25</v>
      </c>
      <c r="C485" s="7" t="s">
        <v>4019</v>
      </c>
      <c r="D485" s="7" t="s">
        <v>4020</v>
      </c>
      <c r="E485" s="7" t="s">
        <v>4005</v>
      </c>
      <c r="F485" s="7" t="n">
        <v>101</v>
      </c>
      <c r="G485" s="15" t="s">
        <v>20</v>
      </c>
      <c r="H485" s="15" t="s">
        <v>28</v>
      </c>
      <c r="I485" s="7"/>
      <c r="J485" s="7" t="s">
        <v>3079</v>
      </c>
      <c r="K485" s="7" t="s">
        <v>5178</v>
      </c>
      <c r="L485" s="7" t="s">
        <v>5179</v>
      </c>
      <c r="M485" s="7" t="s">
        <v>5180</v>
      </c>
      <c r="N485" s="7" t="s">
        <v>5181</v>
      </c>
      <c r="O485" s="7"/>
      <c r="P485" s="7"/>
      <c r="Q485" s="7" t="n">
        <v>24</v>
      </c>
    </row>
    <row r="486" customFormat="false" ht="73.5" hidden="false" customHeight="true" outlineLevel="0" collapsed="false">
      <c r="A486" s="7" t="n">
        <v>482</v>
      </c>
      <c r="B486" s="7" t="s">
        <v>23</v>
      </c>
      <c r="C486" s="7" t="s">
        <v>3217</v>
      </c>
      <c r="D486" s="7" t="s">
        <v>4038</v>
      </c>
      <c r="E486" s="7" t="s">
        <v>4039</v>
      </c>
      <c r="F486" s="7" t="n">
        <v>51</v>
      </c>
      <c r="G486" s="14" t="s">
        <v>18</v>
      </c>
      <c r="H486" s="14" t="s">
        <v>18</v>
      </c>
      <c r="I486" s="7"/>
      <c r="J486" s="7" t="s">
        <v>3085</v>
      </c>
      <c r="K486" s="7" t="s">
        <v>5182</v>
      </c>
      <c r="L486" s="7" t="s">
        <v>5183</v>
      </c>
      <c r="M486" s="7" t="s">
        <v>5184</v>
      </c>
      <c r="N486" s="7" t="s">
        <v>5185</v>
      </c>
      <c r="O486" s="7"/>
      <c r="P486" s="7"/>
      <c r="Q486" s="7" t="n">
        <v>17</v>
      </c>
    </row>
    <row r="487" customFormat="false" ht="73.5" hidden="false" customHeight="true" outlineLevel="0" collapsed="false">
      <c r="A487" s="7" t="n">
        <v>483</v>
      </c>
      <c r="B487" s="7" t="s">
        <v>21</v>
      </c>
      <c r="C487" s="7" t="s">
        <v>4058</v>
      </c>
      <c r="D487" s="7" t="s">
        <v>4059</v>
      </c>
      <c r="E487" s="7" t="s">
        <v>3998</v>
      </c>
      <c r="F487" s="7" t="n">
        <v>96</v>
      </c>
      <c r="G487" s="14" t="s">
        <v>18</v>
      </c>
      <c r="H487" s="14" t="s">
        <v>18</v>
      </c>
      <c r="I487" s="7"/>
      <c r="J487" s="7" t="s">
        <v>3091</v>
      </c>
      <c r="K487" s="7" t="s">
        <v>5186</v>
      </c>
      <c r="L487" s="7" t="s">
        <v>5187</v>
      </c>
      <c r="M487" s="7" t="s">
        <v>5188</v>
      </c>
      <c r="N487" s="7" t="s">
        <v>5189</v>
      </c>
      <c r="O487" s="7"/>
      <c r="P487" s="7"/>
      <c r="Q487" s="7" t="n">
        <v>17</v>
      </c>
    </row>
    <row r="488" customFormat="false" ht="73.5" hidden="false" customHeight="true" outlineLevel="0" collapsed="false">
      <c r="A488" s="7" t="n">
        <v>484</v>
      </c>
      <c r="B488" s="7" t="s">
        <v>15</v>
      </c>
      <c r="C488" s="7" t="s">
        <v>3217</v>
      </c>
      <c r="D488" s="7" t="s">
        <v>4143</v>
      </c>
      <c r="E488" s="7" t="s">
        <v>4031</v>
      </c>
      <c r="F488" s="7" t="n">
        <v>150</v>
      </c>
      <c r="G488" s="15" t="s">
        <v>20</v>
      </c>
      <c r="H488" s="15" t="s">
        <v>32</v>
      </c>
      <c r="I488" s="7" t="s">
        <v>5190</v>
      </c>
      <c r="J488" s="7" t="s">
        <v>3098</v>
      </c>
      <c r="K488" s="7" t="s">
        <v>5191</v>
      </c>
      <c r="L488" s="7" t="s">
        <v>5192</v>
      </c>
      <c r="M488" s="7" t="s">
        <v>5193</v>
      </c>
      <c r="N488" s="7" t="s">
        <v>5194</v>
      </c>
      <c r="O488" s="7" t="s">
        <v>5195</v>
      </c>
      <c r="P488" s="7"/>
      <c r="Q488" s="7" t="n">
        <v>42</v>
      </c>
    </row>
    <row r="489" customFormat="false" ht="73.5" hidden="false" customHeight="true" outlineLevel="0" collapsed="false">
      <c r="A489" s="7" t="n">
        <v>485</v>
      </c>
      <c r="B489" s="7" t="s">
        <v>21</v>
      </c>
      <c r="C489" s="7" t="s">
        <v>4058</v>
      </c>
      <c r="D489" s="7" t="s">
        <v>4059</v>
      </c>
      <c r="E489" s="7" t="s">
        <v>3998</v>
      </c>
      <c r="F489" s="7" t="n">
        <v>5</v>
      </c>
      <c r="G489" s="14" t="s">
        <v>18</v>
      </c>
      <c r="H489" s="14" t="s">
        <v>18</v>
      </c>
      <c r="I489" s="7"/>
      <c r="J489" s="7" t="s">
        <v>3105</v>
      </c>
      <c r="K489" s="7" t="s">
        <v>5196</v>
      </c>
      <c r="L489" s="7" t="s">
        <v>5197</v>
      </c>
      <c r="M489" s="7" t="s">
        <v>5198</v>
      </c>
      <c r="N489" s="7" t="s">
        <v>5199</v>
      </c>
      <c r="O489" s="7"/>
      <c r="P489" s="7"/>
      <c r="Q489" s="7" t="n">
        <v>2</v>
      </c>
    </row>
    <row r="490" customFormat="false" ht="73.5" hidden="false" customHeight="true" outlineLevel="0" collapsed="false">
      <c r="A490" s="7" t="n">
        <v>486</v>
      </c>
      <c r="B490" s="7" t="s">
        <v>25</v>
      </c>
      <c r="C490" s="7" t="s">
        <v>4019</v>
      </c>
      <c r="D490" s="7" t="s">
        <v>4020</v>
      </c>
      <c r="E490" s="7" t="s">
        <v>4005</v>
      </c>
      <c r="F490" s="7" t="n">
        <v>104</v>
      </c>
      <c r="G490" s="15" t="s">
        <v>20</v>
      </c>
      <c r="H490" s="15" t="s">
        <v>28</v>
      </c>
      <c r="I490" s="7"/>
      <c r="J490" s="7" t="s">
        <v>3111</v>
      </c>
      <c r="K490" s="7" t="s">
        <v>5200</v>
      </c>
      <c r="L490" s="7" t="s">
        <v>5201</v>
      </c>
      <c r="M490" s="7" t="s">
        <v>5202</v>
      </c>
      <c r="N490" s="7" t="s">
        <v>5203</v>
      </c>
      <c r="O490" s="7"/>
      <c r="P490" s="7"/>
      <c r="Q490" s="7" t="n">
        <v>24</v>
      </c>
    </row>
    <row r="491" customFormat="false" ht="73.5" hidden="false" customHeight="true" outlineLevel="0" collapsed="false">
      <c r="A491" s="7" t="n">
        <v>487</v>
      </c>
      <c r="B491" s="7" t="s">
        <v>17</v>
      </c>
      <c r="C491" s="7" t="s">
        <v>4058</v>
      </c>
      <c r="D491" s="7" t="s">
        <v>4084</v>
      </c>
      <c r="E491" s="7" t="s">
        <v>4005</v>
      </c>
      <c r="F491" s="7" t="n">
        <v>110</v>
      </c>
      <c r="G491" s="15" t="s">
        <v>20</v>
      </c>
      <c r="H491" s="15" t="s">
        <v>28</v>
      </c>
      <c r="I491" s="7"/>
      <c r="J491" s="7" t="s">
        <v>3117</v>
      </c>
      <c r="K491" s="7" t="s">
        <v>5204</v>
      </c>
      <c r="L491" s="7" t="s">
        <v>5205</v>
      </c>
      <c r="M491" s="7" t="s">
        <v>5206</v>
      </c>
      <c r="N491" s="7" t="s">
        <v>5207</v>
      </c>
      <c r="O491" s="7"/>
      <c r="P491" s="7"/>
      <c r="Q491" s="7" t="n">
        <v>39</v>
      </c>
    </row>
    <row r="492" customFormat="false" ht="73.5" hidden="false" customHeight="true" outlineLevel="0" collapsed="false">
      <c r="A492" s="7" t="n">
        <v>488</v>
      </c>
      <c r="B492" s="7" t="s">
        <v>22</v>
      </c>
      <c r="C492" s="7" t="s">
        <v>3996</v>
      </c>
      <c r="D492" s="7" t="s">
        <v>3997</v>
      </c>
      <c r="E492" s="7" t="s">
        <v>3998</v>
      </c>
      <c r="F492" s="7" t="n">
        <v>72</v>
      </c>
      <c r="G492" s="14" t="s">
        <v>18</v>
      </c>
      <c r="H492" s="14" t="s">
        <v>18</v>
      </c>
      <c r="I492" s="7"/>
      <c r="J492" s="7" t="s">
        <v>3123</v>
      </c>
      <c r="K492" s="7" t="s">
        <v>5208</v>
      </c>
      <c r="L492" s="7" t="s">
        <v>5209</v>
      </c>
      <c r="M492" s="7" t="s">
        <v>5210</v>
      </c>
      <c r="N492" s="7" t="s">
        <v>5211</v>
      </c>
      <c r="O492" s="7"/>
      <c r="P492" s="7"/>
      <c r="Q492" s="7" t="n">
        <v>14</v>
      </c>
    </row>
    <row r="493" customFormat="false" ht="73.5" hidden="false" customHeight="true" outlineLevel="0" collapsed="false">
      <c r="A493" s="7" t="n">
        <v>489</v>
      </c>
      <c r="B493" s="7" t="s">
        <v>17</v>
      </c>
      <c r="C493" s="7" t="s">
        <v>4058</v>
      </c>
      <c r="D493" s="7" t="s">
        <v>4084</v>
      </c>
      <c r="E493" s="7" t="s">
        <v>4005</v>
      </c>
      <c r="F493" s="7" t="n">
        <v>101</v>
      </c>
      <c r="G493" s="15" t="s">
        <v>20</v>
      </c>
      <c r="H493" s="15" t="s">
        <v>28</v>
      </c>
      <c r="I493" s="7"/>
      <c r="J493" s="7" t="s">
        <v>3129</v>
      </c>
      <c r="K493" s="7" t="s">
        <v>5212</v>
      </c>
      <c r="L493" s="7" t="s">
        <v>5213</v>
      </c>
      <c r="M493" s="7" t="s">
        <v>5214</v>
      </c>
      <c r="N493" s="7" t="s">
        <v>5215</v>
      </c>
      <c r="O493" s="7"/>
      <c r="P493" s="7"/>
      <c r="Q493" s="7" t="n">
        <v>35</v>
      </c>
    </row>
    <row r="494" customFormat="false" ht="73.5" hidden="false" customHeight="true" outlineLevel="0" collapsed="false">
      <c r="A494" s="7" t="n">
        <v>490</v>
      </c>
      <c r="B494" s="7" t="s">
        <v>17</v>
      </c>
      <c r="C494" s="7" t="s">
        <v>4044</v>
      </c>
      <c r="D494" s="7" t="s">
        <v>4045</v>
      </c>
      <c r="E494" s="7" t="s">
        <v>3998</v>
      </c>
      <c r="F494" s="7" t="n">
        <v>90</v>
      </c>
      <c r="G494" s="14" t="s">
        <v>18</v>
      </c>
      <c r="H494" s="14" t="s">
        <v>18</v>
      </c>
      <c r="I494" s="7"/>
      <c r="J494" s="7" t="s">
        <v>3135</v>
      </c>
      <c r="K494" s="7" t="s">
        <v>5216</v>
      </c>
      <c r="L494" s="7" t="s">
        <v>5217</v>
      </c>
      <c r="M494" s="7" t="s">
        <v>5218</v>
      </c>
      <c r="N494" s="7" t="s">
        <v>5219</v>
      </c>
      <c r="O494" s="7"/>
      <c r="P494" s="7"/>
      <c r="Q494" s="7" t="n">
        <v>18</v>
      </c>
    </row>
    <row r="495" customFormat="false" ht="73.5" hidden="false" customHeight="true" outlineLevel="0" collapsed="false">
      <c r="A495" s="7" t="n">
        <v>491</v>
      </c>
      <c r="B495" s="7" t="s">
        <v>29</v>
      </c>
      <c r="C495" s="7" t="s">
        <v>3217</v>
      </c>
      <c r="D495" s="7" t="s">
        <v>3898</v>
      </c>
      <c r="E495" s="7" t="s">
        <v>4025</v>
      </c>
      <c r="F495" s="7" t="n">
        <v>45</v>
      </c>
      <c r="G495" s="15" t="s">
        <v>20</v>
      </c>
      <c r="H495" s="15" t="s">
        <v>33</v>
      </c>
      <c r="I495" s="7"/>
      <c r="J495" s="7" t="s">
        <v>3141</v>
      </c>
      <c r="K495" s="7" t="s">
        <v>5220</v>
      </c>
      <c r="L495" s="7" t="s">
        <v>5221</v>
      </c>
      <c r="M495" s="7" t="s">
        <v>5222</v>
      </c>
      <c r="N495" s="7" t="s">
        <v>5223</v>
      </c>
      <c r="O495" s="7"/>
      <c r="P495" s="7"/>
      <c r="Q495" s="7" t="n">
        <v>10</v>
      </c>
    </row>
    <row r="496" customFormat="false" ht="73.5" hidden="false" customHeight="true" outlineLevel="0" collapsed="false">
      <c r="A496" s="7" t="n">
        <v>492</v>
      </c>
      <c r="B496" s="7" t="s">
        <v>23</v>
      </c>
      <c r="C496" s="7" t="s">
        <v>3217</v>
      </c>
      <c r="D496" s="7" t="s">
        <v>4038</v>
      </c>
      <c r="E496" s="7" t="s">
        <v>3998</v>
      </c>
      <c r="F496" s="7" t="n">
        <v>21</v>
      </c>
      <c r="G496" s="14" t="s">
        <v>18</v>
      </c>
      <c r="H496" s="14" t="s">
        <v>18</v>
      </c>
      <c r="I496" s="7"/>
      <c r="J496" s="7" t="s">
        <v>3147</v>
      </c>
      <c r="K496" s="7" t="s">
        <v>5224</v>
      </c>
      <c r="L496" s="7" t="s">
        <v>5225</v>
      </c>
      <c r="M496" s="7" t="s">
        <v>5226</v>
      </c>
      <c r="N496" s="7" t="s">
        <v>5227</v>
      </c>
      <c r="O496" s="7"/>
      <c r="P496" s="7"/>
      <c r="Q496" s="7" t="n">
        <v>8</v>
      </c>
    </row>
    <row r="497" customFormat="false" ht="73.5" hidden="false" customHeight="true" outlineLevel="0" collapsed="false">
      <c r="A497" s="7" t="n">
        <v>493</v>
      </c>
      <c r="B497" s="7" t="s">
        <v>17</v>
      </c>
      <c r="C497" s="7" t="s">
        <v>4044</v>
      </c>
      <c r="D497" s="7" t="s">
        <v>4045</v>
      </c>
      <c r="E497" s="7" t="s">
        <v>4005</v>
      </c>
      <c r="F497" s="7" t="n">
        <v>110</v>
      </c>
      <c r="G497" s="15" t="s">
        <v>20</v>
      </c>
      <c r="H497" s="15" t="s">
        <v>28</v>
      </c>
      <c r="I497" s="7"/>
      <c r="J497" s="7" t="s">
        <v>3153</v>
      </c>
      <c r="K497" s="7" t="s">
        <v>5228</v>
      </c>
      <c r="L497" s="7" t="s">
        <v>5229</v>
      </c>
      <c r="M497" s="7" t="s">
        <v>5230</v>
      </c>
      <c r="N497" s="7" t="s">
        <v>5231</v>
      </c>
      <c r="O497" s="7"/>
      <c r="P497" s="7"/>
      <c r="Q497" s="7" t="n">
        <v>21</v>
      </c>
    </row>
    <row r="498" customFormat="false" ht="96" hidden="false" customHeight="true" outlineLevel="0" collapsed="false">
      <c r="A498" s="7" t="n">
        <v>494</v>
      </c>
      <c r="B498" s="7" t="s">
        <v>15</v>
      </c>
      <c r="C498" s="7" t="s">
        <v>3996</v>
      </c>
      <c r="D498" s="7" t="s">
        <v>4030</v>
      </c>
      <c r="E498" s="7" t="s">
        <v>4031</v>
      </c>
      <c r="F498" s="7" t="n">
        <v>144</v>
      </c>
      <c r="G498" s="15" t="s">
        <v>20</v>
      </c>
      <c r="H498" s="15" t="s">
        <v>32</v>
      </c>
      <c r="I498" s="7" t="s">
        <v>5232</v>
      </c>
      <c r="J498" s="7" t="s">
        <v>3160</v>
      </c>
      <c r="K498" s="7" t="s">
        <v>5233</v>
      </c>
      <c r="L498" s="7" t="s">
        <v>5234</v>
      </c>
      <c r="M498" s="7" t="s">
        <v>5235</v>
      </c>
      <c r="N498" s="7" t="s">
        <v>5236</v>
      </c>
      <c r="O498" s="7" t="s">
        <v>5237</v>
      </c>
      <c r="P498" s="7"/>
      <c r="Q498" s="7" t="n">
        <v>39</v>
      </c>
    </row>
    <row r="499" customFormat="false" ht="73.5" hidden="false" customHeight="true" outlineLevel="0" collapsed="false">
      <c r="A499" s="7" t="n">
        <v>495</v>
      </c>
      <c r="B499" s="7" t="s">
        <v>27</v>
      </c>
      <c r="C499" s="7" t="s">
        <v>4129</v>
      </c>
      <c r="D499" s="7" t="s">
        <v>4130</v>
      </c>
      <c r="E499" s="7" t="s">
        <v>3998</v>
      </c>
      <c r="F499" s="7" t="n">
        <v>60</v>
      </c>
      <c r="G499" s="14" t="s">
        <v>18</v>
      </c>
      <c r="H499" s="14" t="s">
        <v>18</v>
      </c>
      <c r="I499" s="7"/>
      <c r="J499" s="7" t="s">
        <v>3167</v>
      </c>
      <c r="K499" s="7" t="s">
        <v>5238</v>
      </c>
      <c r="L499" s="7" t="s">
        <v>5239</v>
      </c>
      <c r="M499" s="7" t="s">
        <v>5240</v>
      </c>
      <c r="N499" s="7" t="s">
        <v>5241</v>
      </c>
      <c r="O499" s="7"/>
      <c r="P499" s="7"/>
      <c r="Q499" s="7" t="n">
        <v>16</v>
      </c>
    </row>
    <row r="500" customFormat="false" ht="73.5" hidden="false" customHeight="true" outlineLevel="0" collapsed="false">
      <c r="A500" s="7" t="n">
        <v>496</v>
      </c>
      <c r="B500" s="7" t="s">
        <v>23</v>
      </c>
      <c r="C500" s="7" t="s">
        <v>3217</v>
      </c>
      <c r="D500" s="7" t="s">
        <v>4038</v>
      </c>
      <c r="E500" s="7" t="s">
        <v>3998</v>
      </c>
      <c r="F500" s="7" t="n">
        <v>22</v>
      </c>
      <c r="G500" s="14" t="s">
        <v>18</v>
      </c>
      <c r="H500" s="14" t="s">
        <v>18</v>
      </c>
      <c r="I500" s="7"/>
      <c r="J500" s="7" t="s">
        <v>3173</v>
      </c>
      <c r="K500" s="7" t="s">
        <v>5242</v>
      </c>
      <c r="L500" s="7" t="s">
        <v>5243</v>
      </c>
      <c r="M500" s="7" t="s">
        <v>5244</v>
      </c>
      <c r="N500" s="7" t="s">
        <v>5245</v>
      </c>
      <c r="O500" s="7"/>
      <c r="P500" s="7"/>
      <c r="Q500" s="7" t="n">
        <v>9</v>
      </c>
    </row>
    <row r="501" customFormat="false" ht="330" hidden="false" customHeight="true" outlineLevel="0" collapsed="false">
      <c r="A501" s="7" t="n">
        <v>497</v>
      </c>
      <c r="B501" s="7" t="s">
        <v>15</v>
      </c>
      <c r="C501" s="7" t="s">
        <v>3217</v>
      </c>
      <c r="D501" s="7" t="s">
        <v>4143</v>
      </c>
      <c r="E501" s="7" t="s">
        <v>4031</v>
      </c>
      <c r="F501" s="7" t="n">
        <v>137</v>
      </c>
      <c r="G501" s="15" t="s">
        <v>20</v>
      </c>
      <c r="H501" s="15" t="s">
        <v>32</v>
      </c>
      <c r="I501" s="7" t="s">
        <v>4593</v>
      </c>
      <c r="J501" s="7" t="s">
        <v>3179</v>
      </c>
      <c r="K501" s="7" t="s">
        <v>5246</v>
      </c>
      <c r="L501" s="7" t="s">
        <v>5247</v>
      </c>
      <c r="M501" s="7" t="s">
        <v>5248</v>
      </c>
      <c r="N501" s="7" t="s">
        <v>5249</v>
      </c>
      <c r="O501" s="7" t="s">
        <v>4598</v>
      </c>
      <c r="P501" s="7"/>
      <c r="Q501" s="7" t="n">
        <v>38</v>
      </c>
    </row>
    <row r="502" customFormat="false" ht="73.5" hidden="false" customHeight="true" outlineLevel="0" collapsed="false">
      <c r="A502" s="7" t="n">
        <v>498</v>
      </c>
      <c r="B502" s="7" t="s">
        <v>21</v>
      </c>
      <c r="C502" s="7" t="s">
        <v>3217</v>
      </c>
      <c r="D502" s="7" t="s">
        <v>4108</v>
      </c>
      <c r="E502" s="7" t="s">
        <v>3998</v>
      </c>
      <c r="F502" s="7" t="n">
        <v>82</v>
      </c>
      <c r="G502" s="14" t="s">
        <v>18</v>
      </c>
      <c r="H502" s="14" t="s">
        <v>18</v>
      </c>
      <c r="I502" s="7"/>
      <c r="J502" s="7" t="s">
        <v>3185</v>
      </c>
      <c r="K502" s="7" t="s">
        <v>5250</v>
      </c>
      <c r="L502" s="7" t="s">
        <v>5251</v>
      </c>
      <c r="M502" s="7" t="s">
        <v>5252</v>
      </c>
      <c r="N502" s="7" t="s">
        <v>5253</v>
      </c>
      <c r="O502" s="7"/>
      <c r="P502" s="7"/>
      <c r="Q502" s="7" t="n">
        <v>14</v>
      </c>
    </row>
    <row r="503" customFormat="false" ht="73.5" hidden="false" customHeight="true" outlineLevel="0" collapsed="false">
      <c r="A503" s="7" t="n">
        <v>499</v>
      </c>
      <c r="B503" s="7" t="s">
        <v>17</v>
      </c>
      <c r="C503" s="7" t="s">
        <v>4044</v>
      </c>
      <c r="D503" s="7" t="s">
        <v>4045</v>
      </c>
      <c r="E503" s="7" t="s">
        <v>4005</v>
      </c>
      <c r="F503" s="7" t="n">
        <v>103</v>
      </c>
      <c r="G503" s="15" t="s">
        <v>20</v>
      </c>
      <c r="H503" s="15" t="s">
        <v>28</v>
      </c>
      <c r="I503" s="7"/>
      <c r="J503" s="7" t="s">
        <v>3191</v>
      </c>
      <c r="K503" s="7" t="s">
        <v>5254</v>
      </c>
      <c r="L503" s="7" t="s">
        <v>5255</v>
      </c>
      <c r="M503" s="7" t="s">
        <v>5256</v>
      </c>
      <c r="N503" s="7" t="s">
        <v>5257</v>
      </c>
      <c r="O503" s="7"/>
      <c r="P503" s="7"/>
      <c r="Q503" s="7" t="n">
        <v>20</v>
      </c>
    </row>
    <row r="504" customFormat="false" ht="73.5" hidden="false" customHeight="true" outlineLevel="0" collapsed="false">
      <c r="A504" s="7" t="n">
        <v>500</v>
      </c>
      <c r="B504" s="7" t="s">
        <v>19</v>
      </c>
      <c r="C504" s="7" t="s">
        <v>3217</v>
      </c>
      <c r="D504" s="7" t="s">
        <v>4139</v>
      </c>
      <c r="E504" s="7" t="s">
        <v>3998</v>
      </c>
      <c r="F504" s="7" t="n">
        <v>49</v>
      </c>
      <c r="G504" s="14" t="s">
        <v>18</v>
      </c>
      <c r="H504" s="14" t="s">
        <v>18</v>
      </c>
      <c r="I504" s="7"/>
      <c r="J504" s="7" t="s">
        <v>3197</v>
      </c>
      <c r="K504" s="7" t="s">
        <v>5258</v>
      </c>
      <c r="L504" s="7" t="s">
        <v>5259</v>
      </c>
      <c r="M504" s="7" t="s">
        <v>5260</v>
      </c>
      <c r="N504" s="7"/>
      <c r="O504" s="7"/>
      <c r="P504" s="7"/>
      <c r="Q504" s="7" t="n">
        <v>12</v>
      </c>
    </row>
  </sheetData>
  <autoFilter ref="A4:Q504"/>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tableParts>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690"/>
    <pageSetUpPr fitToPage="true"/>
  </sheetPr>
  <dimension ref="A1:K5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72"/>
    <col collapsed="false" customWidth="true" hidden="false" outlineLevel="0" max="4" min="4" style="0" width="24"/>
    <col collapsed="false" customWidth="true" hidden="false" outlineLevel="0" max="5" min="5" style="0" width="8"/>
    <col collapsed="false" customWidth="true" hidden="false" outlineLevel="0" max="6" min="6" style="0" width="32"/>
    <col collapsed="false" customWidth="true" hidden="false" outlineLevel="0" max="7" min="7" style="0" width="10"/>
    <col collapsed="false" customWidth="true" hidden="false" outlineLevel="0" max="8" min="8" style="0" width="28"/>
    <col collapsed="false" customWidth="true" hidden="false" outlineLevel="0" max="9" min="9" style="0" width="30"/>
    <col collapsed="false" customWidth="true" hidden="false" outlineLevel="0" max="10" min="10" style="0" width="65"/>
    <col collapsed="false" customWidth="true" hidden="false" outlineLevel="0" max="11" min="11" style="0" width="52"/>
  </cols>
  <sheetData>
    <row r="1" customFormat="false" ht="30" hidden="false" customHeight="true" outlineLevel="0" collapsed="false">
      <c r="A1" s="1" t="s">
        <v>5261</v>
      </c>
      <c r="B1" s="1"/>
      <c r="C1" s="1"/>
    </row>
    <row r="2" customFormat="false" ht="31.5" hidden="false" customHeight="true" outlineLevel="0" collapsed="false">
      <c r="A2" s="2" t="s">
        <v>5262</v>
      </c>
      <c r="B2" s="2"/>
      <c r="C2" s="2"/>
    </row>
    <row r="4" customFormat="false" ht="18" hidden="false" customHeight="false" outlineLevel="0" collapsed="false">
      <c r="A4" s="6" t="s">
        <v>3203</v>
      </c>
      <c r="B4" s="6" t="s">
        <v>5263</v>
      </c>
      <c r="C4" s="6" t="s">
        <v>5264</v>
      </c>
      <c r="D4" s="6" t="s">
        <v>7</v>
      </c>
      <c r="E4" s="6" t="s">
        <v>3204</v>
      </c>
      <c r="F4" s="6" t="s">
        <v>3205</v>
      </c>
      <c r="G4" s="6" t="s">
        <v>3207</v>
      </c>
      <c r="H4" s="6" t="s">
        <v>13</v>
      </c>
      <c r="I4" s="6" t="s">
        <v>5265</v>
      </c>
      <c r="J4" s="6" t="s">
        <v>5266</v>
      </c>
      <c r="K4" s="6" t="s">
        <v>5267</v>
      </c>
    </row>
    <row r="5" customFormat="false" ht="34.5" hidden="false" customHeight="true" outlineLevel="0" collapsed="false">
      <c r="A5" s="7" t="n">
        <v>1</v>
      </c>
      <c r="B5" s="16" t="s">
        <v>5268</v>
      </c>
      <c r="C5" s="7" t="s">
        <v>3224</v>
      </c>
      <c r="D5" s="7" t="s">
        <v>26</v>
      </c>
      <c r="E5" s="7" t="s">
        <v>3217</v>
      </c>
      <c r="F5" s="7" t="s">
        <v>3218</v>
      </c>
      <c r="G5" s="7" t="n">
        <v>1</v>
      </c>
      <c r="H5" s="7" t="s">
        <v>16</v>
      </c>
      <c r="I5" s="7"/>
      <c r="J5" s="7" t="s">
        <v>5269</v>
      </c>
      <c r="K5" s="7" t="s">
        <v>5270</v>
      </c>
    </row>
    <row r="6" customFormat="false" ht="42" hidden="false" customHeight="true" outlineLevel="0" collapsed="false">
      <c r="A6" s="7" t="n">
        <v>2</v>
      </c>
      <c r="B6" s="16" t="s">
        <v>5271</v>
      </c>
      <c r="C6" s="7" t="s">
        <v>3229</v>
      </c>
      <c r="D6" s="7" t="s">
        <v>26</v>
      </c>
      <c r="E6" s="7" t="s">
        <v>3217</v>
      </c>
      <c r="F6" s="7" t="s">
        <v>3218</v>
      </c>
      <c r="G6" s="7" t="n">
        <v>2</v>
      </c>
      <c r="H6" s="7" t="s">
        <v>16</v>
      </c>
      <c r="I6" s="7" t="s">
        <v>5272</v>
      </c>
      <c r="J6" s="7" t="s">
        <v>5269</v>
      </c>
      <c r="K6" s="7" t="s">
        <v>5273</v>
      </c>
    </row>
    <row r="7" customFormat="false" ht="42" hidden="false" customHeight="true" outlineLevel="0" collapsed="false">
      <c r="A7" s="7" t="n">
        <v>3</v>
      </c>
      <c r="B7" s="16" t="s">
        <v>5274</v>
      </c>
      <c r="C7" s="7" t="s">
        <v>3231</v>
      </c>
      <c r="D7" s="7" t="s">
        <v>26</v>
      </c>
      <c r="E7" s="7" t="s">
        <v>3217</v>
      </c>
      <c r="F7" s="7" t="s">
        <v>3218</v>
      </c>
      <c r="G7" s="7" t="n">
        <v>3</v>
      </c>
      <c r="H7" s="7" t="s">
        <v>16</v>
      </c>
      <c r="I7" s="7"/>
      <c r="J7" s="7" t="s">
        <v>5269</v>
      </c>
      <c r="K7" s="7" t="s">
        <v>5275</v>
      </c>
    </row>
    <row r="8" customFormat="false" ht="42" hidden="false" customHeight="true" outlineLevel="0" collapsed="false">
      <c r="A8" s="7" t="n">
        <v>4</v>
      </c>
      <c r="B8" s="16" t="s">
        <v>5276</v>
      </c>
      <c r="C8" s="7" t="s">
        <v>3236</v>
      </c>
      <c r="D8" s="7" t="s">
        <v>26</v>
      </c>
      <c r="E8" s="7" t="s">
        <v>3217</v>
      </c>
      <c r="F8" s="7" t="s">
        <v>3218</v>
      </c>
      <c r="G8" s="7" t="n">
        <v>4</v>
      </c>
      <c r="H8" s="7" t="s">
        <v>16</v>
      </c>
      <c r="I8" s="7"/>
      <c r="J8" s="7" t="s">
        <v>5269</v>
      </c>
      <c r="K8" s="7" t="s">
        <v>5277</v>
      </c>
    </row>
    <row r="9" customFormat="false" ht="42" hidden="false" customHeight="true" outlineLevel="0" collapsed="false">
      <c r="A9" s="7" t="n">
        <v>5</v>
      </c>
      <c r="B9" s="16" t="s">
        <v>5276</v>
      </c>
      <c r="C9" s="7" t="s">
        <v>3240</v>
      </c>
      <c r="D9" s="7" t="s">
        <v>26</v>
      </c>
      <c r="E9" s="7" t="s">
        <v>3217</v>
      </c>
      <c r="F9" s="7" t="s">
        <v>3218</v>
      </c>
      <c r="G9" s="7" t="n">
        <v>5</v>
      </c>
      <c r="H9" s="7" t="s">
        <v>16</v>
      </c>
      <c r="I9" s="7"/>
      <c r="J9" s="7" t="s">
        <v>5269</v>
      </c>
      <c r="K9" s="7" t="s">
        <v>5278</v>
      </c>
    </row>
    <row r="10" customFormat="false" ht="34.5" hidden="false" customHeight="true" outlineLevel="0" collapsed="false">
      <c r="A10" s="7" t="n">
        <v>6</v>
      </c>
      <c r="B10" s="16" t="s">
        <v>5271</v>
      </c>
      <c r="C10" s="7" t="s">
        <v>3245</v>
      </c>
      <c r="D10" s="7" t="s">
        <v>26</v>
      </c>
      <c r="E10" s="7" t="s">
        <v>3217</v>
      </c>
      <c r="F10" s="7" t="s">
        <v>3218</v>
      </c>
      <c r="G10" s="7" t="n">
        <v>6</v>
      </c>
      <c r="H10" s="7" t="s">
        <v>16</v>
      </c>
      <c r="I10" s="7"/>
      <c r="J10" s="7" t="s">
        <v>5269</v>
      </c>
      <c r="K10" s="7" t="s">
        <v>5279</v>
      </c>
    </row>
    <row r="11" customFormat="false" ht="54.75" hidden="false" customHeight="true" outlineLevel="0" collapsed="false">
      <c r="A11" s="7" t="n">
        <v>7</v>
      </c>
      <c r="B11" s="16" t="s">
        <v>5268</v>
      </c>
      <c r="C11" s="7" t="s">
        <v>3250</v>
      </c>
      <c r="D11" s="7" t="s">
        <v>26</v>
      </c>
      <c r="E11" s="7" t="s">
        <v>3217</v>
      </c>
      <c r="F11" s="7" t="s">
        <v>3218</v>
      </c>
      <c r="G11" s="7" t="n">
        <v>7</v>
      </c>
      <c r="H11" s="7" t="s">
        <v>16</v>
      </c>
      <c r="I11" s="7" t="s">
        <v>5272</v>
      </c>
      <c r="J11" s="7" t="s">
        <v>5269</v>
      </c>
      <c r="K11" s="7" t="s">
        <v>5280</v>
      </c>
    </row>
    <row r="12" customFormat="false" ht="54.75" hidden="false" customHeight="true" outlineLevel="0" collapsed="false">
      <c r="A12" s="7" t="n">
        <v>8</v>
      </c>
      <c r="B12" s="16" t="s">
        <v>5274</v>
      </c>
      <c r="C12" s="7" t="s">
        <v>3251</v>
      </c>
      <c r="D12" s="7" t="s">
        <v>26</v>
      </c>
      <c r="E12" s="7" t="s">
        <v>3217</v>
      </c>
      <c r="F12" s="7" t="s">
        <v>3218</v>
      </c>
      <c r="G12" s="7" t="n">
        <v>8</v>
      </c>
      <c r="H12" s="7" t="s">
        <v>16</v>
      </c>
      <c r="I12" s="7"/>
      <c r="J12" s="7" t="s">
        <v>5269</v>
      </c>
      <c r="K12" s="7" t="s">
        <v>5281</v>
      </c>
    </row>
    <row r="13" customFormat="false" ht="34.5" hidden="false" customHeight="true" outlineLevel="0" collapsed="false">
      <c r="A13" s="7" t="n">
        <v>9</v>
      </c>
      <c r="B13" s="16" t="s">
        <v>5276</v>
      </c>
      <c r="C13" s="7" t="s">
        <v>3256</v>
      </c>
      <c r="D13" s="7" t="s">
        <v>26</v>
      </c>
      <c r="E13" s="7" t="s">
        <v>3217</v>
      </c>
      <c r="F13" s="7" t="s">
        <v>3218</v>
      </c>
      <c r="G13" s="7" t="n">
        <v>9</v>
      </c>
      <c r="H13" s="7" t="s">
        <v>16</v>
      </c>
      <c r="I13" s="7"/>
      <c r="J13" s="7" t="s">
        <v>5269</v>
      </c>
      <c r="K13" s="7" t="s">
        <v>5282</v>
      </c>
    </row>
    <row r="14" customFormat="false" ht="34.5" hidden="false" customHeight="true" outlineLevel="0" collapsed="false">
      <c r="A14" s="7" t="n">
        <v>10</v>
      </c>
      <c r="B14" s="16" t="s">
        <v>5268</v>
      </c>
      <c r="C14" s="7" t="s">
        <v>3262</v>
      </c>
      <c r="D14" s="7" t="s">
        <v>26</v>
      </c>
      <c r="E14" s="7" t="s">
        <v>3217</v>
      </c>
      <c r="F14" s="7" t="s">
        <v>3218</v>
      </c>
      <c r="G14" s="7" t="n">
        <v>10</v>
      </c>
      <c r="H14" s="7" t="s">
        <v>16</v>
      </c>
      <c r="I14" s="7"/>
      <c r="J14" s="7" t="s">
        <v>5269</v>
      </c>
      <c r="K14" s="7" t="s">
        <v>5283</v>
      </c>
    </row>
    <row r="15" customFormat="false" ht="42" hidden="false" customHeight="true" outlineLevel="0" collapsed="false">
      <c r="A15" s="7" t="n">
        <v>11</v>
      </c>
      <c r="B15" s="16" t="s">
        <v>5271</v>
      </c>
      <c r="C15" s="7" t="s">
        <v>3265</v>
      </c>
      <c r="D15" s="7" t="s">
        <v>26</v>
      </c>
      <c r="E15" s="7" t="s">
        <v>3217</v>
      </c>
      <c r="F15" s="7" t="s">
        <v>3218</v>
      </c>
      <c r="G15" s="7" t="n">
        <v>11</v>
      </c>
      <c r="H15" s="7" t="s">
        <v>16</v>
      </c>
      <c r="I15" s="7"/>
      <c r="J15" s="7" t="s">
        <v>5269</v>
      </c>
      <c r="K15" s="7" t="s">
        <v>5284</v>
      </c>
    </row>
    <row r="16" customFormat="false" ht="42" hidden="false" customHeight="true" outlineLevel="0" collapsed="false">
      <c r="A16" s="7" t="n">
        <v>12</v>
      </c>
      <c r="B16" s="16" t="s">
        <v>5276</v>
      </c>
      <c r="C16" s="7" t="s">
        <v>3268</v>
      </c>
      <c r="D16" s="7" t="s">
        <v>26</v>
      </c>
      <c r="E16" s="7" t="s">
        <v>3217</v>
      </c>
      <c r="F16" s="7" t="s">
        <v>3218</v>
      </c>
      <c r="G16" s="7" t="n">
        <v>12</v>
      </c>
      <c r="H16" s="7" t="s">
        <v>16</v>
      </c>
      <c r="I16" s="7"/>
      <c r="J16" s="7" t="s">
        <v>5269</v>
      </c>
      <c r="K16" s="7" t="s">
        <v>5285</v>
      </c>
    </row>
    <row r="17" customFormat="false" ht="34.5" hidden="false" customHeight="true" outlineLevel="0" collapsed="false">
      <c r="A17" s="7" t="n">
        <v>13</v>
      </c>
      <c r="B17" s="16" t="s">
        <v>5271</v>
      </c>
      <c r="C17" s="7" t="s">
        <v>3273</v>
      </c>
      <c r="D17" s="7" t="s">
        <v>26</v>
      </c>
      <c r="E17" s="7" t="s">
        <v>3217</v>
      </c>
      <c r="F17" s="7" t="s">
        <v>3218</v>
      </c>
      <c r="G17" s="7" t="n">
        <v>14</v>
      </c>
      <c r="H17" s="7" t="s">
        <v>16</v>
      </c>
      <c r="I17" s="7"/>
      <c r="J17" s="7" t="s">
        <v>5269</v>
      </c>
      <c r="K17" s="7" t="s">
        <v>5286</v>
      </c>
    </row>
    <row r="18" customFormat="false" ht="42" hidden="false" customHeight="true" outlineLevel="0" collapsed="false">
      <c r="A18" s="7" t="n">
        <v>14</v>
      </c>
      <c r="B18" s="16" t="s">
        <v>5271</v>
      </c>
      <c r="C18" s="7" t="s">
        <v>3277</v>
      </c>
      <c r="D18" s="7" t="s">
        <v>26</v>
      </c>
      <c r="E18" s="7" t="s">
        <v>3217</v>
      </c>
      <c r="F18" s="7" t="s">
        <v>3218</v>
      </c>
      <c r="G18" s="7" t="n">
        <v>15</v>
      </c>
      <c r="H18" s="7" t="s">
        <v>16</v>
      </c>
      <c r="I18" s="7"/>
      <c r="J18" s="7" t="s">
        <v>5269</v>
      </c>
      <c r="K18" s="7" t="s">
        <v>5287</v>
      </c>
    </row>
    <row r="19" customFormat="false" ht="34.5" hidden="false" customHeight="true" outlineLevel="0" collapsed="false">
      <c r="A19" s="7" t="n">
        <v>15</v>
      </c>
      <c r="B19" s="16" t="s">
        <v>5274</v>
      </c>
      <c r="C19" s="7" t="s">
        <v>3279</v>
      </c>
      <c r="D19" s="7" t="s">
        <v>26</v>
      </c>
      <c r="E19" s="7" t="s">
        <v>3217</v>
      </c>
      <c r="F19" s="7" t="s">
        <v>3218</v>
      </c>
      <c r="G19" s="7" t="n">
        <v>16</v>
      </c>
      <c r="H19" s="7" t="s">
        <v>16</v>
      </c>
      <c r="I19" s="7"/>
      <c r="J19" s="7" t="s">
        <v>5269</v>
      </c>
      <c r="K19" s="7" t="s">
        <v>5288</v>
      </c>
    </row>
    <row r="20" customFormat="false" ht="42" hidden="false" customHeight="true" outlineLevel="0" collapsed="false">
      <c r="A20" s="7" t="n">
        <v>16</v>
      </c>
      <c r="B20" s="16" t="s">
        <v>5271</v>
      </c>
      <c r="C20" s="7" t="s">
        <v>3285</v>
      </c>
      <c r="D20" s="7" t="s">
        <v>26</v>
      </c>
      <c r="E20" s="7" t="s">
        <v>3217</v>
      </c>
      <c r="F20" s="7" t="s">
        <v>3218</v>
      </c>
      <c r="G20" s="7" t="n">
        <v>17</v>
      </c>
      <c r="H20" s="7" t="s">
        <v>16</v>
      </c>
      <c r="I20" s="7"/>
      <c r="J20" s="7" t="s">
        <v>5269</v>
      </c>
      <c r="K20" s="7" t="s">
        <v>5289</v>
      </c>
    </row>
    <row r="21" customFormat="false" ht="42" hidden="false" customHeight="true" outlineLevel="0" collapsed="false">
      <c r="A21" s="7" t="n">
        <v>17</v>
      </c>
      <c r="B21" s="16" t="s">
        <v>5274</v>
      </c>
      <c r="C21" s="7" t="s">
        <v>3287</v>
      </c>
      <c r="D21" s="7" t="s">
        <v>26</v>
      </c>
      <c r="E21" s="7" t="s">
        <v>3217</v>
      </c>
      <c r="F21" s="7" t="s">
        <v>3218</v>
      </c>
      <c r="G21" s="7" t="n">
        <v>18</v>
      </c>
      <c r="H21" s="7" t="s">
        <v>16</v>
      </c>
      <c r="I21" s="7"/>
      <c r="J21" s="7" t="s">
        <v>5269</v>
      </c>
      <c r="K21" s="7" t="s">
        <v>5290</v>
      </c>
    </row>
    <row r="22" customFormat="false" ht="34.5" hidden="false" customHeight="true" outlineLevel="0" collapsed="false">
      <c r="A22" s="7" t="n">
        <v>18</v>
      </c>
      <c r="B22" s="16" t="s">
        <v>5276</v>
      </c>
      <c r="C22" s="7" t="s">
        <v>3292</v>
      </c>
      <c r="D22" s="7" t="s">
        <v>26</v>
      </c>
      <c r="E22" s="7" t="s">
        <v>3217</v>
      </c>
      <c r="F22" s="7" t="s">
        <v>3218</v>
      </c>
      <c r="G22" s="7" t="n">
        <v>19</v>
      </c>
      <c r="H22" s="7" t="s">
        <v>16</v>
      </c>
      <c r="I22" s="7"/>
      <c r="J22" s="7" t="s">
        <v>5269</v>
      </c>
      <c r="K22" s="7" t="s">
        <v>5291</v>
      </c>
    </row>
    <row r="23" customFormat="false" ht="34.5" hidden="false" customHeight="true" outlineLevel="0" collapsed="false">
      <c r="A23" s="7" t="n">
        <v>19</v>
      </c>
      <c r="B23" s="16" t="s">
        <v>5274</v>
      </c>
      <c r="C23" s="7" t="s">
        <v>3295</v>
      </c>
      <c r="D23" s="7" t="s">
        <v>26</v>
      </c>
      <c r="E23" s="7" t="s">
        <v>3217</v>
      </c>
      <c r="F23" s="7" t="s">
        <v>3218</v>
      </c>
      <c r="G23" s="7" t="n">
        <v>20</v>
      </c>
      <c r="H23" s="7" t="s">
        <v>16</v>
      </c>
      <c r="I23" s="7"/>
      <c r="J23" s="7" t="s">
        <v>5269</v>
      </c>
      <c r="K23" s="7" t="s">
        <v>5292</v>
      </c>
    </row>
    <row r="24" customFormat="false" ht="34.5" hidden="false" customHeight="true" outlineLevel="0" collapsed="false">
      <c r="A24" s="7" t="n">
        <v>20</v>
      </c>
      <c r="B24" s="16" t="s">
        <v>5268</v>
      </c>
      <c r="C24" s="7" t="s">
        <v>3302</v>
      </c>
      <c r="D24" s="7" t="s">
        <v>26</v>
      </c>
      <c r="E24" s="7" t="s">
        <v>3217</v>
      </c>
      <c r="F24" s="7" t="s">
        <v>3218</v>
      </c>
      <c r="G24" s="7" t="n">
        <v>21</v>
      </c>
      <c r="H24" s="7" t="s">
        <v>16</v>
      </c>
      <c r="I24" s="7"/>
      <c r="J24" s="7" t="s">
        <v>5269</v>
      </c>
      <c r="K24" s="7" t="s">
        <v>5293</v>
      </c>
    </row>
    <row r="25" customFormat="false" ht="42" hidden="false" customHeight="true" outlineLevel="0" collapsed="false">
      <c r="A25" s="7" t="n">
        <v>21</v>
      </c>
      <c r="B25" s="16" t="s">
        <v>5276</v>
      </c>
      <c r="C25" s="7" t="s">
        <v>3304</v>
      </c>
      <c r="D25" s="7" t="s">
        <v>26</v>
      </c>
      <c r="E25" s="7" t="s">
        <v>3217</v>
      </c>
      <c r="F25" s="7" t="s">
        <v>3218</v>
      </c>
      <c r="G25" s="7" t="n">
        <v>22</v>
      </c>
      <c r="H25" s="7" t="s">
        <v>16</v>
      </c>
      <c r="I25" s="7"/>
      <c r="J25" s="7" t="s">
        <v>5269</v>
      </c>
      <c r="K25" s="7" t="s">
        <v>5294</v>
      </c>
    </row>
    <row r="26" customFormat="false" ht="34.5" hidden="false" customHeight="true" outlineLevel="0" collapsed="false">
      <c r="A26" s="7" t="n">
        <v>22</v>
      </c>
      <c r="B26" s="16" t="s">
        <v>5268</v>
      </c>
      <c r="C26" s="7" t="s">
        <v>3298</v>
      </c>
      <c r="D26" s="7" t="s">
        <v>26</v>
      </c>
      <c r="E26" s="7" t="s">
        <v>3217</v>
      </c>
      <c r="F26" s="7" t="s">
        <v>3218</v>
      </c>
      <c r="G26" s="7" t="n">
        <v>23</v>
      </c>
      <c r="H26" s="7" t="s">
        <v>16</v>
      </c>
      <c r="I26" s="7"/>
      <c r="J26" s="7" t="s">
        <v>5269</v>
      </c>
      <c r="K26" s="7" t="s">
        <v>5295</v>
      </c>
    </row>
    <row r="27" customFormat="false" ht="34.5" hidden="false" customHeight="true" outlineLevel="0" collapsed="false">
      <c r="A27" s="7" t="n">
        <v>23</v>
      </c>
      <c r="B27" s="16" t="s">
        <v>5268</v>
      </c>
      <c r="C27" s="7" t="s">
        <v>3312</v>
      </c>
      <c r="D27" s="7" t="s">
        <v>26</v>
      </c>
      <c r="E27" s="7" t="s">
        <v>3217</v>
      </c>
      <c r="F27" s="7" t="s">
        <v>3218</v>
      </c>
      <c r="G27" s="7" t="n">
        <v>24</v>
      </c>
      <c r="H27" s="7" t="s">
        <v>16</v>
      </c>
      <c r="I27" s="7"/>
      <c r="J27" s="7" t="s">
        <v>5269</v>
      </c>
      <c r="K27" s="7" t="s">
        <v>5296</v>
      </c>
    </row>
    <row r="28" customFormat="false" ht="54.75" hidden="false" customHeight="true" outlineLevel="0" collapsed="false">
      <c r="A28" s="7" t="n">
        <v>24</v>
      </c>
      <c r="B28" s="16" t="s">
        <v>5276</v>
      </c>
      <c r="C28" s="7" t="s">
        <v>3316</v>
      </c>
      <c r="D28" s="7" t="s">
        <v>26</v>
      </c>
      <c r="E28" s="7" t="s">
        <v>3217</v>
      </c>
      <c r="F28" s="7" t="s">
        <v>3218</v>
      </c>
      <c r="G28" s="7" t="n">
        <v>25</v>
      </c>
      <c r="H28" s="7" t="s">
        <v>16</v>
      </c>
      <c r="I28" s="7" t="s">
        <v>5272</v>
      </c>
      <c r="J28" s="7" t="s">
        <v>5297</v>
      </c>
      <c r="K28" s="7" t="s">
        <v>5298</v>
      </c>
    </row>
    <row r="29" customFormat="false" ht="67.5" hidden="false" customHeight="true" outlineLevel="0" collapsed="false">
      <c r="A29" s="7" t="n">
        <v>25</v>
      </c>
      <c r="B29" s="16" t="s">
        <v>5268</v>
      </c>
      <c r="C29" s="7" t="s">
        <v>3324</v>
      </c>
      <c r="D29" s="7" t="s">
        <v>26</v>
      </c>
      <c r="E29" s="7" t="s">
        <v>3217</v>
      </c>
      <c r="F29" s="7" t="s">
        <v>3218</v>
      </c>
      <c r="G29" s="7" t="n">
        <v>26</v>
      </c>
      <c r="H29" s="7" t="s">
        <v>16</v>
      </c>
      <c r="I29" s="7" t="s">
        <v>5272</v>
      </c>
      <c r="J29" s="7" t="s">
        <v>5297</v>
      </c>
      <c r="K29" s="7" t="s">
        <v>5299</v>
      </c>
    </row>
    <row r="30" customFormat="false" ht="42" hidden="false" customHeight="true" outlineLevel="0" collapsed="false">
      <c r="A30" s="7" t="n">
        <v>26</v>
      </c>
      <c r="B30" s="16" t="s">
        <v>5271</v>
      </c>
      <c r="C30" s="7" t="s">
        <v>3327</v>
      </c>
      <c r="D30" s="7" t="s">
        <v>26</v>
      </c>
      <c r="E30" s="7" t="s">
        <v>3217</v>
      </c>
      <c r="F30" s="7" t="s">
        <v>3218</v>
      </c>
      <c r="G30" s="7" t="n">
        <v>27</v>
      </c>
      <c r="H30" s="7" t="s">
        <v>16</v>
      </c>
      <c r="I30" s="7" t="s">
        <v>5272</v>
      </c>
      <c r="J30" s="7" t="s">
        <v>5297</v>
      </c>
      <c r="K30" s="7" t="s">
        <v>5300</v>
      </c>
    </row>
    <row r="31" customFormat="false" ht="42" hidden="false" customHeight="true" outlineLevel="0" collapsed="false">
      <c r="A31" s="7" t="n">
        <v>27</v>
      </c>
      <c r="B31" s="16" t="s">
        <v>5276</v>
      </c>
      <c r="C31" s="7" t="s">
        <v>3330</v>
      </c>
      <c r="D31" s="7" t="s">
        <v>26</v>
      </c>
      <c r="E31" s="7" t="s">
        <v>3217</v>
      </c>
      <c r="F31" s="7" t="s">
        <v>3218</v>
      </c>
      <c r="G31" s="7" t="n">
        <v>28</v>
      </c>
      <c r="H31" s="7" t="s">
        <v>16</v>
      </c>
      <c r="I31" s="7"/>
      <c r="J31" s="7" t="s">
        <v>5297</v>
      </c>
      <c r="K31" s="7" t="s">
        <v>5301</v>
      </c>
    </row>
    <row r="32" customFormat="false" ht="54.75" hidden="false" customHeight="true" outlineLevel="0" collapsed="false">
      <c r="A32" s="7" t="n">
        <v>28</v>
      </c>
      <c r="B32" s="16" t="s">
        <v>5276</v>
      </c>
      <c r="C32" s="7" t="s">
        <v>3334</v>
      </c>
      <c r="D32" s="7" t="s">
        <v>26</v>
      </c>
      <c r="E32" s="7" t="s">
        <v>3217</v>
      </c>
      <c r="F32" s="7" t="s">
        <v>3218</v>
      </c>
      <c r="G32" s="7" t="n">
        <v>29</v>
      </c>
      <c r="H32" s="7" t="s">
        <v>16</v>
      </c>
      <c r="I32" s="7" t="s">
        <v>5272</v>
      </c>
      <c r="J32" s="7" t="s">
        <v>5297</v>
      </c>
      <c r="K32" s="7" t="s">
        <v>5302</v>
      </c>
    </row>
    <row r="33" customFormat="false" ht="42" hidden="false" customHeight="true" outlineLevel="0" collapsed="false">
      <c r="A33" s="7" t="n">
        <v>29</v>
      </c>
      <c r="B33" s="16" t="s">
        <v>5271</v>
      </c>
      <c r="C33" s="7" t="s">
        <v>3339</v>
      </c>
      <c r="D33" s="7" t="s">
        <v>26</v>
      </c>
      <c r="E33" s="7" t="s">
        <v>3217</v>
      </c>
      <c r="F33" s="7" t="s">
        <v>3218</v>
      </c>
      <c r="G33" s="7" t="n">
        <v>30</v>
      </c>
      <c r="H33" s="7" t="s">
        <v>16</v>
      </c>
      <c r="I33" s="7"/>
      <c r="J33" s="7" t="s">
        <v>5297</v>
      </c>
      <c r="K33" s="7" t="s">
        <v>5303</v>
      </c>
    </row>
    <row r="34" customFormat="false" ht="34.5" hidden="false" customHeight="true" outlineLevel="0" collapsed="false">
      <c r="A34" s="7" t="n">
        <v>30</v>
      </c>
      <c r="B34" s="16" t="s">
        <v>5271</v>
      </c>
      <c r="C34" s="7" t="s">
        <v>3343</v>
      </c>
      <c r="D34" s="7" t="s">
        <v>26</v>
      </c>
      <c r="E34" s="7" t="s">
        <v>3217</v>
      </c>
      <c r="F34" s="7" t="s">
        <v>3218</v>
      </c>
      <c r="G34" s="7" t="n">
        <v>31</v>
      </c>
      <c r="H34" s="7" t="s">
        <v>16</v>
      </c>
      <c r="I34" s="7"/>
      <c r="J34" s="7" t="s">
        <v>5297</v>
      </c>
      <c r="K34" s="7" t="s">
        <v>5304</v>
      </c>
    </row>
    <row r="35" customFormat="false" ht="42" hidden="false" customHeight="true" outlineLevel="0" collapsed="false">
      <c r="A35" s="7" t="n">
        <v>31</v>
      </c>
      <c r="B35" s="16" t="s">
        <v>5271</v>
      </c>
      <c r="C35" s="7" t="s">
        <v>3347</v>
      </c>
      <c r="D35" s="7" t="s">
        <v>26</v>
      </c>
      <c r="E35" s="7" t="s">
        <v>3217</v>
      </c>
      <c r="F35" s="7" t="s">
        <v>3218</v>
      </c>
      <c r="G35" s="7" t="n">
        <v>32</v>
      </c>
      <c r="H35" s="7" t="s">
        <v>16</v>
      </c>
      <c r="I35" s="7" t="s">
        <v>5272</v>
      </c>
      <c r="J35" s="7" t="s">
        <v>5297</v>
      </c>
      <c r="K35" s="7" t="s">
        <v>5305</v>
      </c>
    </row>
    <row r="36" customFormat="false" ht="34.5" hidden="false" customHeight="true" outlineLevel="0" collapsed="false">
      <c r="A36" s="7" t="n">
        <v>32</v>
      </c>
      <c r="B36" s="16" t="s">
        <v>5268</v>
      </c>
      <c r="C36" s="7" t="s">
        <v>3352</v>
      </c>
      <c r="D36" s="7" t="s">
        <v>26</v>
      </c>
      <c r="E36" s="7" t="s">
        <v>3217</v>
      </c>
      <c r="F36" s="7" t="s">
        <v>3218</v>
      </c>
      <c r="G36" s="7" t="n">
        <v>33</v>
      </c>
      <c r="H36" s="7" t="s">
        <v>16</v>
      </c>
      <c r="I36" s="7" t="s">
        <v>5272</v>
      </c>
      <c r="J36" s="7" t="s">
        <v>5297</v>
      </c>
      <c r="K36" s="7" t="s">
        <v>5306</v>
      </c>
    </row>
    <row r="37" customFormat="false" ht="42" hidden="false" customHeight="true" outlineLevel="0" collapsed="false">
      <c r="A37" s="7" t="n">
        <v>33</v>
      </c>
      <c r="B37" s="16" t="s">
        <v>5271</v>
      </c>
      <c r="C37" s="7" t="s">
        <v>3355</v>
      </c>
      <c r="D37" s="7" t="s">
        <v>26</v>
      </c>
      <c r="E37" s="7" t="s">
        <v>3217</v>
      </c>
      <c r="F37" s="7" t="s">
        <v>3218</v>
      </c>
      <c r="G37" s="7" t="n">
        <v>34</v>
      </c>
      <c r="H37" s="7" t="s">
        <v>16</v>
      </c>
      <c r="I37" s="7" t="s">
        <v>5272</v>
      </c>
      <c r="J37" s="7" t="s">
        <v>5297</v>
      </c>
      <c r="K37" s="7" t="s">
        <v>5307</v>
      </c>
    </row>
    <row r="38" customFormat="false" ht="34.5" hidden="false" customHeight="true" outlineLevel="0" collapsed="false">
      <c r="A38" s="7" t="n">
        <v>34</v>
      </c>
      <c r="B38" s="16" t="s">
        <v>5268</v>
      </c>
      <c r="C38" s="7" t="s">
        <v>3360</v>
      </c>
      <c r="D38" s="7" t="s">
        <v>26</v>
      </c>
      <c r="E38" s="7" t="s">
        <v>3217</v>
      </c>
      <c r="F38" s="7" t="s">
        <v>3218</v>
      </c>
      <c r="G38" s="7" t="n">
        <v>35</v>
      </c>
      <c r="H38" s="7" t="s">
        <v>16</v>
      </c>
      <c r="I38" s="7"/>
      <c r="J38" s="7" t="s">
        <v>5297</v>
      </c>
      <c r="K38" s="7" t="s">
        <v>5308</v>
      </c>
    </row>
    <row r="39" customFormat="false" ht="34.5" hidden="false" customHeight="true" outlineLevel="0" collapsed="false">
      <c r="A39" s="7" t="n">
        <v>35</v>
      </c>
      <c r="B39" s="16" t="s">
        <v>5276</v>
      </c>
      <c r="C39" s="7" t="s">
        <v>3362</v>
      </c>
      <c r="D39" s="7" t="s">
        <v>26</v>
      </c>
      <c r="E39" s="7" t="s">
        <v>3217</v>
      </c>
      <c r="F39" s="7" t="s">
        <v>3218</v>
      </c>
      <c r="G39" s="7" t="n">
        <v>36</v>
      </c>
      <c r="H39" s="7" t="s">
        <v>16</v>
      </c>
      <c r="I39" s="7" t="s">
        <v>5272</v>
      </c>
      <c r="J39" s="7" t="s">
        <v>5297</v>
      </c>
      <c r="K39" s="7" t="s">
        <v>5309</v>
      </c>
    </row>
    <row r="40" customFormat="false" ht="54.75" hidden="false" customHeight="true" outlineLevel="0" collapsed="false">
      <c r="A40" s="7" t="n">
        <v>36</v>
      </c>
      <c r="B40" s="16" t="s">
        <v>5276</v>
      </c>
      <c r="C40" s="7" t="s">
        <v>3366</v>
      </c>
      <c r="D40" s="7" t="s">
        <v>26</v>
      </c>
      <c r="E40" s="7" t="s">
        <v>3217</v>
      </c>
      <c r="F40" s="7" t="s">
        <v>3218</v>
      </c>
      <c r="G40" s="7" t="n">
        <v>37</v>
      </c>
      <c r="H40" s="7" t="s">
        <v>16</v>
      </c>
      <c r="I40" s="7"/>
      <c r="J40" s="7" t="s">
        <v>5297</v>
      </c>
      <c r="K40" s="7" t="s">
        <v>5310</v>
      </c>
    </row>
    <row r="41" customFormat="false" ht="42" hidden="false" customHeight="true" outlineLevel="0" collapsed="false">
      <c r="A41" s="7" t="n">
        <v>37</v>
      </c>
      <c r="B41" s="16" t="s">
        <v>5271</v>
      </c>
      <c r="C41" s="7" t="s">
        <v>3371</v>
      </c>
      <c r="D41" s="7" t="s">
        <v>26</v>
      </c>
      <c r="E41" s="7" t="s">
        <v>3217</v>
      </c>
      <c r="F41" s="7" t="s">
        <v>3218</v>
      </c>
      <c r="G41" s="7" t="n">
        <v>38</v>
      </c>
      <c r="H41" s="7" t="s">
        <v>16</v>
      </c>
      <c r="I41" s="7" t="s">
        <v>5272</v>
      </c>
      <c r="J41" s="7" t="s">
        <v>5297</v>
      </c>
      <c r="K41" s="7" t="s">
        <v>5311</v>
      </c>
    </row>
    <row r="42" customFormat="false" ht="54.75" hidden="false" customHeight="true" outlineLevel="0" collapsed="false">
      <c r="A42" s="7" t="n">
        <v>38</v>
      </c>
      <c r="B42" s="16" t="s">
        <v>5276</v>
      </c>
      <c r="C42" s="7" t="s">
        <v>3374</v>
      </c>
      <c r="D42" s="7" t="s">
        <v>26</v>
      </c>
      <c r="E42" s="7" t="s">
        <v>3217</v>
      </c>
      <c r="F42" s="7" t="s">
        <v>3218</v>
      </c>
      <c r="G42" s="7" t="n">
        <v>39</v>
      </c>
      <c r="H42" s="7" t="s">
        <v>16</v>
      </c>
      <c r="I42" s="7" t="s">
        <v>5272</v>
      </c>
      <c r="J42" s="7" t="s">
        <v>5297</v>
      </c>
      <c r="K42" s="7" t="s">
        <v>5312</v>
      </c>
    </row>
    <row r="43" customFormat="false" ht="54.75" hidden="false" customHeight="true" outlineLevel="0" collapsed="false">
      <c r="A43" s="7" t="n">
        <v>39</v>
      </c>
      <c r="B43" s="16" t="s">
        <v>5276</v>
      </c>
      <c r="C43" s="7" t="s">
        <v>3378</v>
      </c>
      <c r="D43" s="7" t="s">
        <v>26</v>
      </c>
      <c r="E43" s="7" t="s">
        <v>3217</v>
      </c>
      <c r="F43" s="7" t="s">
        <v>3218</v>
      </c>
      <c r="G43" s="7" t="n">
        <v>40</v>
      </c>
      <c r="H43" s="7" t="s">
        <v>16</v>
      </c>
      <c r="I43" s="7" t="s">
        <v>5272</v>
      </c>
      <c r="J43" s="7" t="s">
        <v>5297</v>
      </c>
      <c r="K43" s="7" t="s">
        <v>5313</v>
      </c>
    </row>
    <row r="44" customFormat="false" ht="54.75" hidden="false" customHeight="true" outlineLevel="0" collapsed="false">
      <c r="A44" s="7" t="n">
        <v>40</v>
      </c>
      <c r="B44" s="16" t="s">
        <v>5274</v>
      </c>
      <c r="C44" s="7" t="s">
        <v>3381</v>
      </c>
      <c r="D44" s="7" t="s">
        <v>26</v>
      </c>
      <c r="E44" s="7" t="s">
        <v>3217</v>
      </c>
      <c r="F44" s="7" t="s">
        <v>3218</v>
      </c>
      <c r="G44" s="7" t="n">
        <v>41</v>
      </c>
      <c r="H44" s="7" t="s">
        <v>16</v>
      </c>
      <c r="I44" s="7"/>
      <c r="J44" s="7" t="s">
        <v>5297</v>
      </c>
      <c r="K44" s="7" t="s">
        <v>5314</v>
      </c>
    </row>
    <row r="45" customFormat="false" ht="34.5" hidden="false" customHeight="true" outlineLevel="0" collapsed="false">
      <c r="A45" s="7" t="n">
        <v>41</v>
      </c>
      <c r="B45" s="16" t="s">
        <v>5268</v>
      </c>
      <c r="C45" s="7" t="s">
        <v>3360</v>
      </c>
      <c r="D45" s="7" t="s">
        <v>26</v>
      </c>
      <c r="E45" s="7" t="s">
        <v>3217</v>
      </c>
      <c r="F45" s="7" t="s">
        <v>3218</v>
      </c>
      <c r="G45" s="7" t="n">
        <v>42</v>
      </c>
      <c r="H45" s="7" t="s">
        <v>16</v>
      </c>
      <c r="I45" s="7"/>
      <c r="J45" s="7" t="s">
        <v>5297</v>
      </c>
      <c r="K45" s="7" t="s">
        <v>5315</v>
      </c>
    </row>
    <row r="46" customFormat="false" ht="54.75" hidden="false" customHeight="true" outlineLevel="0" collapsed="false">
      <c r="A46" s="7" t="n">
        <v>42</v>
      </c>
      <c r="B46" s="16" t="s">
        <v>5276</v>
      </c>
      <c r="C46" s="7" t="s">
        <v>3389</v>
      </c>
      <c r="D46" s="7" t="s">
        <v>26</v>
      </c>
      <c r="E46" s="7" t="s">
        <v>3217</v>
      </c>
      <c r="F46" s="7" t="s">
        <v>3218</v>
      </c>
      <c r="G46" s="7" t="n">
        <v>43</v>
      </c>
      <c r="H46" s="7" t="s">
        <v>16</v>
      </c>
      <c r="I46" s="7"/>
      <c r="J46" s="7" t="s">
        <v>5297</v>
      </c>
      <c r="K46" s="7" t="s">
        <v>5316</v>
      </c>
    </row>
    <row r="47" customFormat="false" ht="42" hidden="false" customHeight="true" outlineLevel="0" collapsed="false">
      <c r="A47" s="7" t="n">
        <v>43</v>
      </c>
      <c r="B47" s="16" t="s">
        <v>5268</v>
      </c>
      <c r="C47" s="7" t="s">
        <v>3395</v>
      </c>
      <c r="D47" s="7" t="s">
        <v>26</v>
      </c>
      <c r="E47" s="7" t="s">
        <v>3217</v>
      </c>
      <c r="F47" s="7" t="s">
        <v>3218</v>
      </c>
      <c r="G47" s="7" t="n">
        <v>44</v>
      </c>
      <c r="H47" s="7" t="s">
        <v>16</v>
      </c>
      <c r="I47" s="7" t="s">
        <v>5272</v>
      </c>
      <c r="J47" s="7" t="s">
        <v>5297</v>
      </c>
      <c r="K47" s="7" t="s">
        <v>5317</v>
      </c>
    </row>
    <row r="48" customFormat="false" ht="34.5" hidden="false" customHeight="true" outlineLevel="0" collapsed="false">
      <c r="A48" s="7" t="n">
        <v>44</v>
      </c>
      <c r="B48" s="16" t="s">
        <v>5268</v>
      </c>
      <c r="C48" s="7" t="s">
        <v>3399</v>
      </c>
      <c r="D48" s="7" t="s">
        <v>26</v>
      </c>
      <c r="E48" s="7" t="s">
        <v>3217</v>
      </c>
      <c r="F48" s="7" t="s">
        <v>3218</v>
      </c>
      <c r="G48" s="7" t="n">
        <v>45</v>
      </c>
      <c r="H48" s="7" t="s">
        <v>16</v>
      </c>
      <c r="I48" s="7" t="s">
        <v>5272</v>
      </c>
      <c r="J48" s="7" t="s">
        <v>5297</v>
      </c>
      <c r="K48" s="7" t="s">
        <v>5318</v>
      </c>
    </row>
    <row r="49" customFormat="false" ht="42" hidden="false" customHeight="true" outlineLevel="0" collapsed="false">
      <c r="A49" s="7" t="n">
        <v>45</v>
      </c>
      <c r="B49" s="16" t="s">
        <v>5268</v>
      </c>
      <c r="C49" s="7" t="s">
        <v>3403</v>
      </c>
      <c r="D49" s="7" t="s">
        <v>26</v>
      </c>
      <c r="E49" s="7" t="s">
        <v>3217</v>
      </c>
      <c r="F49" s="7" t="s">
        <v>3218</v>
      </c>
      <c r="G49" s="7" t="n">
        <v>47</v>
      </c>
      <c r="H49" s="7" t="s">
        <v>16</v>
      </c>
      <c r="I49" s="7" t="s">
        <v>5272</v>
      </c>
      <c r="J49" s="7" t="s">
        <v>5297</v>
      </c>
      <c r="K49" s="7" t="s">
        <v>5319</v>
      </c>
    </row>
    <row r="50" customFormat="false" ht="34.5" hidden="false" customHeight="true" outlineLevel="0" collapsed="false">
      <c r="A50" s="7" t="n">
        <v>46</v>
      </c>
      <c r="B50" s="16" t="s">
        <v>5276</v>
      </c>
      <c r="C50" s="7" t="s">
        <v>3405</v>
      </c>
      <c r="D50" s="7" t="s">
        <v>26</v>
      </c>
      <c r="E50" s="7" t="s">
        <v>3217</v>
      </c>
      <c r="F50" s="7" t="s">
        <v>3218</v>
      </c>
      <c r="G50" s="7" t="n">
        <v>48</v>
      </c>
      <c r="H50" s="7" t="s">
        <v>16</v>
      </c>
      <c r="I50" s="7"/>
      <c r="J50" s="7" t="s">
        <v>5297</v>
      </c>
      <c r="K50" s="7" t="s">
        <v>5320</v>
      </c>
    </row>
    <row r="51" customFormat="false" ht="34.5" hidden="false" customHeight="true" outlineLevel="0" collapsed="false">
      <c r="A51" s="7" t="n">
        <v>47</v>
      </c>
      <c r="B51" s="16" t="s">
        <v>5271</v>
      </c>
      <c r="C51" s="7" t="s">
        <v>3412</v>
      </c>
      <c r="D51" s="7" t="s">
        <v>26</v>
      </c>
      <c r="E51" s="7" t="s">
        <v>3217</v>
      </c>
      <c r="F51" s="7" t="s">
        <v>3218</v>
      </c>
      <c r="G51" s="7" t="n">
        <v>49</v>
      </c>
      <c r="H51" s="7" t="s">
        <v>16</v>
      </c>
      <c r="I51" s="7"/>
      <c r="J51" s="7" t="s">
        <v>5269</v>
      </c>
      <c r="K51" s="7" t="s">
        <v>5321</v>
      </c>
    </row>
    <row r="52" customFormat="false" ht="42" hidden="false" customHeight="true" outlineLevel="0" collapsed="false">
      <c r="A52" s="7" t="n">
        <v>48</v>
      </c>
      <c r="B52" s="16" t="s">
        <v>5276</v>
      </c>
      <c r="C52" s="7" t="s">
        <v>3417</v>
      </c>
      <c r="D52" s="7" t="s">
        <v>26</v>
      </c>
      <c r="E52" s="7" t="s">
        <v>3217</v>
      </c>
      <c r="F52" s="7" t="s">
        <v>3218</v>
      </c>
      <c r="G52" s="7" t="n">
        <v>50</v>
      </c>
      <c r="H52" s="7" t="s">
        <v>16</v>
      </c>
      <c r="I52" s="7"/>
      <c r="J52" s="7" t="s">
        <v>5269</v>
      </c>
      <c r="K52" s="7" t="s">
        <v>5322</v>
      </c>
    </row>
    <row r="53" customFormat="false" ht="34.5" hidden="false" customHeight="true" outlineLevel="0" collapsed="false">
      <c r="A53" s="7" t="n">
        <v>49</v>
      </c>
      <c r="B53" s="16" t="s">
        <v>5276</v>
      </c>
      <c r="C53" s="7" t="s">
        <v>3421</v>
      </c>
      <c r="D53" s="7" t="s">
        <v>26</v>
      </c>
      <c r="E53" s="7" t="s">
        <v>3217</v>
      </c>
      <c r="F53" s="7" t="s">
        <v>3218</v>
      </c>
      <c r="G53" s="7" t="n">
        <v>51</v>
      </c>
      <c r="H53" s="7" t="s">
        <v>16</v>
      </c>
      <c r="I53" s="7"/>
      <c r="J53" s="7" t="s">
        <v>5269</v>
      </c>
      <c r="K53" s="7" t="s">
        <v>5323</v>
      </c>
    </row>
    <row r="54" customFormat="false" ht="34.5" hidden="false" customHeight="true" outlineLevel="0" collapsed="false">
      <c r="A54" s="7" t="n">
        <v>50</v>
      </c>
      <c r="B54" s="16" t="s">
        <v>5268</v>
      </c>
      <c r="C54" s="7" t="s">
        <v>3427</v>
      </c>
      <c r="D54" s="7" t="s">
        <v>26</v>
      </c>
      <c r="E54" s="7" t="s">
        <v>3217</v>
      </c>
      <c r="F54" s="7" t="s">
        <v>3218</v>
      </c>
      <c r="G54" s="7" t="n">
        <v>52</v>
      </c>
      <c r="H54" s="7" t="s">
        <v>16</v>
      </c>
      <c r="I54" s="7"/>
      <c r="J54" s="7" t="s">
        <v>5269</v>
      </c>
      <c r="K54" s="7" t="s">
        <v>5324</v>
      </c>
    </row>
    <row r="55" customFormat="false" ht="34.5" hidden="false" customHeight="true" outlineLevel="0" collapsed="false">
      <c r="A55" s="7" t="n">
        <v>51</v>
      </c>
      <c r="B55" s="16" t="s">
        <v>5276</v>
      </c>
      <c r="C55" s="7" t="s">
        <v>3429</v>
      </c>
      <c r="D55" s="7" t="s">
        <v>26</v>
      </c>
      <c r="E55" s="7" t="s">
        <v>3217</v>
      </c>
      <c r="F55" s="7" t="s">
        <v>3218</v>
      </c>
      <c r="G55" s="7" t="n">
        <v>53</v>
      </c>
      <c r="H55" s="7" t="s">
        <v>16</v>
      </c>
      <c r="I55" s="7"/>
      <c r="J55" s="7" t="s">
        <v>5269</v>
      </c>
      <c r="K55" s="7" t="s">
        <v>5325</v>
      </c>
    </row>
    <row r="56" customFormat="false" ht="54.75" hidden="false" customHeight="true" outlineLevel="0" collapsed="false">
      <c r="A56" s="7" t="n">
        <v>52</v>
      </c>
      <c r="B56" s="16" t="s">
        <v>5276</v>
      </c>
      <c r="C56" s="7" t="s">
        <v>3433</v>
      </c>
      <c r="D56" s="7" t="s">
        <v>26</v>
      </c>
      <c r="E56" s="7" t="s">
        <v>3217</v>
      </c>
      <c r="F56" s="7" t="s">
        <v>3218</v>
      </c>
      <c r="G56" s="7" t="n">
        <v>54</v>
      </c>
      <c r="H56" s="7" t="s">
        <v>16</v>
      </c>
      <c r="I56" s="7"/>
      <c r="J56" s="7" t="s">
        <v>5269</v>
      </c>
      <c r="K56" s="7" t="s">
        <v>5326</v>
      </c>
    </row>
    <row r="57" customFormat="false" ht="34.5" hidden="false" customHeight="true" outlineLevel="0" collapsed="false">
      <c r="A57" s="7" t="n">
        <v>53</v>
      </c>
      <c r="B57" s="16" t="s">
        <v>5268</v>
      </c>
      <c r="C57" s="7" t="s">
        <v>3360</v>
      </c>
      <c r="D57" s="7" t="s">
        <v>26</v>
      </c>
      <c r="E57" s="7" t="s">
        <v>3217</v>
      </c>
      <c r="F57" s="7" t="s">
        <v>3218</v>
      </c>
      <c r="G57" s="7" t="n">
        <v>55</v>
      </c>
      <c r="H57" s="7" t="s">
        <v>16</v>
      </c>
      <c r="I57" s="7"/>
      <c r="J57" s="7" t="s">
        <v>5269</v>
      </c>
      <c r="K57" s="7" t="s">
        <v>5327</v>
      </c>
    </row>
    <row r="58" customFormat="false" ht="42" hidden="false" customHeight="true" outlineLevel="0" collapsed="false">
      <c r="A58" s="7" t="n">
        <v>54</v>
      </c>
      <c r="B58" s="16" t="s">
        <v>5271</v>
      </c>
      <c r="C58" s="7" t="s">
        <v>3444</v>
      </c>
      <c r="D58" s="7" t="s">
        <v>26</v>
      </c>
      <c r="E58" s="7" t="s">
        <v>3217</v>
      </c>
      <c r="F58" s="7" t="s">
        <v>3218</v>
      </c>
      <c r="G58" s="7" t="n">
        <v>56</v>
      </c>
      <c r="H58" s="7" t="s">
        <v>16</v>
      </c>
      <c r="I58" s="7"/>
      <c r="J58" s="7" t="s">
        <v>5269</v>
      </c>
      <c r="K58" s="7" t="s">
        <v>5328</v>
      </c>
    </row>
    <row r="59" customFormat="false" ht="34.5" hidden="false" customHeight="true" outlineLevel="0" collapsed="false">
      <c r="A59" s="7" t="n">
        <v>55</v>
      </c>
      <c r="B59" s="16" t="s">
        <v>5268</v>
      </c>
      <c r="C59" s="7" t="s">
        <v>3449</v>
      </c>
      <c r="D59" s="7" t="s">
        <v>26</v>
      </c>
      <c r="E59" s="7" t="s">
        <v>3217</v>
      </c>
      <c r="F59" s="7" t="s">
        <v>3218</v>
      </c>
      <c r="G59" s="7" t="n">
        <v>57</v>
      </c>
      <c r="H59" s="7" t="s">
        <v>16</v>
      </c>
      <c r="I59" s="7"/>
      <c r="J59" s="7" t="s">
        <v>5269</v>
      </c>
      <c r="K59" s="7" t="s">
        <v>5329</v>
      </c>
    </row>
    <row r="60" customFormat="false" ht="42" hidden="false" customHeight="true" outlineLevel="0" collapsed="false">
      <c r="A60" s="7" t="n">
        <v>56</v>
      </c>
      <c r="B60" s="16" t="s">
        <v>5276</v>
      </c>
      <c r="C60" s="7" t="s">
        <v>3451</v>
      </c>
      <c r="D60" s="7" t="s">
        <v>26</v>
      </c>
      <c r="E60" s="7" t="s">
        <v>3217</v>
      </c>
      <c r="F60" s="7" t="s">
        <v>3218</v>
      </c>
      <c r="G60" s="7" t="n">
        <v>58</v>
      </c>
      <c r="H60" s="7" t="s">
        <v>16</v>
      </c>
      <c r="I60" s="7"/>
      <c r="J60" s="7" t="s">
        <v>5269</v>
      </c>
      <c r="K60" s="7" t="s">
        <v>5330</v>
      </c>
    </row>
    <row r="61" customFormat="false" ht="42" hidden="false" customHeight="true" outlineLevel="0" collapsed="false">
      <c r="A61" s="7" t="n">
        <v>57</v>
      </c>
      <c r="B61" s="16" t="s">
        <v>5271</v>
      </c>
      <c r="C61" s="7" t="s">
        <v>3456</v>
      </c>
      <c r="D61" s="7" t="s">
        <v>26</v>
      </c>
      <c r="E61" s="7" t="s">
        <v>3217</v>
      </c>
      <c r="F61" s="7" t="s">
        <v>3218</v>
      </c>
      <c r="G61" s="7" t="n">
        <v>59</v>
      </c>
      <c r="H61" s="7" t="s">
        <v>16</v>
      </c>
      <c r="I61" s="7"/>
      <c r="J61" s="7" t="s">
        <v>5269</v>
      </c>
      <c r="K61" s="7" t="s">
        <v>5331</v>
      </c>
    </row>
    <row r="62" customFormat="false" ht="42" hidden="false" customHeight="true" outlineLevel="0" collapsed="false">
      <c r="A62" s="7" t="n">
        <v>58</v>
      </c>
      <c r="B62" s="16" t="s">
        <v>5274</v>
      </c>
      <c r="C62" s="7" t="s">
        <v>3458</v>
      </c>
      <c r="D62" s="7" t="s">
        <v>26</v>
      </c>
      <c r="E62" s="7" t="s">
        <v>3217</v>
      </c>
      <c r="F62" s="7" t="s">
        <v>3218</v>
      </c>
      <c r="G62" s="7" t="n">
        <v>60</v>
      </c>
      <c r="H62" s="7" t="s">
        <v>16</v>
      </c>
      <c r="I62" s="7"/>
      <c r="J62" s="7" t="s">
        <v>5269</v>
      </c>
      <c r="K62" s="7" t="s">
        <v>5332</v>
      </c>
    </row>
    <row r="63" customFormat="false" ht="42" hidden="false" customHeight="true" outlineLevel="0" collapsed="false">
      <c r="A63" s="7" t="n">
        <v>59</v>
      </c>
      <c r="B63" s="16" t="s">
        <v>5276</v>
      </c>
      <c r="C63" s="7" t="s">
        <v>3463</v>
      </c>
      <c r="D63" s="7" t="s">
        <v>26</v>
      </c>
      <c r="E63" s="7" t="s">
        <v>3217</v>
      </c>
      <c r="F63" s="7" t="s">
        <v>3218</v>
      </c>
      <c r="G63" s="7" t="n">
        <v>61</v>
      </c>
      <c r="H63" s="7" t="s">
        <v>16</v>
      </c>
      <c r="I63" s="7"/>
      <c r="J63" s="7" t="s">
        <v>5269</v>
      </c>
      <c r="K63" s="7" t="s">
        <v>5333</v>
      </c>
    </row>
    <row r="64" customFormat="false" ht="34.5" hidden="false" customHeight="true" outlineLevel="0" collapsed="false">
      <c r="A64" s="7" t="n">
        <v>60</v>
      </c>
      <c r="B64" s="16" t="s">
        <v>5268</v>
      </c>
      <c r="C64" s="7" t="s">
        <v>3360</v>
      </c>
      <c r="D64" s="7" t="s">
        <v>26</v>
      </c>
      <c r="E64" s="7" t="s">
        <v>3217</v>
      </c>
      <c r="F64" s="7" t="s">
        <v>3218</v>
      </c>
      <c r="G64" s="7" t="n">
        <v>62</v>
      </c>
      <c r="H64" s="7" t="s">
        <v>16</v>
      </c>
      <c r="I64" s="7"/>
      <c r="J64" s="7" t="s">
        <v>5269</v>
      </c>
      <c r="K64" s="7" t="s">
        <v>5334</v>
      </c>
    </row>
    <row r="65" customFormat="false" ht="42" hidden="false" customHeight="true" outlineLevel="0" collapsed="false">
      <c r="A65" s="7" t="n">
        <v>61</v>
      </c>
      <c r="B65" s="16" t="s">
        <v>5271</v>
      </c>
      <c r="C65" s="7" t="s">
        <v>3474</v>
      </c>
      <c r="D65" s="7" t="s">
        <v>26</v>
      </c>
      <c r="E65" s="7" t="s">
        <v>3217</v>
      </c>
      <c r="F65" s="7" t="s">
        <v>3218</v>
      </c>
      <c r="G65" s="7" t="n">
        <v>63</v>
      </c>
      <c r="H65" s="7" t="s">
        <v>16</v>
      </c>
      <c r="I65" s="7"/>
      <c r="J65" s="7" t="s">
        <v>5269</v>
      </c>
      <c r="K65" s="7" t="s">
        <v>5335</v>
      </c>
    </row>
    <row r="66" customFormat="false" ht="42" hidden="false" customHeight="true" outlineLevel="0" collapsed="false">
      <c r="A66" s="7" t="n">
        <v>62</v>
      </c>
      <c r="B66" s="16" t="s">
        <v>5274</v>
      </c>
      <c r="C66" s="7" t="s">
        <v>3478</v>
      </c>
      <c r="D66" s="7" t="s">
        <v>26</v>
      </c>
      <c r="E66" s="7" t="s">
        <v>3217</v>
      </c>
      <c r="F66" s="7" t="s">
        <v>3218</v>
      </c>
      <c r="G66" s="7" t="n">
        <v>64</v>
      </c>
      <c r="H66" s="7" t="s">
        <v>16</v>
      </c>
      <c r="I66" s="7"/>
      <c r="J66" s="7" t="s">
        <v>5269</v>
      </c>
      <c r="K66" s="7" t="s">
        <v>5336</v>
      </c>
    </row>
    <row r="67" customFormat="false" ht="34.5" hidden="false" customHeight="true" outlineLevel="0" collapsed="false">
      <c r="A67" s="7" t="n">
        <v>63</v>
      </c>
      <c r="B67" s="16" t="s">
        <v>5274</v>
      </c>
      <c r="C67" s="7" t="s">
        <v>3482</v>
      </c>
      <c r="D67" s="7" t="s">
        <v>26</v>
      </c>
      <c r="E67" s="7" t="s">
        <v>3217</v>
      </c>
      <c r="F67" s="7" t="s">
        <v>3218</v>
      </c>
      <c r="G67" s="7" t="n">
        <v>65</v>
      </c>
      <c r="H67" s="7" t="s">
        <v>16</v>
      </c>
      <c r="I67" s="7"/>
      <c r="J67" s="7" t="s">
        <v>5269</v>
      </c>
      <c r="K67" s="7" t="s">
        <v>5337</v>
      </c>
    </row>
    <row r="68" customFormat="false" ht="42" hidden="false" customHeight="true" outlineLevel="0" collapsed="false">
      <c r="A68" s="7" t="n">
        <v>64</v>
      </c>
      <c r="B68" s="16" t="s">
        <v>5271</v>
      </c>
      <c r="C68" s="7" t="s">
        <v>3488</v>
      </c>
      <c r="D68" s="7" t="s">
        <v>26</v>
      </c>
      <c r="E68" s="7" t="s">
        <v>3217</v>
      </c>
      <c r="F68" s="7" t="s">
        <v>3218</v>
      </c>
      <c r="G68" s="7" t="n">
        <v>66</v>
      </c>
      <c r="H68" s="7" t="s">
        <v>16</v>
      </c>
      <c r="I68" s="7"/>
      <c r="J68" s="7" t="s">
        <v>5269</v>
      </c>
      <c r="K68" s="7" t="s">
        <v>5338</v>
      </c>
    </row>
    <row r="69" customFormat="false" ht="34.5" hidden="false" customHeight="true" outlineLevel="0" collapsed="false">
      <c r="A69" s="7" t="n">
        <v>65</v>
      </c>
      <c r="B69" s="16" t="s">
        <v>5271</v>
      </c>
      <c r="C69" s="7" t="s">
        <v>3492</v>
      </c>
      <c r="D69" s="7" t="s">
        <v>26</v>
      </c>
      <c r="E69" s="7" t="s">
        <v>3217</v>
      </c>
      <c r="F69" s="7" t="s">
        <v>3218</v>
      </c>
      <c r="G69" s="7" t="n">
        <v>67</v>
      </c>
      <c r="H69" s="7" t="s">
        <v>16</v>
      </c>
      <c r="I69" s="7"/>
      <c r="J69" s="7" t="s">
        <v>5269</v>
      </c>
      <c r="K69" s="7" t="s">
        <v>5339</v>
      </c>
    </row>
    <row r="70" customFormat="false" ht="54.75" hidden="false" customHeight="true" outlineLevel="0" collapsed="false">
      <c r="A70" s="7" t="n">
        <v>66</v>
      </c>
      <c r="B70" s="16" t="s">
        <v>5271</v>
      </c>
      <c r="C70" s="7" t="s">
        <v>3496</v>
      </c>
      <c r="D70" s="7" t="s">
        <v>26</v>
      </c>
      <c r="E70" s="7" t="s">
        <v>3217</v>
      </c>
      <c r="F70" s="7" t="s">
        <v>3218</v>
      </c>
      <c r="G70" s="7" t="n">
        <v>68</v>
      </c>
      <c r="H70" s="7" t="s">
        <v>16</v>
      </c>
      <c r="I70" s="7" t="s">
        <v>5272</v>
      </c>
      <c r="J70" s="7" t="s">
        <v>5269</v>
      </c>
      <c r="K70" s="7" t="s">
        <v>5340</v>
      </c>
    </row>
    <row r="71" customFormat="false" ht="34.5" hidden="false" customHeight="true" outlineLevel="0" collapsed="false">
      <c r="A71" s="7" t="n">
        <v>67</v>
      </c>
      <c r="B71" s="16" t="s">
        <v>5268</v>
      </c>
      <c r="C71" s="7" t="s">
        <v>3360</v>
      </c>
      <c r="D71" s="7" t="s">
        <v>26</v>
      </c>
      <c r="E71" s="7" t="s">
        <v>3217</v>
      </c>
      <c r="F71" s="7" t="s">
        <v>3218</v>
      </c>
      <c r="G71" s="7" t="n">
        <v>69</v>
      </c>
      <c r="H71" s="7" t="s">
        <v>16</v>
      </c>
      <c r="I71" s="7"/>
      <c r="J71" s="7" t="s">
        <v>5269</v>
      </c>
      <c r="K71" s="7" t="s">
        <v>5341</v>
      </c>
    </row>
    <row r="72" customFormat="false" ht="42" hidden="false" customHeight="true" outlineLevel="0" collapsed="false">
      <c r="A72" s="7" t="n">
        <v>68</v>
      </c>
      <c r="B72" s="16" t="s">
        <v>5268</v>
      </c>
      <c r="C72" s="7" t="s">
        <v>3503</v>
      </c>
      <c r="D72" s="7" t="s">
        <v>26</v>
      </c>
      <c r="E72" s="7" t="s">
        <v>3217</v>
      </c>
      <c r="F72" s="7" t="s">
        <v>3218</v>
      </c>
      <c r="G72" s="7" t="n">
        <v>70</v>
      </c>
      <c r="H72" s="7" t="s">
        <v>16</v>
      </c>
      <c r="I72" s="7"/>
      <c r="J72" s="7" t="s">
        <v>5269</v>
      </c>
      <c r="K72" s="7" t="s">
        <v>5342</v>
      </c>
    </row>
    <row r="73" customFormat="false" ht="42" hidden="false" customHeight="true" outlineLevel="0" collapsed="false">
      <c r="A73" s="7" t="n">
        <v>69</v>
      </c>
      <c r="B73" s="16" t="s">
        <v>5271</v>
      </c>
      <c r="C73" s="7" t="s">
        <v>3506</v>
      </c>
      <c r="D73" s="7" t="s">
        <v>26</v>
      </c>
      <c r="E73" s="7" t="s">
        <v>3217</v>
      </c>
      <c r="F73" s="7" t="s">
        <v>3218</v>
      </c>
      <c r="G73" s="7" t="n">
        <v>71</v>
      </c>
      <c r="H73" s="7" t="s">
        <v>16</v>
      </c>
      <c r="I73" s="7" t="s">
        <v>5272</v>
      </c>
      <c r="J73" s="7" t="s">
        <v>5269</v>
      </c>
      <c r="K73" s="7" t="s">
        <v>5343</v>
      </c>
    </row>
    <row r="74" customFormat="false" ht="34.5" hidden="false" customHeight="true" outlineLevel="0" collapsed="false">
      <c r="A74" s="7" t="n">
        <v>70</v>
      </c>
      <c r="B74" s="16" t="s">
        <v>5268</v>
      </c>
      <c r="C74" s="7" t="s">
        <v>3510</v>
      </c>
      <c r="D74" s="7" t="s">
        <v>26</v>
      </c>
      <c r="E74" s="7" t="s">
        <v>3217</v>
      </c>
      <c r="F74" s="7" t="s">
        <v>3218</v>
      </c>
      <c r="G74" s="7" t="n">
        <v>72</v>
      </c>
      <c r="H74" s="7" t="s">
        <v>16</v>
      </c>
      <c r="I74" s="7"/>
      <c r="J74" s="7" t="s">
        <v>5269</v>
      </c>
      <c r="K74" s="7" t="s">
        <v>5344</v>
      </c>
    </row>
    <row r="75" customFormat="false" ht="34.5" hidden="false" customHeight="true" outlineLevel="0" collapsed="false">
      <c r="A75" s="7" t="n">
        <v>71</v>
      </c>
      <c r="B75" s="16" t="s">
        <v>5271</v>
      </c>
      <c r="C75" s="7" t="s">
        <v>3515</v>
      </c>
      <c r="D75" s="7" t="s">
        <v>26</v>
      </c>
      <c r="E75" s="7" t="s">
        <v>3217</v>
      </c>
      <c r="F75" s="7" t="s">
        <v>3218</v>
      </c>
      <c r="G75" s="7" t="n">
        <v>73</v>
      </c>
      <c r="H75" s="7" t="s">
        <v>16</v>
      </c>
      <c r="I75" s="7"/>
      <c r="J75" s="7" t="s">
        <v>5269</v>
      </c>
      <c r="K75" s="7" t="s">
        <v>5345</v>
      </c>
    </row>
    <row r="76" customFormat="false" ht="34.5" hidden="false" customHeight="true" outlineLevel="0" collapsed="false">
      <c r="A76" s="7" t="n">
        <v>72</v>
      </c>
      <c r="B76" s="16" t="s">
        <v>5268</v>
      </c>
      <c r="C76" s="7" t="s">
        <v>3360</v>
      </c>
      <c r="D76" s="7" t="s">
        <v>26</v>
      </c>
      <c r="E76" s="7" t="s">
        <v>3217</v>
      </c>
      <c r="F76" s="7" t="s">
        <v>3218</v>
      </c>
      <c r="G76" s="7" t="n">
        <v>74</v>
      </c>
      <c r="H76" s="7" t="s">
        <v>16</v>
      </c>
      <c r="I76" s="7"/>
      <c r="J76" s="7" t="s">
        <v>5269</v>
      </c>
      <c r="K76" s="7" t="s">
        <v>5346</v>
      </c>
    </row>
    <row r="77" customFormat="false" ht="42" hidden="false" customHeight="true" outlineLevel="0" collapsed="false">
      <c r="A77" s="7" t="n">
        <v>73</v>
      </c>
      <c r="B77" s="16" t="s">
        <v>5268</v>
      </c>
      <c r="C77" s="7" t="s">
        <v>3525</v>
      </c>
      <c r="D77" s="7" t="s">
        <v>26</v>
      </c>
      <c r="E77" s="7" t="s">
        <v>3217</v>
      </c>
      <c r="F77" s="7" t="s">
        <v>3218</v>
      </c>
      <c r="G77" s="7" t="n">
        <v>75</v>
      </c>
      <c r="H77" s="7" t="s">
        <v>16</v>
      </c>
      <c r="I77" s="7" t="s">
        <v>5272</v>
      </c>
      <c r="J77" s="7" t="s">
        <v>5269</v>
      </c>
      <c r="K77" s="7" t="s">
        <v>5347</v>
      </c>
    </row>
    <row r="78" customFormat="false" ht="34.5" hidden="false" customHeight="true" outlineLevel="0" collapsed="false">
      <c r="A78" s="7" t="n">
        <v>74</v>
      </c>
      <c r="B78" s="16" t="s">
        <v>5274</v>
      </c>
      <c r="C78" s="7" t="s">
        <v>3526</v>
      </c>
      <c r="D78" s="7" t="s">
        <v>26</v>
      </c>
      <c r="E78" s="7" t="s">
        <v>3217</v>
      </c>
      <c r="F78" s="7" t="s">
        <v>3218</v>
      </c>
      <c r="G78" s="7" t="n">
        <v>76</v>
      </c>
      <c r="H78" s="7" t="s">
        <v>16</v>
      </c>
      <c r="I78" s="7"/>
      <c r="J78" s="7" t="s">
        <v>5269</v>
      </c>
      <c r="K78" s="7" t="s">
        <v>5348</v>
      </c>
    </row>
    <row r="79" customFormat="false" ht="34.5" hidden="false" customHeight="true" outlineLevel="0" collapsed="false">
      <c r="A79" s="7" t="n">
        <v>75</v>
      </c>
      <c r="B79" s="16" t="s">
        <v>5268</v>
      </c>
      <c r="C79" s="7" t="s">
        <v>3360</v>
      </c>
      <c r="D79" s="7" t="s">
        <v>26</v>
      </c>
      <c r="E79" s="7" t="s">
        <v>3217</v>
      </c>
      <c r="F79" s="7" t="s">
        <v>3218</v>
      </c>
      <c r="G79" s="7" t="n">
        <v>77</v>
      </c>
      <c r="H79" s="7" t="s">
        <v>16</v>
      </c>
      <c r="I79" s="7"/>
      <c r="J79" s="7" t="s">
        <v>5269</v>
      </c>
      <c r="K79" s="7" t="s">
        <v>5349</v>
      </c>
    </row>
    <row r="80" customFormat="false" ht="34.5" hidden="false" customHeight="true" outlineLevel="0" collapsed="false">
      <c r="A80" s="7" t="n">
        <v>76</v>
      </c>
      <c r="B80" s="16" t="s">
        <v>5271</v>
      </c>
      <c r="C80" s="7" t="s">
        <v>3533</v>
      </c>
      <c r="D80" s="7" t="s">
        <v>26</v>
      </c>
      <c r="E80" s="7" t="s">
        <v>3217</v>
      </c>
      <c r="F80" s="7" t="s">
        <v>3218</v>
      </c>
      <c r="G80" s="7" t="n">
        <v>78</v>
      </c>
      <c r="H80" s="7" t="s">
        <v>16</v>
      </c>
      <c r="I80" s="7"/>
      <c r="J80" s="7" t="s">
        <v>5269</v>
      </c>
      <c r="K80" s="7" t="s">
        <v>5350</v>
      </c>
    </row>
    <row r="81" customFormat="false" ht="34.5" hidden="false" customHeight="true" outlineLevel="0" collapsed="false">
      <c r="A81" s="7" t="n">
        <v>77</v>
      </c>
      <c r="B81" s="16" t="s">
        <v>5271</v>
      </c>
      <c r="C81" s="7" t="s">
        <v>3537</v>
      </c>
      <c r="D81" s="7" t="s">
        <v>26</v>
      </c>
      <c r="E81" s="7" t="s">
        <v>3217</v>
      </c>
      <c r="F81" s="7" t="s">
        <v>3218</v>
      </c>
      <c r="G81" s="7" t="n">
        <v>79</v>
      </c>
      <c r="H81" s="7" t="s">
        <v>16</v>
      </c>
      <c r="I81" s="7"/>
      <c r="J81" s="7" t="s">
        <v>5269</v>
      </c>
      <c r="K81" s="7" t="s">
        <v>5351</v>
      </c>
    </row>
    <row r="82" customFormat="false" ht="34.5" hidden="false" customHeight="true" outlineLevel="0" collapsed="false">
      <c r="A82" s="7" t="n">
        <v>78</v>
      </c>
      <c r="B82" s="16" t="s">
        <v>5276</v>
      </c>
      <c r="C82" s="7" t="s">
        <v>3540</v>
      </c>
      <c r="D82" s="7" t="s">
        <v>26</v>
      </c>
      <c r="E82" s="7" t="s">
        <v>3217</v>
      </c>
      <c r="F82" s="7" t="s">
        <v>3218</v>
      </c>
      <c r="G82" s="7" t="n">
        <v>80</v>
      </c>
      <c r="H82" s="7" t="s">
        <v>16</v>
      </c>
      <c r="I82" s="7"/>
      <c r="J82" s="7" t="s">
        <v>5269</v>
      </c>
      <c r="K82" s="7" t="s">
        <v>5352</v>
      </c>
    </row>
    <row r="83" customFormat="false" ht="34.5" hidden="false" customHeight="true" outlineLevel="0" collapsed="false">
      <c r="A83" s="7" t="n">
        <v>79</v>
      </c>
      <c r="B83" s="16" t="s">
        <v>5271</v>
      </c>
      <c r="C83" s="7" t="s">
        <v>3545</v>
      </c>
      <c r="D83" s="7" t="s">
        <v>26</v>
      </c>
      <c r="E83" s="7" t="s">
        <v>3217</v>
      </c>
      <c r="F83" s="7" t="s">
        <v>3218</v>
      </c>
      <c r="G83" s="7" t="n">
        <v>81</v>
      </c>
      <c r="H83" s="7" t="s">
        <v>16</v>
      </c>
      <c r="I83" s="7"/>
      <c r="J83" s="7" t="s">
        <v>5269</v>
      </c>
      <c r="K83" s="7" t="s">
        <v>5353</v>
      </c>
    </row>
    <row r="84" customFormat="false" ht="34.5" hidden="false" customHeight="true" outlineLevel="0" collapsed="false">
      <c r="A84" s="7" t="n">
        <v>80</v>
      </c>
      <c r="B84" s="16" t="s">
        <v>5268</v>
      </c>
      <c r="C84" s="7" t="s">
        <v>3360</v>
      </c>
      <c r="D84" s="7" t="s">
        <v>26</v>
      </c>
      <c r="E84" s="7" t="s">
        <v>3217</v>
      </c>
      <c r="F84" s="7" t="s">
        <v>3218</v>
      </c>
      <c r="G84" s="7" t="n">
        <v>82</v>
      </c>
      <c r="H84" s="7" t="s">
        <v>16</v>
      </c>
      <c r="I84" s="7"/>
      <c r="J84" s="7" t="s">
        <v>5269</v>
      </c>
      <c r="K84" s="7" t="s">
        <v>5354</v>
      </c>
    </row>
    <row r="85" customFormat="false" ht="42" hidden="false" customHeight="true" outlineLevel="0" collapsed="false">
      <c r="A85" s="7" t="n">
        <v>81</v>
      </c>
      <c r="B85" s="16" t="s">
        <v>5276</v>
      </c>
      <c r="C85" s="7" t="s">
        <v>3551</v>
      </c>
      <c r="D85" s="7" t="s">
        <v>26</v>
      </c>
      <c r="E85" s="7" t="s">
        <v>3217</v>
      </c>
      <c r="F85" s="7" t="s">
        <v>3218</v>
      </c>
      <c r="G85" s="7" t="n">
        <v>83</v>
      </c>
      <c r="H85" s="7" t="s">
        <v>16</v>
      </c>
      <c r="I85" s="7" t="s">
        <v>5272</v>
      </c>
      <c r="J85" s="7" t="s">
        <v>5269</v>
      </c>
      <c r="K85" s="7" t="s">
        <v>5355</v>
      </c>
    </row>
    <row r="86" customFormat="false" ht="54.75" hidden="false" customHeight="true" outlineLevel="0" collapsed="false">
      <c r="A86" s="7" t="n">
        <v>82</v>
      </c>
      <c r="B86" s="16" t="s">
        <v>5268</v>
      </c>
      <c r="C86" s="7" t="s">
        <v>3557</v>
      </c>
      <c r="D86" s="7" t="s">
        <v>26</v>
      </c>
      <c r="E86" s="7" t="s">
        <v>3217</v>
      </c>
      <c r="F86" s="7" t="s">
        <v>3218</v>
      </c>
      <c r="G86" s="7" t="n">
        <v>84</v>
      </c>
      <c r="H86" s="7" t="s">
        <v>16</v>
      </c>
      <c r="I86" s="7"/>
      <c r="J86" s="7" t="s">
        <v>5269</v>
      </c>
      <c r="K86" s="7" t="s">
        <v>5356</v>
      </c>
    </row>
    <row r="87" customFormat="false" ht="34.5" hidden="false" customHeight="true" outlineLevel="0" collapsed="false">
      <c r="A87" s="7" t="n">
        <v>83</v>
      </c>
      <c r="B87" s="16" t="s">
        <v>5271</v>
      </c>
      <c r="C87" s="7" t="s">
        <v>3428</v>
      </c>
      <c r="D87" s="7" t="s">
        <v>26</v>
      </c>
      <c r="E87" s="7" t="s">
        <v>3217</v>
      </c>
      <c r="F87" s="7" t="s">
        <v>3218</v>
      </c>
      <c r="G87" s="7" t="n">
        <v>85</v>
      </c>
      <c r="H87" s="7" t="s">
        <v>16</v>
      </c>
      <c r="I87" s="7"/>
      <c r="J87" s="7" t="s">
        <v>5269</v>
      </c>
      <c r="K87" s="7" t="s">
        <v>5357</v>
      </c>
    </row>
    <row r="88" customFormat="false" ht="34.5" hidden="false" customHeight="true" outlineLevel="0" collapsed="false">
      <c r="A88" s="7" t="n">
        <v>84</v>
      </c>
      <c r="B88" s="16" t="s">
        <v>5274</v>
      </c>
      <c r="C88" s="7" t="s">
        <v>3561</v>
      </c>
      <c r="D88" s="7" t="s">
        <v>26</v>
      </c>
      <c r="E88" s="7" t="s">
        <v>3217</v>
      </c>
      <c r="F88" s="7" t="s">
        <v>3218</v>
      </c>
      <c r="G88" s="7" t="n">
        <v>86</v>
      </c>
      <c r="H88" s="7" t="s">
        <v>16</v>
      </c>
      <c r="I88" s="7"/>
      <c r="J88" s="7" t="s">
        <v>5269</v>
      </c>
      <c r="K88" s="7" t="s">
        <v>5358</v>
      </c>
    </row>
    <row r="89" customFormat="false" ht="34.5" hidden="false" customHeight="true" outlineLevel="0" collapsed="false">
      <c r="A89" s="7" t="n">
        <v>85</v>
      </c>
      <c r="B89" s="16" t="s">
        <v>5271</v>
      </c>
      <c r="C89" s="7" t="s">
        <v>3567</v>
      </c>
      <c r="D89" s="7" t="s">
        <v>26</v>
      </c>
      <c r="E89" s="7" t="s">
        <v>3217</v>
      </c>
      <c r="F89" s="7" t="s">
        <v>3218</v>
      </c>
      <c r="G89" s="7" t="n">
        <v>87</v>
      </c>
      <c r="H89" s="7" t="s">
        <v>16</v>
      </c>
      <c r="I89" s="7" t="s">
        <v>5272</v>
      </c>
      <c r="J89" s="7" t="s">
        <v>5269</v>
      </c>
      <c r="K89" s="7" t="s">
        <v>5359</v>
      </c>
    </row>
    <row r="90" customFormat="false" ht="42" hidden="false" customHeight="true" outlineLevel="0" collapsed="false">
      <c r="A90" s="7" t="n">
        <v>86</v>
      </c>
      <c r="B90" s="16" t="s">
        <v>5276</v>
      </c>
      <c r="C90" s="7" t="s">
        <v>3570</v>
      </c>
      <c r="D90" s="7" t="s">
        <v>26</v>
      </c>
      <c r="E90" s="7" t="s">
        <v>3217</v>
      </c>
      <c r="F90" s="7" t="s">
        <v>3218</v>
      </c>
      <c r="G90" s="7" t="n">
        <v>88</v>
      </c>
      <c r="H90" s="7" t="s">
        <v>16</v>
      </c>
      <c r="I90" s="7" t="s">
        <v>5272</v>
      </c>
      <c r="J90" s="7" t="s">
        <v>5269</v>
      </c>
      <c r="K90" s="7" t="s">
        <v>5360</v>
      </c>
    </row>
    <row r="91" customFormat="false" ht="34.5" hidden="false" customHeight="true" outlineLevel="0" collapsed="false">
      <c r="A91" s="7" t="n">
        <v>87</v>
      </c>
      <c r="B91" s="16" t="s">
        <v>5276</v>
      </c>
      <c r="C91" s="7" t="s">
        <v>3574</v>
      </c>
      <c r="D91" s="7" t="s">
        <v>26</v>
      </c>
      <c r="E91" s="7" t="s">
        <v>3217</v>
      </c>
      <c r="F91" s="7" t="s">
        <v>3218</v>
      </c>
      <c r="G91" s="7" t="n">
        <v>90</v>
      </c>
      <c r="H91" s="7" t="s">
        <v>16</v>
      </c>
      <c r="I91" s="7"/>
      <c r="J91" s="7" t="s">
        <v>5269</v>
      </c>
      <c r="K91" s="7" t="s">
        <v>5361</v>
      </c>
    </row>
    <row r="92" customFormat="false" ht="34.5" hidden="false" customHeight="true" outlineLevel="0" collapsed="false">
      <c r="A92" s="7" t="n">
        <v>88</v>
      </c>
      <c r="B92" s="16" t="s">
        <v>5276</v>
      </c>
      <c r="C92" s="7" t="s">
        <v>3578</v>
      </c>
      <c r="D92" s="7" t="s">
        <v>26</v>
      </c>
      <c r="E92" s="7" t="s">
        <v>3217</v>
      </c>
      <c r="F92" s="7" t="s">
        <v>3218</v>
      </c>
      <c r="G92" s="7" t="n">
        <v>91</v>
      </c>
      <c r="H92" s="7" t="s">
        <v>16</v>
      </c>
      <c r="I92" s="7"/>
      <c r="J92" s="7" t="s">
        <v>5269</v>
      </c>
      <c r="K92" s="7" t="s">
        <v>5362</v>
      </c>
    </row>
    <row r="93" customFormat="false" ht="42" hidden="false" customHeight="true" outlineLevel="0" collapsed="false">
      <c r="A93" s="7" t="n">
        <v>89</v>
      </c>
      <c r="B93" s="16" t="s">
        <v>5271</v>
      </c>
      <c r="C93" s="7" t="s">
        <v>3583</v>
      </c>
      <c r="D93" s="7" t="s">
        <v>26</v>
      </c>
      <c r="E93" s="7" t="s">
        <v>3217</v>
      </c>
      <c r="F93" s="7" t="s">
        <v>3218</v>
      </c>
      <c r="G93" s="7" t="n">
        <v>92</v>
      </c>
      <c r="H93" s="7" t="s">
        <v>16</v>
      </c>
      <c r="I93" s="7"/>
      <c r="J93" s="7" t="s">
        <v>5269</v>
      </c>
      <c r="K93" s="7" t="s">
        <v>5363</v>
      </c>
    </row>
    <row r="94" customFormat="false" ht="42" hidden="false" customHeight="true" outlineLevel="0" collapsed="false">
      <c r="A94" s="7" t="n">
        <v>90</v>
      </c>
      <c r="B94" s="16" t="s">
        <v>5268</v>
      </c>
      <c r="C94" s="7" t="s">
        <v>3588</v>
      </c>
      <c r="D94" s="7" t="s">
        <v>26</v>
      </c>
      <c r="E94" s="7" t="s">
        <v>3217</v>
      </c>
      <c r="F94" s="7" t="s">
        <v>3218</v>
      </c>
      <c r="G94" s="7" t="n">
        <v>93</v>
      </c>
      <c r="H94" s="7" t="s">
        <v>16</v>
      </c>
      <c r="I94" s="7" t="s">
        <v>5272</v>
      </c>
      <c r="J94" s="7" t="s">
        <v>5269</v>
      </c>
      <c r="K94" s="7" t="s">
        <v>5364</v>
      </c>
    </row>
    <row r="95" customFormat="false" ht="34.5" hidden="false" customHeight="true" outlineLevel="0" collapsed="false">
      <c r="A95" s="7" t="n">
        <v>91</v>
      </c>
      <c r="B95" s="16" t="s">
        <v>5274</v>
      </c>
      <c r="C95" s="7" t="s">
        <v>3589</v>
      </c>
      <c r="D95" s="7" t="s">
        <v>26</v>
      </c>
      <c r="E95" s="7" t="s">
        <v>3217</v>
      </c>
      <c r="F95" s="7" t="s">
        <v>3218</v>
      </c>
      <c r="G95" s="7" t="n">
        <v>94</v>
      </c>
      <c r="H95" s="7" t="s">
        <v>16</v>
      </c>
      <c r="I95" s="7"/>
      <c r="J95" s="7" t="s">
        <v>5269</v>
      </c>
      <c r="K95" s="7" t="s">
        <v>5365</v>
      </c>
    </row>
    <row r="96" customFormat="false" ht="42" hidden="false" customHeight="true" outlineLevel="0" collapsed="false">
      <c r="A96" s="7" t="n">
        <v>92</v>
      </c>
      <c r="B96" s="16" t="s">
        <v>5276</v>
      </c>
      <c r="C96" s="7" t="s">
        <v>3594</v>
      </c>
      <c r="D96" s="7" t="s">
        <v>26</v>
      </c>
      <c r="E96" s="7" t="s">
        <v>3217</v>
      </c>
      <c r="F96" s="7" t="s">
        <v>3218</v>
      </c>
      <c r="G96" s="7" t="n">
        <v>95</v>
      </c>
      <c r="H96" s="7" t="s">
        <v>16</v>
      </c>
      <c r="I96" s="7" t="s">
        <v>5272</v>
      </c>
      <c r="J96" s="7" t="s">
        <v>5269</v>
      </c>
      <c r="K96" s="7" t="s">
        <v>5366</v>
      </c>
    </row>
    <row r="97" customFormat="false" ht="34.5" hidden="false" customHeight="true" outlineLevel="0" collapsed="false">
      <c r="A97" s="7" t="n">
        <v>93</v>
      </c>
      <c r="B97" s="16" t="s">
        <v>5268</v>
      </c>
      <c r="C97" s="7" t="s">
        <v>3600</v>
      </c>
      <c r="D97" s="7" t="s">
        <v>26</v>
      </c>
      <c r="E97" s="7" t="s">
        <v>3217</v>
      </c>
      <c r="F97" s="7" t="s">
        <v>3218</v>
      </c>
      <c r="G97" s="7" t="n">
        <v>96</v>
      </c>
      <c r="H97" s="7" t="s">
        <v>16</v>
      </c>
      <c r="I97" s="7"/>
      <c r="J97" s="7" t="s">
        <v>5269</v>
      </c>
      <c r="K97" s="7" t="s">
        <v>5367</v>
      </c>
    </row>
    <row r="98" customFormat="false" ht="42" hidden="false" customHeight="true" outlineLevel="0" collapsed="false">
      <c r="A98" s="7" t="n">
        <v>94</v>
      </c>
      <c r="B98" s="16" t="s">
        <v>5274</v>
      </c>
      <c r="C98" s="7" t="s">
        <v>3603</v>
      </c>
      <c r="D98" s="7" t="s">
        <v>26</v>
      </c>
      <c r="E98" s="7" t="s">
        <v>3217</v>
      </c>
      <c r="F98" s="7" t="s">
        <v>3218</v>
      </c>
      <c r="G98" s="7" t="n">
        <v>97</v>
      </c>
      <c r="H98" s="7" t="s">
        <v>16</v>
      </c>
      <c r="I98" s="7" t="s">
        <v>5272</v>
      </c>
      <c r="J98" s="7" t="s">
        <v>5269</v>
      </c>
      <c r="K98" s="7" t="s">
        <v>5368</v>
      </c>
    </row>
    <row r="99" customFormat="false" ht="34.5" hidden="false" customHeight="true" outlineLevel="0" collapsed="false">
      <c r="A99" s="7" t="n">
        <v>95</v>
      </c>
      <c r="B99" s="16" t="s">
        <v>5268</v>
      </c>
      <c r="C99" s="7" t="s">
        <v>3612</v>
      </c>
      <c r="D99" s="7" t="s">
        <v>26</v>
      </c>
      <c r="E99" s="7" t="s">
        <v>3217</v>
      </c>
      <c r="F99" s="7" t="s">
        <v>3218</v>
      </c>
      <c r="G99" s="7" t="n">
        <v>98</v>
      </c>
      <c r="H99" s="7" t="s">
        <v>16</v>
      </c>
      <c r="I99" s="7" t="s">
        <v>5272</v>
      </c>
      <c r="J99" s="7" t="s">
        <v>5269</v>
      </c>
      <c r="K99" s="7" t="s">
        <v>5369</v>
      </c>
    </row>
    <row r="100" customFormat="false" ht="42" hidden="false" customHeight="true" outlineLevel="0" collapsed="false">
      <c r="A100" s="7" t="n">
        <v>96</v>
      </c>
      <c r="B100" s="16" t="s">
        <v>5274</v>
      </c>
      <c r="C100" s="7" t="s">
        <v>3613</v>
      </c>
      <c r="D100" s="7" t="s">
        <v>26</v>
      </c>
      <c r="E100" s="7" t="s">
        <v>3217</v>
      </c>
      <c r="F100" s="7" t="s">
        <v>3218</v>
      </c>
      <c r="G100" s="7" t="n">
        <v>99</v>
      </c>
      <c r="H100" s="7" t="s">
        <v>16</v>
      </c>
      <c r="I100" s="7"/>
      <c r="J100" s="7" t="s">
        <v>5269</v>
      </c>
      <c r="K100" s="7" t="s">
        <v>5370</v>
      </c>
    </row>
    <row r="101" customFormat="false" ht="42" hidden="false" customHeight="true" outlineLevel="0" collapsed="false">
      <c r="A101" s="7" t="n">
        <v>97</v>
      </c>
      <c r="B101" s="16" t="s">
        <v>5274</v>
      </c>
      <c r="C101" s="7" t="s">
        <v>3617</v>
      </c>
      <c r="D101" s="7" t="s">
        <v>26</v>
      </c>
      <c r="E101" s="7" t="s">
        <v>3217</v>
      </c>
      <c r="F101" s="7" t="s">
        <v>3218</v>
      </c>
      <c r="G101" s="7" t="n">
        <v>100</v>
      </c>
      <c r="H101" s="7" t="s">
        <v>16</v>
      </c>
      <c r="I101" s="7"/>
      <c r="J101" s="7" t="s">
        <v>5269</v>
      </c>
      <c r="K101" s="7" t="s">
        <v>5371</v>
      </c>
    </row>
    <row r="102" customFormat="false" ht="42" hidden="false" customHeight="true" outlineLevel="0" collapsed="false">
      <c r="A102" s="7" t="n">
        <v>98</v>
      </c>
      <c r="B102" s="16" t="s">
        <v>5276</v>
      </c>
      <c r="C102" s="7" t="s">
        <v>3622</v>
      </c>
      <c r="D102" s="7" t="s">
        <v>26</v>
      </c>
      <c r="E102" s="7" t="s">
        <v>3217</v>
      </c>
      <c r="F102" s="7" t="s">
        <v>3218</v>
      </c>
      <c r="G102" s="7" t="n">
        <v>101</v>
      </c>
      <c r="H102" s="7" t="s">
        <v>16</v>
      </c>
      <c r="I102" s="7"/>
      <c r="J102" s="7" t="s">
        <v>5269</v>
      </c>
      <c r="K102" s="7" t="s">
        <v>5372</v>
      </c>
    </row>
    <row r="103" customFormat="false" ht="42" hidden="false" customHeight="true" outlineLevel="0" collapsed="false">
      <c r="A103" s="7" t="n">
        <v>99</v>
      </c>
      <c r="B103" s="16" t="s">
        <v>5276</v>
      </c>
      <c r="C103" s="7" t="s">
        <v>3627</v>
      </c>
      <c r="D103" s="7" t="s">
        <v>26</v>
      </c>
      <c r="E103" s="7" t="s">
        <v>3217</v>
      </c>
      <c r="F103" s="7" t="s">
        <v>3218</v>
      </c>
      <c r="G103" s="7" t="n">
        <v>102</v>
      </c>
      <c r="H103" s="7" t="s">
        <v>16</v>
      </c>
      <c r="I103" s="7" t="s">
        <v>5272</v>
      </c>
      <c r="J103" s="7" t="s">
        <v>5269</v>
      </c>
      <c r="K103" s="7" t="s">
        <v>5373</v>
      </c>
    </row>
    <row r="104" customFormat="false" ht="34.5" hidden="false" customHeight="true" outlineLevel="0" collapsed="false">
      <c r="A104" s="7" t="n">
        <v>100</v>
      </c>
      <c r="B104" s="16" t="s">
        <v>5268</v>
      </c>
      <c r="C104" s="7" t="s">
        <v>3360</v>
      </c>
      <c r="D104" s="7" t="s">
        <v>26</v>
      </c>
      <c r="E104" s="7" t="s">
        <v>3217</v>
      </c>
      <c r="F104" s="7" t="s">
        <v>3218</v>
      </c>
      <c r="G104" s="7" t="n">
        <v>103</v>
      </c>
      <c r="H104" s="7" t="s">
        <v>16</v>
      </c>
      <c r="I104" s="7"/>
      <c r="J104" s="7" t="s">
        <v>5269</v>
      </c>
      <c r="K104" s="7" t="s">
        <v>5374</v>
      </c>
    </row>
    <row r="105" customFormat="false" ht="67.5" hidden="false" customHeight="true" outlineLevel="0" collapsed="false">
      <c r="A105" s="7" t="n">
        <v>101</v>
      </c>
      <c r="B105" s="16" t="s">
        <v>5271</v>
      </c>
      <c r="C105" s="7" t="s">
        <v>3637</v>
      </c>
      <c r="D105" s="7" t="s">
        <v>26</v>
      </c>
      <c r="E105" s="7" t="s">
        <v>3217</v>
      </c>
      <c r="F105" s="7" t="s">
        <v>3218</v>
      </c>
      <c r="G105" s="7" t="n">
        <v>104</v>
      </c>
      <c r="H105" s="7" t="s">
        <v>16</v>
      </c>
      <c r="I105" s="7"/>
      <c r="J105" s="7" t="s">
        <v>5269</v>
      </c>
      <c r="K105" s="7" t="s">
        <v>5375</v>
      </c>
    </row>
    <row r="106" customFormat="false" ht="67.5" hidden="false" customHeight="true" outlineLevel="0" collapsed="false">
      <c r="A106" s="7" t="n">
        <v>102</v>
      </c>
      <c r="B106" s="16" t="s">
        <v>5274</v>
      </c>
      <c r="C106" s="7" t="s">
        <v>3639</v>
      </c>
      <c r="D106" s="7" t="s">
        <v>26</v>
      </c>
      <c r="E106" s="7" t="s">
        <v>3217</v>
      </c>
      <c r="F106" s="7" t="s">
        <v>3218</v>
      </c>
      <c r="G106" s="7" t="n">
        <v>105</v>
      </c>
      <c r="H106" s="7" t="s">
        <v>16</v>
      </c>
      <c r="I106" s="7" t="s">
        <v>5272</v>
      </c>
      <c r="J106" s="7" t="s">
        <v>5269</v>
      </c>
      <c r="K106" s="7" t="s">
        <v>5376</v>
      </c>
    </row>
    <row r="107" customFormat="false" ht="34.5" hidden="false" customHeight="true" outlineLevel="0" collapsed="false">
      <c r="A107" s="7" t="n">
        <v>103</v>
      </c>
      <c r="B107" s="16" t="s">
        <v>5268</v>
      </c>
      <c r="C107" s="7" t="s">
        <v>3647</v>
      </c>
      <c r="D107" s="7" t="s">
        <v>26</v>
      </c>
      <c r="E107" s="7" t="s">
        <v>3217</v>
      </c>
      <c r="F107" s="7" t="s">
        <v>3218</v>
      </c>
      <c r="G107" s="7" t="n">
        <v>106</v>
      </c>
      <c r="H107" s="7" t="s">
        <v>16</v>
      </c>
      <c r="I107" s="7"/>
      <c r="J107" s="7" t="s">
        <v>5269</v>
      </c>
      <c r="K107" s="7" t="s">
        <v>5377</v>
      </c>
    </row>
    <row r="108" customFormat="false" ht="42" hidden="false" customHeight="true" outlineLevel="0" collapsed="false">
      <c r="A108" s="7" t="n">
        <v>104</v>
      </c>
      <c r="B108" s="16" t="s">
        <v>5276</v>
      </c>
      <c r="C108" s="7" t="s">
        <v>3649</v>
      </c>
      <c r="D108" s="7" t="s">
        <v>26</v>
      </c>
      <c r="E108" s="7" t="s">
        <v>3217</v>
      </c>
      <c r="F108" s="7" t="s">
        <v>3218</v>
      </c>
      <c r="G108" s="7" t="n">
        <v>107</v>
      </c>
      <c r="H108" s="7" t="s">
        <v>16</v>
      </c>
      <c r="I108" s="7" t="s">
        <v>5272</v>
      </c>
      <c r="J108" s="7" t="s">
        <v>5269</v>
      </c>
      <c r="K108" s="7" t="s">
        <v>5378</v>
      </c>
    </row>
    <row r="109" customFormat="false" ht="42" hidden="false" customHeight="true" outlineLevel="0" collapsed="false">
      <c r="A109" s="7" t="n">
        <v>105</v>
      </c>
      <c r="B109" s="16" t="s">
        <v>5271</v>
      </c>
      <c r="C109" s="7" t="s">
        <v>3654</v>
      </c>
      <c r="D109" s="7" t="s">
        <v>26</v>
      </c>
      <c r="E109" s="7" t="s">
        <v>3217</v>
      </c>
      <c r="F109" s="7" t="s">
        <v>3218</v>
      </c>
      <c r="G109" s="7" t="n">
        <v>108</v>
      </c>
      <c r="H109" s="7" t="s">
        <v>16</v>
      </c>
      <c r="I109" s="7"/>
      <c r="J109" s="7" t="s">
        <v>5269</v>
      </c>
      <c r="K109" s="7" t="s">
        <v>5379</v>
      </c>
    </row>
    <row r="110" customFormat="false" ht="42" hidden="false" customHeight="true" outlineLevel="0" collapsed="false">
      <c r="A110" s="7" t="n">
        <v>106</v>
      </c>
      <c r="B110" s="16" t="s">
        <v>5268</v>
      </c>
      <c r="C110" s="7" t="s">
        <v>3660</v>
      </c>
      <c r="D110" s="7" t="s">
        <v>26</v>
      </c>
      <c r="E110" s="7" t="s">
        <v>3217</v>
      </c>
      <c r="F110" s="7" t="s">
        <v>3218</v>
      </c>
      <c r="G110" s="7" t="n">
        <v>109</v>
      </c>
      <c r="H110" s="7" t="s">
        <v>16</v>
      </c>
      <c r="I110" s="7"/>
      <c r="J110" s="7" t="s">
        <v>5269</v>
      </c>
      <c r="K110" s="7" t="s">
        <v>5380</v>
      </c>
    </row>
    <row r="111" customFormat="false" ht="54.75" hidden="false" customHeight="true" outlineLevel="0" collapsed="false">
      <c r="A111" s="7" t="n">
        <v>107</v>
      </c>
      <c r="B111" s="16" t="s">
        <v>5271</v>
      </c>
      <c r="C111" s="7" t="s">
        <v>3665</v>
      </c>
      <c r="D111" s="7" t="s">
        <v>26</v>
      </c>
      <c r="E111" s="7" t="s">
        <v>3217</v>
      </c>
      <c r="F111" s="7" t="s">
        <v>3218</v>
      </c>
      <c r="G111" s="7" t="n">
        <v>110</v>
      </c>
      <c r="H111" s="7" t="s">
        <v>16</v>
      </c>
      <c r="I111" s="7" t="s">
        <v>5272</v>
      </c>
      <c r="J111" s="7" t="s">
        <v>5269</v>
      </c>
      <c r="K111" s="7" t="s">
        <v>5381</v>
      </c>
    </row>
    <row r="112" customFormat="false" ht="34.5" hidden="false" customHeight="true" outlineLevel="0" collapsed="false">
      <c r="A112" s="7" t="n">
        <v>108</v>
      </c>
      <c r="B112" s="16" t="s">
        <v>5268</v>
      </c>
      <c r="C112" s="7" t="s">
        <v>3510</v>
      </c>
      <c r="D112" s="7" t="s">
        <v>26</v>
      </c>
      <c r="E112" s="7" t="s">
        <v>3217</v>
      </c>
      <c r="F112" s="7" t="s">
        <v>3218</v>
      </c>
      <c r="G112" s="7" t="n">
        <v>111</v>
      </c>
      <c r="H112" s="7" t="s">
        <v>16</v>
      </c>
      <c r="I112" s="7"/>
      <c r="J112" s="7" t="s">
        <v>5269</v>
      </c>
      <c r="K112" s="7" t="s">
        <v>5382</v>
      </c>
    </row>
    <row r="113" customFormat="false" ht="42" hidden="false" customHeight="true" outlineLevel="0" collapsed="false">
      <c r="A113" s="7" t="n">
        <v>109</v>
      </c>
      <c r="B113" s="16" t="s">
        <v>5274</v>
      </c>
      <c r="C113" s="7" t="s">
        <v>3673</v>
      </c>
      <c r="D113" s="7" t="s">
        <v>26</v>
      </c>
      <c r="E113" s="7" t="s">
        <v>3217</v>
      </c>
      <c r="F113" s="7" t="s">
        <v>3218</v>
      </c>
      <c r="G113" s="7" t="n">
        <v>112</v>
      </c>
      <c r="H113" s="7" t="s">
        <v>16</v>
      </c>
      <c r="I113" s="7" t="s">
        <v>5272</v>
      </c>
      <c r="J113" s="7" t="s">
        <v>5269</v>
      </c>
      <c r="K113" s="7" t="s">
        <v>5383</v>
      </c>
    </row>
    <row r="114" customFormat="false" ht="54.75" hidden="false" customHeight="true" outlineLevel="0" collapsed="false">
      <c r="A114" s="7" t="n">
        <v>110</v>
      </c>
      <c r="B114" s="16" t="s">
        <v>5271</v>
      </c>
      <c r="C114" s="7" t="s">
        <v>3679</v>
      </c>
      <c r="D114" s="7" t="s">
        <v>26</v>
      </c>
      <c r="E114" s="7" t="s">
        <v>3217</v>
      </c>
      <c r="F114" s="7" t="s">
        <v>3218</v>
      </c>
      <c r="G114" s="7" t="n">
        <v>113</v>
      </c>
      <c r="H114" s="7" t="s">
        <v>16</v>
      </c>
      <c r="I114" s="7"/>
      <c r="J114" s="7" t="s">
        <v>5269</v>
      </c>
      <c r="K114" s="7" t="s">
        <v>5384</v>
      </c>
    </row>
    <row r="115" customFormat="false" ht="42" hidden="false" customHeight="true" outlineLevel="0" collapsed="false">
      <c r="A115" s="7" t="n">
        <v>111</v>
      </c>
      <c r="B115" s="16" t="s">
        <v>5268</v>
      </c>
      <c r="C115" s="7" t="s">
        <v>3684</v>
      </c>
      <c r="D115" s="7" t="s">
        <v>26</v>
      </c>
      <c r="E115" s="7" t="s">
        <v>3217</v>
      </c>
      <c r="F115" s="7" t="s">
        <v>3218</v>
      </c>
      <c r="G115" s="7" t="n">
        <v>114</v>
      </c>
      <c r="H115" s="7" t="s">
        <v>16</v>
      </c>
      <c r="I115" s="7"/>
      <c r="J115" s="7" t="s">
        <v>5269</v>
      </c>
      <c r="K115" s="7" t="s">
        <v>5385</v>
      </c>
    </row>
    <row r="116" customFormat="false" ht="67.5" hidden="false" customHeight="true" outlineLevel="0" collapsed="false">
      <c r="A116" s="7" t="n">
        <v>112</v>
      </c>
      <c r="B116" s="16" t="s">
        <v>5276</v>
      </c>
      <c r="C116" s="7" t="s">
        <v>3686</v>
      </c>
      <c r="D116" s="7" t="s">
        <v>26</v>
      </c>
      <c r="E116" s="7" t="s">
        <v>3217</v>
      </c>
      <c r="F116" s="7" t="s">
        <v>3218</v>
      </c>
      <c r="G116" s="7" t="n">
        <v>115</v>
      </c>
      <c r="H116" s="7" t="s">
        <v>16</v>
      </c>
      <c r="I116" s="7"/>
      <c r="J116" s="7" t="s">
        <v>5269</v>
      </c>
      <c r="K116" s="7" t="s">
        <v>5386</v>
      </c>
    </row>
    <row r="117" customFormat="false" ht="42" hidden="false" customHeight="true" outlineLevel="0" collapsed="false">
      <c r="A117" s="7" t="n">
        <v>113</v>
      </c>
      <c r="B117" s="16" t="s">
        <v>5276</v>
      </c>
      <c r="C117" s="7" t="s">
        <v>3690</v>
      </c>
      <c r="D117" s="7" t="s">
        <v>26</v>
      </c>
      <c r="E117" s="7" t="s">
        <v>3217</v>
      </c>
      <c r="F117" s="7" t="s">
        <v>3218</v>
      </c>
      <c r="G117" s="7" t="n">
        <v>116</v>
      </c>
      <c r="H117" s="7" t="s">
        <v>16</v>
      </c>
      <c r="I117" s="7"/>
      <c r="J117" s="7" t="s">
        <v>5269</v>
      </c>
      <c r="K117" s="7" t="s">
        <v>5387</v>
      </c>
    </row>
    <row r="118" customFormat="false" ht="42" hidden="false" customHeight="true" outlineLevel="0" collapsed="false">
      <c r="A118" s="7" t="n">
        <v>114</v>
      </c>
      <c r="B118" s="16" t="s">
        <v>5276</v>
      </c>
      <c r="C118" s="7" t="s">
        <v>3694</v>
      </c>
      <c r="D118" s="7" t="s">
        <v>26</v>
      </c>
      <c r="E118" s="7" t="s">
        <v>3217</v>
      </c>
      <c r="F118" s="7" t="s">
        <v>3218</v>
      </c>
      <c r="G118" s="7" t="n">
        <v>117</v>
      </c>
      <c r="H118" s="7" t="s">
        <v>16</v>
      </c>
      <c r="I118" s="7"/>
      <c r="J118" s="7" t="s">
        <v>5269</v>
      </c>
      <c r="K118" s="7" t="s">
        <v>5388</v>
      </c>
    </row>
    <row r="119" customFormat="false" ht="42" hidden="false" customHeight="true" outlineLevel="0" collapsed="false">
      <c r="A119" s="7" t="n">
        <v>115</v>
      </c>
      <c r="B119" s="16" t="s">
        <v>5271</v>
      </c>
      <c r="C119" s="7" t="s">
        <v>3698</v>
      </c>
      <c r="D119" s="7" t="s">
        <v>26</v>
      </c>
      <c r="E119" s="7" t="s">
        <v>3217</v>
      </c>
      <c r="F119" s="7" t="s">
        <v>3218</v>
      </c>
      <c r="G119" s="7" t="n">
        <v>118</v>
      </c>
      <c r="H119" s="7" t="s">
        <v>16</v>
      </c>
      <c r="I119" s="7"/>
      <c r="J119" s="7" t="s">
        <v>5269</v>
      </c>
      <c r="K119" s="7" t="s">
        <v>5389</v>
      </c>
    </row>
    <row r="120" customFormat="false" ht="34.5" hidden="false" customHeight="true" outlineLevel="0" collapsed="false">
      <c r="A120" s="7" t="n">
        <v>116</v>
      </c>
      <c r="B120" s="16" t="s">
        <v>5271</v>
      </c>
      <c r="C120" s="7" t="s">
        <v>3702</v>
      </c>
      <c r="D120" s="7" t="s">
        <v>26</v>
      </c>
      <c r="E120" s="7" t="s">
        <v>3217</v>
      </c>
      <c r="F120" s="7" t="s">
        <v>3218</v>
      </c>
      <c r="G120" s="7" t="n">
        <v>119</v>
      </c>
      <c r="H120" s="7" t="s">
        <v>16</v>
      </c>
      <c r="I120" s="7"/>
      <c r="J120" s="7" t="s">
        <v>5269</v>
      </c>
      <c r="K120" s="7" t="s">
        <v>5390</v>
      </c>
    </row>
    <row r="121" customFormat="false" ht="34.5" hidden="false" customHeight="true" outlineLevel="0" collapsed="false">
      <c r="A121" s="7" t="n">
        <v>117</v>
      </c>
      <c r="B121" s="16" t="s">
        <v>5268</v>
      </c>
      <c r="C121" s="7" t="s">
        <v>3360</v>
      </c>
      <c r="D121" s="7" t="s">
        <v>26</v>
      </c>
      <c r="E121" s="7" t="s">
        <v>3217</v>
      </c>
      <c r="F121" s="7" t="s">
        <v>3218</v>
      </c>
      <c r="G121" s="7" t="n">
        <v>120</v>
      </c>
      <c r="H121" s="7" t="s">
        <v>16</v>
      </c>
      <c r="I121" s="7"/>
      <c r="J121" s="7" t="s">
        <v>5269</v>
      </c>
      <c r="K121" s="7" t="s">
        <v>5391</v>
      </c>
    </row>
    <row r="122" customFormat="false" ht="34.5" hidden="false" customHeight="true" outlineLevel="0" collapsed="false">
      <c r="A122" s="7" t="n">
        <v>118</v>
      </c>
      <c r="B122" s="16" t="s">
        <v>5268</v>
      </c>
      <c r="C122" s="7" t="s">
        <v>3224</v>
      </c>
      <c r="D122" s="7" t="s">
        <v>26</v>
      </c>
      <c r="E122" s="7" t="s">
        <v>3217</v>
      </c>
      <c r="F122" s="7" t="s">
        <v>3218</v>
      </c>
      <c r="G122" s="7" t="n">
        <v>121</v>
      </c>
      <c r="H122" s="7" t="s">
        <v>16</v>
      </c>
      <c r="I122" s="7"/>
      <c r="J122" s="7" t="s">
        <v>5269</v>
      </c>
      <c r="K122" s="7" t="s">
        <v>5392</v>
      </c>
    </row>
    <row r="123" customFormat="false" ht="34.5" hidden="false" customHeight="true" outlineLevel="0" collapsed="false">
      <c r="A123" s="7" t="n">
        <v>119</v>
      </c>
      <c r="B123" s="16" t="s">
        <v>5268</v>
      </c>
      <c r="C123" s="7" t="s">
        <v>3360</v>
      </c>
      <c r="D123" s="7" t="s">
        <v>26</v>
      </c>
      <c r="E123" s="7" t="s">
        <v>3217</v>
      </c>
      <c r="F123" s="7" t="s">
        <v>3218</v>
      </c>
      <c r="G123" s="7" t="n">
        <v>122</v>
      </c>
      <c r="H123" s="7" t="s">
        <v>16</v>
      </c>
      <c r="I123" s="7"/>
      <c r="J123" s="7" t="s">
        <v>5269</v>
      </c>
      <c r="K123" s="7" t="s">
        <v>5393</v>
      </c>
    </row>
    <row r="124" customFormat="false" ht="34.5" hidden="false" customHeight="true" outlineLevel="0" collapsed="false">
      <c r="A124" s="7" t="n">
        <v>120</v>
      </c>
      <c r="B124" s="16" t="s">
        <v>5271</v>
      </c>
      <c r="C124" s="7" t="s">
        <v>3224</v>
      </c>
      <c r="D124" s="7" t="s">
        <v>26</v>
      </c>
      <c r="E124" s="7" t="s">
        <v>3217</v>
      </c>
      <c r="F124" s="7" t="s">
        <v>3218</v>
      </c>
      <c r="G124" s="7" t="n">
        <v>123</v>
      </c>
      <c r="H124" s="7" t="s">
        <v>16</v>
      </c>
      <c r="I124" s="7"/>
      <c r="J124" s="7" t="s">
        <v>5269</v>
      </c>
      <c r="K124" s="7" t="s">
        <v>5394</v>
      </c>
    </row>
    <row r="125" customFormat="false" ht="34.5" hidden="false" customHeight="true" outlineLevel="0" collapsed="false">
      <c r="A125" s="7" t="n">
        <v>121</v>
      </c>
      <c r="B125" s="16" t="s">
        <v>5271</v>
      </c>
      <c r="C125" s="7" t="s">
        <v>3723</v>
      </c>
      <c r="D125" s="7" t="s">
        <v>26</v>
      </c>
      <c r="E125" s="7" t="s">
        <v>3217</v>
      </c>
      <c r="F125" s="7" t="s">
        <v>3218</v>
      </c>
      <c r="G125" s="7" t="n">
        <v>124</v>
      </c>
      <c r="H125" s="7" t="s">
        <v>16</v>
      </c>
      <c r="I125" s="7"/>
      <c r="J125" s="7" t="s">
        <v>5269</v>
      </c>
      <c r="K125" s="7" t="s">
        <v>5395</v>
      </c>
    </row>
    <row r="126" customFormat="false" ht="34.5" hidden="false" customHeight="true" outlineLevel="0" collapsed="false">
      <c r="A126" s="7" t="n">
        <v>122</v>
      </c>
      <c r="B126" s="16" t="s">
        <v>5268</v>
      </c>
      <c r="C126" s="7" t="s">
        <v>3727</v>
      </c>
      <c r="D126" s="7" t="s">
        <v>26</v>
      </c>
      <c r="E126" s="7" t="s">
        <v>3217</v>
      </c>
      <c r="F126" s="7" t="s">
        <v>3218</v>
      </c>
      <c r="G126" s="7" t="n">
        <v>125</v>
      </c>
      <c r="H126" s="7" t="s">
        <v>16</v>
      </c>
      <c r="I126" s="7"/>
      <c r="J126" s="7" t="s">
        <v>5269</v>
      </c>
      <c r="K126" s="7" t="s">
        <v>5396</v>
      </c>
    </row>
    <row r="127" customFormat="false" ht="42" hidden="false" customHeight="true" outlineLevel="0" collapsed="false">
      <c r="A127" s="7" t="n">
        <v>123</v>
      </c>
      <c r="B127" s="16" t="s">
        <v>5276</v>
      </c>
      <c r="C127" s="7" t="s">
        <v>3729</v>
      </c>
      <c r="D127" s="7" t="s">
        <v>26</v>
      </c>
      <c r="E127" s="7" t="s">
        <v>3217</v>
      </c>
      <c r="F127" s="7" t="s">
        <v>3218</v>
      </c>
      <c r="G127" s="7" t="n">
        <v>126</v>
      </c>
      <c r="H127" s="7" t="s">
        <v>16</v>
      </c>
      <c r="I127" s="7"/>
      <c r="J127" s="7" t="s">
        <v>5269</v>
      </c>
      <c r="K127" s="7" t="s">
        <v>5397</v>
      </c>
    </row>
    <row r="128" customFormat="false" ht="34.5" hidden="false" customHeight="true" outlineLevel="0" collapsed="false">
      <c r="A128" s="7" t="n">
        <v>124</v>
      </c>
      <c r="B128" s="16" t="s">
        <v>5276</v>
      </c>
      <c r="C128" s="7" t="s">
        <v>3733</v>
      </c>
      <c r="D128" s="7" t="s">
        <v>26</v>
      </c>
      <c r="E128" s="7" t="s">
        <v>3217</v>
      </c>
      <c r="F128" s="7" t="s">
        <v>3218</v>
      </c>
      <c r="G128" s="7" t="n">
        <v>127</v>
      </c>
      <c r="H128" s="7" t="s">
        <v>16</v>
      </c>
      <c r="I128" s="7"/>
      <c r="J128" s="7" t="s">
        <v>5269</v>
      </c>
      <c r="K128" s="7" t="s">
        <v>5398</v>
      </c>
    </row>
    <row r="129" customFormat="false" ht="54.75" hidden="false" customHeight="true" outlineLevel="0" collapsed="false">
      <c r="A129" s="7" t="n">
        <v>125</v>
      </c>
      <c r="B129" s="16" t="s">
        <v>5276</v>
      </c>
      <c r="C129" s="7" t="s">
        <v>3736</v>
      </c>
      <c r="D129" s="7" t="s">
        <v>26</v>
      </c>
      <c r="E129" s="7" t="s">
        <v>3217</v>
      </c>
      <c r="F129" s="7" t="s">
        <v>3218</v>
      </c>
      <c r="G129" s="7" t="n">
        <v>128</v>
      </c>
      <c r="H129" s="7" t="s">
        <v>16</v>
      </c>
      <c r="I129" s="7"/>
      <c r="J129" s="7" t="s">
        <v>5269</v>
      </c>
      <c r="K129" s="7" t="s">
        <v>5399</v>
      </c>
    </row>
    <row r="130" customFormat="false" ht="34.5" hidden="false" customHeight="true" outlineLevel="0" collapsed="false">
      <c r="A130" s="7" t="n">
        <v>126</v>
      </c>
      <c r="B130" s="16" t="s">
        <v>5268</v>
      </c>
      <c r="C130" s="7" t="s">
        <v>3360</v>
      </c>
      <c r="D130" s="7" t="s">
        <v>26</v>
      </c>
      <c r="E130" s="7" t="s">
        <v>3217</v>
      </c>
      <c r="F130" s="7" t="s">
        <v>3218</v>
      </c>
      <c r="G130" s="7" t="n">
        <v>129</v>
      </c>
      <c r="H130" s="7" t="s">
        <v>16</v>
      </c>
      <c r="I130" s="7"/>
      <c r="J130" s="7" t="s">
        <v>5269</v>
      </c>
      <c r="K130" s="7" t="s">
        <v>5400</v>
      </c>
    </row>
    <row r="131" customFormat="false" ht="34.5" hidden="false" customHeight="true" outlineLevel="0" collapsed="false">
      <c r="A131" s="7" t="n">
        <v>127</v>
      </c>
      <c r="B131" s="16" t="s">
        <v>5268</v>
      </c>
      <c r="C131" s="7" t="s">
        <v>3360</v>
      </c>
      <c r="D131" s="7" t="s">
        <v>26</v>
      </c>
      <c r="E131" s="7" t="s">
        <v>3217</v>
      </c>
      <c r="F131" s="7" t="s">
        <v>3218</v>
      </c>
      <c r="G131" s="7" t="n">
        <v>130</v>
      </c>
      <c r="H131" s="7" t="s">
        <v>16</v>
      </c>
      <c r="I131" s="7"/>
      <c r="J131" s="7" t="s">
        <v>5269</v>
      </c>
      <c r="K131" s="7" t="s">
        <v>5401</v>
      </c>
    </row>
    <row r="132" customFormat="false" ht="34.5" hidden="false" customHeight="true" outlineLevel="0" collapsed="false">
      <c r="A132" s="7" t="n">
        <v>128</v>
      </c>
      <c r="B132" s="16" t="s">
        <v>5268</v>
      </c>
      <c r="C132" s="7" t="s">
        <v>3224</v>
      </c>
      <c r="D132" s="7" t="s">
        <v>26</v>
      </c>
      <c r="E132" s="7" t="s">
        <v>3217</v>
      </c>
      <c r="F132" s="7" t="s">
        <v>3218</v>
      </c>
      <c r="G132" s="7" t="n">
        <v>131</v>
      </c>
      <c r="H132" s="7" t="s">
        <v>16</v>
      </c>
      <c r="I132" s="7"/>
      <c r="J132" s="7" t="s">
        <v>5269</v>
      </c>
      <c r="K132" s="7" t="s">
        <v>5402</v>
      </c>
    </row>
    <row r="133" customFormat="false" ht="34.5" hidden="false" customHeight="true" outlineLevel="0" collapsed="false">
      <c r="A133" s="7" t="n">
        <v>129</v>
      </c>
      <c r="B133" s="16" t="s">
        <v>5268</v>
      </c>
      <c r="C133" s="7" t="s">
        <v>3360</v>
      </c>
      <c r="D133" s="7" t="s">
        <v>26</v>
      </c>
      <c r="E133" s="7" t="s">
        <v>3217</v>
      </c>
      <c r="F133" s="7" t="s">
        <v>3218</v>
      </c>
      <c r="G133" s="7" t="n">
        <v>132</v>
      </c>
      <c r="H133" s="7" t="s">
        <v>16</v>
      </c>
      <c r="I133" s="7"/>
      <c r="J133" s="7" t="s">
        <v>5269</v>
      </c>
      <c r="K133" s="7" t="s">
        <v>5403</v>
      </c>
    </row>
    <row r="134" customFormat="false" ht="34.5" hidden="false" customHeight="true" outlineLevel="0" collapsed="false">
      <c r="A134" s="7" t="n">
        <v>130</v>
      </c>
      <c r="B134" s="16" t="s">
        <v>5274</v>
      </c>
      <c r="C134" s="7" t="s">
        <v>3751</v>
      </c>
      <c r="D134" s="7" t="s">
        <v>26</v>
      </c>
      <c r="E134" s="7" t="s">
        <v>3217</v>
      </c>
      <c r="F134" s="7" t="s">
        <v>3218</v>
      </c>
      <c r="G134" s="7" t="n">
        <v>133</v>
      </c>
      <c r="H134" s="7" t="s">
        <v>16</v>
      </c>
      <c r="I134" s="7"/>
      <c r="J134" s="7" t="s">
        <v>5269</v>
      </c>
      <c r="K134" s="7" t="s">
        <v>5404</v>
      </c>
    </row>
    <row r="135" customFormat="false" ht="54.75" hidden="false" customHeight="true" outlineLevel="0" collapsed="false">
      <c r="A135" s="7" t="n">
        <v>131</v>
      </c>
      <c r="B135" s="16" t="s">
        <v>5276</v>
      </c>
      <c r="C135" s="7" t="s">
        <v>3756</v>
      </c>
      <c r="D135" s="7" t="s">
        <v>26</v>
      </c>
      <c r="E135" s="7" t="s">
        <v>3217</v>
      </c>
      <c r="F135" s="7" t="s">
        <v>3218</v>
      </c>
      <c r="G135" s="7" t="n">
        <v>134</v>
      </c>
      <c r="H135" s="7" t="s">
        <v>16</v>
      </c>
      <c r="I135" s="7"/>
      <c r="J135" s="7" t="s">
        <v>5269</v>
      </c>
      <c r="K135" s="7" t="s">
        <v>5405</v>
      </c>
    </row>
    <row r="136" customFormat="false" ht="34.5" hidden="false" customHeight="true" outlineLevel="0" collapsed="false">
      <c r="A136" s="7" t="n">
        <v>132</v>
      </c>
      <c r="B136" s="16" t="s">
        <v>5271</v>
      </c>
      <c r="C136" s="7" t="s">
        <v>3761</v>
      </c>
      <c r="D136" s="7" t="s">
        <v>26</v>
      </c>
      <c r="E136" s="7" t="s">
        <v>3217</v>
      </c>
      <c r="F136" s="7" t="s">
        <v>3218</v>
      </c>
      <c r="G136" s="7" t="n">
        <v>135</v>
      </c>
      <c r="H136" s="7" t="s">
        <v>16</v>
      </c>
      <c r="I136" s="7" t="s">
        <v>5272</v>
      </c>
      <c r="J136" s="7" t="s">
        <v>5269</v>
      </c>
      <c r="K136" s="7" t="s">
        <v>5406</v>
      </c>
    </row>
    <row r="137" customFormat="false" ht="42" hidden="false" customHeight="true" outlineLevel="0" collapsed="false">
      <c r="A137" s="7" t="n">
        <v>133</v>
      </c>
      <c r="B137" s="16" t="s">
        <v>5271</v>
      </c>
      <c r="C137" s="7" t="s">
        <v>3765</v>
      </c>
      <c r="D137" s="7" t="s">
        <v>26</v>
      </c>
      <c r="E137" s="7" t="s">
        <v>3217</v>
      </c>
      <c r="F137" s="7" t="s">
        <v>3218</v>
      </c>
      <c r="G137" s="7" t="n">
        <v>136</v>
      </c>
      <c r="H137" s="7" t="s">
        <v>16</v>
      </c>
      <c r="I137" s="7"/>
      <c r="J137" s="7" t="s">
        <v>5269</v>
      </c>
      <c r="K137" s="7" t="s">
        <v>5407</v>
      </c>
    </row>
    <row r="138" customFormat="false" ht="42" hidden="false" customHeight="true" outlineLevel="0" collapsed="false">
      <c r="A138" s="7" t="n">
        <v>134</v>
      </c>
      <c r="B138" s="16" t="s">
        <v>5276</v>
      </c>
      <c r="C138" s="7" t="s">
        <v>3768</v>
      </c>
      <c r="D138" s="7" t="s">
        <v>26</v>
      </c>
      <c r="E138" s="7" t="s">
        <v>3217</v>
      </c>
      <c r="F138" s="7" t="s">
        <v>3218</v>
      </c>
      <c r="G138" s="7" t="n">
        <v>137</v>
      </c>
      <c r="H138" s="7" t="s">
        <v>16</v>
      </c>
      <c r="I138" s="7"/>
      <c r="J138" s="7" t="s">
        <v>5269</v>
      </c>
      <c r="K138" s="7" t="s">
        <v>5408</v>
      </c>
    </row>
    <row r="139" customFormat="false" ht="42" hidden="false" customHeight="true" outlineLevel="0" collapsed="false">
      <c r="A139" s="7" t="n">
        <v>135</v>
      </c>
      <c r="B139" s="16" t="s">
        <v>5274</v>
      </c>
      <c r="C139" s="7" t="s">
        <v>3772</v>
      </c>
      <c r="D139" s="7" t="s">
        <v>26</v>
      </c>
      <c r="E139" s="7" t="s">
        <v>3217</v>
      </c>
      <c r="F139" s="7" t="s">
        <v>3218</v>
      </c>
      <c r="G139" s="7" t="n">
        <v>138</v>
      </c>
      <c r="H139" s="7" t="s">
        <v>16</v>
      </c>
      <c r="I139" s="7"/>
      <c r="J139" s="7" t="s">
        <v>5269</v>
      </c>
      <c r="K139" s="7" t="s">
        <v>5409</v>
      </c>
    </row>
    <row r="140" customFormat="false" ht="34.5" hidden="false" customHeight="true" outlineLevel="0" collapsed="false">
      <c r="A140" s="7" t="n">
        <v>136</v>
      </c>
      <c r="B140" s="16" t="s">
        <v>5276</v>
      </c>
      <c r="C140" s="7" t="s">
        <v>3779</v>
      </c>
      <c r="D140" s="7" t="s">
        <v>26</v>
      </c>
      <c r="E140" s="7" t="s">
        <v>3217</v>
      </c>
      <c r="F140" s="7" t="s">
        <v>3218</v>
      </c>
      <c r="G140" s="7" t="n">
        <v>139</v>
      </c>
      <c r="H140" s="7" t="s">
        <v>16</v>
      </c>
      <c r="I140" s="7"/>
      <c r="J140" s="7" t="s">
        <v>5269</v>
      </c>
      <c r="K140" s="7" t="s">
        <v>5410</v>
      </c>
    </row>
    <row r="141" customFormat="false" ht="34.5" hidden="false" customHeight="true" outlineLevel="0" collapsed="false">
      <c r="A141" s="7" t="n">
        <v>137</v>
      </c>
      <c r="B141" s="16" t="s">
        <v>5276</v>
      </c>
      <c r="C141" s="7" t="s">
        <v>3784</v>
      </c>
      <c r="D141" s="7" t="s">
        <v>26</v>
      </c>
      <c r="E141" s="7" t="s">
        <v>3217</v>
      </c>
      <c r="F141" s="7" t="s">
        <v>3218</v>
      </c>
      <c r="G141" s="7" t="n">
        <v>140</v>
      </c>
      <c r="H141" s="7" t="s">
        <v>16</v>
      </c>
      <c r="I141" s="7"/>
      <c r="J141" s="7" t="s">
        <v>5269</v>
      </c>
      <c r="K141" s="7" t="s">
        <v>5411</v>
      </c>
    </row>
    <row r="142" customFormat="false" ht="34.5" hidden="false" customHeight="true" outlineLevel="0" collapsed="false">
      <c r="A142" s="7" t="n">
        <v>138</v>
      </c>
      <c r="B142" s="16" t="s">
        <v>5268</v>
      </c>
      <c r="C142" s="7" t="s">
        <v>3224</v>
      </c>
      <c r="D142" s="7" t="s">
        <v>26</v>
      </c>
      <c r="E142" s="7" t="s">
        <v>3217</v>
      </c>
      <c r="F142" s="7" t="s">
        <v>3218</v>
      </c>
      <c r="G142" s="7" t="n">
        <v>141</v>
      </c>
      <c r="H142" s="7" t="s">
        <v>16</v>
      </c>
      <c r="I142" s="7"/>
      <c r="J142" s="7" t="s">
        <v>5269</v>
      </c>
      <c r="K142" s="7" t="s">
        <v>5412</v>
      </c>
    </row>
    <row r="143" customFormat="false" ht="34.5" hidden="false" customHeight="true" outlineLevel="0" collapsed="false">
      <c r="A143" s="7" t="n">
        <v>139</v>
      </c>
      <c r="B143" s="16" t="s">
        <v>5268</v>
      </c>
      <c r="C143" s="7" t="s">
        <v>3360</v>
      </c>
      <c r="D143" s="7" t="s">
        <v>26</v>
      </c>
      <c r="E143" s="7" t="s">
        <v>3217</v>
      </c>
      <c r="F143" s="7" t="s">
        <v>3218</v>
      </c>
      <c r="G143" s="7" t="n">
        <v>142</v>
      </c>
      <c r="H143" s="7" t="s">
        <v>16</v>
      </c>
      <c r="I143" s="7"/>
      <c r="J143" s="7" t="s">
        <v>5269</v>
      </c>
      <c r="K143" s="7" t="s">
        <v>5413</v>
      </c>
    </row>
    <row r="144" customFormat="false" ht="34.5" hidden="false" customHeight="true" outlineLevel="0" collapsed="false">
      <c r="A144" s="7" t="n">
        <v>140</v>
      </c>
      <c r="B144" s="16" t="s">
        <v>5271</v>
      </c>
      <c r="C144" s="7" t="s">
        <v>3798</v>
      </c>
      <c r="D144" s="7" t="s">
        <v>26</v>
      </c>
      <c r="E144" s="7" t="s">
        <v>3217</v>
      </c>
      <c r="F144" s="7" t="s">
        <v>3218</v>
      </c>
      <c r="G144" s="7" t="n">
        <v>143</v>
      </c>
      <c r="H144" s="7" t="s">
        <v>16</v>
      </c>
      <c r="I144" s="7"/>
      <c r="J144" s="7" t="s">
        <v>5269</v>
      </c>
      <c r="K144" s="7" t="s">
        <v>5414</v>
      </c>
    </row>
    <row r="145" customFormat="false" ht="54.75" hidden="false" customHeight="true" outlineLevel="0" collapsed="false">
      <c r="A145" s="7" t="n">
        <v>141</v>
      </c>
      <c r="B145" s="16" t="s">
        <v>5268</v>
      </c>
      <c r="C145" s="7" t="s">
        <v>3804</v>
      </c>
      <c r="D145" s="7" t="s">
        <v>26</v>
      </c>
      <c r="E145" s="7" t="s">
        <v>3217</v>
      </c>
      <c r="F145" s="7" t="s">
        <v>3218</v>
      </c>
      <c r="G145" s="7" t="n">
        <v>144</v>
      </c>
      <c r="H145" s="7" t="s">
        <v>16</v>
      </c>
      <c r="I145" s="7"/>
      <c r="J145" s="7" t="s">
        <v>5269</v>
      </c>
      <c r="K145" s="7" t="s">
        <v>5415</v>
      </c>
    </row>
    <row r="146" customFormat="false" ht="42" hidden="false" customHeight="true" outlineLevel="0" collapsed="false">
      <c r="A146" s="7" t="n">
        <v>142</v>
      </c>
      <c r="B146" s="16" t="s">
        <v>5271</v>
      </c>
      <c r="C146" s="7" t="s">
        <v>3809</v>
      </c>
      <c r="D146" s="7" t="s">
        <v>26</v>
      </c>
      <c r="E146" s="7" t="s">
        <v>3217</v>
      </c>
      <c r="F146" s="7" t="s">
        <v>3218</v>
      </c>
      <c r="G146" s="7" t="n">
        <v>145</v>
      </c>
      <c r="H146" s="7" t="s">
        <v>16</v>
      </c>
      <c r="I146" s="7"/>
      <c r="J146" s="7" t="s">
        <v>5269</v>
      </c>
      <c r="K146" s="7" t="s">
        <v>5416</v>
      </c>
    </row>
    <row r="147" customFormat="false" ht="42" hidden="false" customHeight="true" outlineLevel="0" collapsed="false">
      <c r="A147" s="7" t="n">
        <v>143</v>
      </c>
      <c r="B147" s="16" t="s">
        <v>5276</v>
      </c>
      <c r="C147" s="7" t="s">
        <v>3813</v>
      </c>
      <c r="D147" s="7" t="s">
        <v>26</v>
      </c>
      <c r="E147" s="7" t="s">
        <v>3217</v>
      </c>
      <c r="F147" s="7" t="s">
        <v>3218</v>
      </c>
      <c r="G147" s="7" t="n">
        <v>146</v>
      </c>
      <c r="H147" s="7" t="s">
        <v>16</v>
      </c>
      <c r="I147" s="7"/>
      <c r="J147" s="7" t="s">
        <v>5269</v>
      </c>
      <c r="K147" s="7" t="s">
        <v>5417</v>
      </c>
    </row>
    <row r="148" customFormat="false" ht="34.5" hidden="false" customHeight="true" outlineLevel="0" collapsed="false">
      <c r="A148" s="7" t="n">
        <v>144</v>
      </c>
      <c r="B148" s="16" t="s">
        <v>5268</v>
      </c>
      <c r="C148" s="7" t="s">
        <v>3224</v>
      </c>
      <c r="D148" s="7" t="s">
        <v>26</v>
      </c>
      <c r="E148" s="7" t="s">
        <v>3217</v>
      </c>
      <c r="F148" s="7" t="s">
        <v>3218</v>
      </c>
      <c r="G148" s="7" t="n">
        <v>147</v>
      </c>
      <c r="H148" s="7" t="s">
        <v>16</v>
      </c>
      <c r="I148" s="7"/>
      <c r="J148" s="7" t="s">
        <v>5269</v>
      </c>
      <c r="K148" s="7" t="s">
        <v>5418</v>
      </c>
    </row>
    <row r="149" customFormat="false" ht="34.5" hidden="false" customHeight="true" outlineLevel="0" collapsed="false">
      <c r="A149" s="7" t="n">
        <v>145</v>
      </c>
      <c r="B149" s="16" t="s">
        <v>5274</v>
      </c>
      <c r="C149" s="7" t="s">
        <v>3818</v>
      </c>
      <c r="D149" s="7" t="s">
        <v>26</v>
      </c>
      <c r="E149" s="7" t="s">
        <v>3217</v>
      </c>
      <c r="F149" s="7" t="s">
        <v>3218</v>
      </c>
      <c r="G149" s="7" t="n">
        <v>148</v>
      </c>
      <c r="H149" s="7" t="s">
        <v>16</v>
      </c>
      <c r="I149" s="7"/>
      <c r="J149" s="7" t="s">
        <v>5269</v>
      </c>
      <c r="K149" s="7" t="s">
        <v>5419</v>
      </c>
    </row>
    <row r="150" customFormat="false" ht="34.5" hidden="false" customHeight="true" outlineLevel="0" collapsed="false">
      <c r="A150" s="7" t="n">
        <v>146</v>
      </c>
      <c r="B150" s="16" t="s">
        <v>5274</v>
      </c>
      <c r="C150" s="7" t="s">
        <v>3822</v>
      </c>
      <c r="D150" s="7" t="s">
        <v>26</v>
      </c>
      <c r="E150" s="7" t="s">
        <v>3217</v>
      </c>
      <c r="F150" s="7" t="s">
        <v>3218</v>
      </c>
      <c r="G150" s="7" t="n">
        <v>149</v>
      </c>
      <c r="H150" s="7" t="s">
        <v>16</v>
      </c>
      <c r="I150" s="7"/>
      <c r="J150" s="7" t="s">
        <v>5269</v>
      </c>
      <c r="K150" s="7" t="s">
        <v>5420</v>
      </c>
    </row>
    <row r="151" customFormat="false" ht="34.5" hidden="false" customHeight="true" outlineLevel="0" collapsed="false">
      <c r="A151" s="7" t="n">
        <v>147</v>
      </c>
      <c r="B151" s="16" t="s">
        <v>5276</v>
      </c>
      <c r="C151" s="7" t="s">
        <v>3827</v>
      </c>
      <c r="D151" s="7" t="s">
        <v>26</v>
      </c>
      <c r="E151" s="7" t="s">
        <v>3217</v>
      </c>
      <c r="F151" s="7" t="s">
        <v>3218</v>
      </c>
      <c r="G151" s="7" t="n">
        <v>150</v>
      </c>
      <c r="H151" s="7" t="s">
        <v>16</v>
      </c>
      <c r="I151" s="7"/>
      <c r="J151" s="7" t="s">
        <v>5269</v>
      </c>
      <c r="K151" s="7" t="s">
        <v>5421</v>
      </c>
    </row>
    <row r="152" customFormat="false" ht="54.75" hidden="false" customHeight="true" outlineLevel="0" collapsed="false">
      <c r="A152" s="7" t="n">
        <v>148</v>
      </c>
      <c r="B152" s="16" t="s">
        <v>5276</v>
      </c>
      <c r="C152" s="7" t="s">
        <v>3831</v>
      </c>
      <c r="D152" s="7" t="s">
        <v>26</v>
      </c>
      <c r="E152" s="7" t="s">
        <v>3217</v>
      </c>
      <c r="F152" s="7" t="s">
        <v>3218</v>
      </c>
      <c r="G152" s="7" t="n">
        <v>151</v>
      </c>
      <c r="H152" s="7" t="s">
        <v>16</v>
      </c>
      <c r="I152" s="7"/>
      <c r="J152" s="7" t="s">
        <v>5269</v>
      </c>
      <c r="K152" s="7" t="s">
        <v>5422</v>
      </c>
    </row>
    <row r="153" customFormat="false" ht="34.5" hidden="false" customHeight="true" outlineLevel="0" collapsed="false">
      <c r="A153" s="7" t="n">
        <v>149</v>
      </c>
      <c r="B153" s="16" t="s">
        <v>5268</v>
      </c>
      <c r="C153" s="7" t="s">
        <v>3837</v>
      </c>
      <c r="D153" s="7" t="s">
        <v>26</v>
      </c>
      <c r="E153" s="7" t="s">
        <v>3217</v>
      </c>
      <c r="F153" s="7" t="s">
        <v>3218</v>
      </c>
      <c r="G153" s="7" t="n">
        <v>152</v>
      </c>
      <c r="H153" s="7" t="s">
        <v>16</v>
      </c>
      <c r="I153" s="7"/>
      <c r="J153" s="7" t="s">
        <v>5269</v>
      </c>
      <c r="K153" s="7" t="s">
        <v>5423</v>
      </c>
    </row>
    <row r="154" customFormat="false" ht="106.5" hidden="false" customHeight="true" outlineLevel="0" collapsed="false">
      <c r="A154" s="7" t="n">
        <v>150</v>
      </c>
      <c r="B154" s="16" t="s">
        <v>5274</v>
      </c>
      <c r="C154" s="7" t="s">
        <v>3838</v>
      </c>
      <c r="D154" s="7" t="s">
        <v>26</v>
      </c>
      <c r="E154" s="7" t="s">
        <v>3217</v>
      </c>
      <c r="F154" s="7" t="s">
        <v>3218</v>
      </c>
      <c r="G154" s="7" t="n">
        <v>153</v>
      </c>
      <c r="H154" s="7" t="s">
        <v>16</v>
      </c>
      <c r="I154" s="7"/>
      <c r="J154" s="7" t="s">
        <v>5269</v>
      </c>
      <c r="K154" s="7" t="s">
        <v>5424</v>
      </c>
    </row>
    <row r="155" customFormat="false" ht="42" hidden="false" customHeight="true" outlineLevel="0" collapsed="false">
      <c r="A155" s="7" t="n">
        <v>151</v>
      </c>
      <c r="B155" s="16" t="s">
        <v>5276</v>
      </c>
      <c r="C155" s="7" t="s">
        <v>3842</v>
      </c>
      <c r="D155" s="7" t="s">
        <v>26</v>
      </c>
      <c r="E155" s="7" t="s">
        <v>3217</v>
      </c>
      <c r="F155" s="7" t="s">
        <v>3218</v>
      </c>
      <c r="G155" s="7" t="n">
        <v>154</v>
      </c>
      <c r="H155" s="7" t="s">
        <v>16</v>
      </c>
      <c r="I155" s="7" t="s">
        <v>5272</v>
      </c>
      <c r="J155" s="7" t="s">
        <v>5269</v>
      </c>
      <c r="K155" s="7" t="s">
        <v>5425</v>
      </c>
    </row>
    <row r="156" customFormat="false" ht="42" hidden="false" customHeight="true" outlineLevel="0" collapsed="false">
      <c r="A156" s="7" t="n">
        <v>152</v>
      </c>
      <c r="B156" s="16" t="s">
        <v>5268</v>
      </c>
      <c r="C156" s="7" t="s">
        <v>3848</v>
      </c>
      <c r="D156" s="7" t="s">
        <v>26</v>
      </c>
      <c r="E156" s="7" t="s">
        <v>3217</v>
      </c>
      <c r="F156" s="7" t="s">
        <v>3218</v>
      </c>
      <c r="G156" s="7" t="n">
        <v>155</v>
      </c>
      <c r="H156" s="7" t="s">
        <v>16</v>
      </c>
      <c r="I156" s="7"/>
      <c r="J156" s="7" t="s">
        <v>5269</v>
      </c>
      <c r="K156" s="7" t="s">
        <v>5426</v>
      </c>
    </row>
    <row r="157" customFormat="false" ht="67.5" hidden="false" customHeight="true" outlineLevel="0" collapsed="false">
      <c r="A157" s="7" t="n">
        <v>153</v>
      </c>
      <c r="B157" s="16" t="s">
        <v>5268</v>
      </c>
      <c r="C157" s="7" t="s">
        <v>3852</v>
      </c>
      <c r="D157" s="7" t="s">
        <v>26</v>
      </c>
      <c r="E157" s="7" t="s">
        <v>3217</v>
      </c>
      <c r="F157" s="7" t="s">
        <v>3218</v>
      </c>
      <c r="G157" s="7" t="n">
        <v>156</v>
      </c>
      <c r="H157" s="7" t="s">
        <v>16</v>
      </c>
      <c r="I157" s="7"/>
      <c r="J157" s="7" t="s">
        <v>5269</v>
      </c>
      <c r="K157" s="7" t="s">
        <v>5427</v>
      </c>
    </row>
    <row r="158" customFormat="false" ht="34.5" hidden="false" customHeight="true" outlineLevel="0" collapsed="false">
      <c r="A158" s="7" t="n">
        <v>154</v>
      </c>
      <c r="B158" s="16" t="s">
        <v>5271</v>
      </c>
      <c r="C158" s="7" t="s">
        <v>3855</v>
      </c>
      <c r="D158" s="7" t="s">
        <v>26</v>
      </c>
      <c r="E158" s="7" t="s">
        <v>3217</v>
      </c>
      <c r="F158" s="7" t="s">
        <v>3218</v>
      </c>
      <c r="G158" s="7" t="n">
        <v>157</v>
      </c>
      <c r="H158" s="7" t="s">
        <v>16</v>
      </c>
      <c r="I158" s="7"/>
      <c r="J158" s="7" t="s">
        <v>5269</v>
      </c>
      <c r="K158" s="7" t="s">
        <v>5428</v>
      </c>
    </row>
    <row r="159" customFormat="false" ht="42" hidden="false" customHeight="true" outlineLevel="0" collapsed="false">
      <c r="A159" s="7" t="n">
        <v>155</v>
      </c>
      <c r="B159" s="16" t="s">
        <v>5271</v>
      </c>
      <c r="C159" s="7" t="s">
        <v>3859</v>
      </c>
      <c r="D159" s="7" t="s">
        <v>26</v>
      </c>
      <c r="E159" s="7" t="s">
        <v>3217</v>
      </c>
      <c r="F159" s="7" t="s">
        <v>3218</v>
      </c>
      <c r="G159" s="7" t="n">
        <v>158</v>
      </c>
      <c r="H159" s="7" t="s">
        <v>16</v>
      </c>
      <c r="I159" s="7" t="s">
        <v>5272</v>
      </c>
      <c r="J159" s="7" t="s">
        <v>5269</v>
      </c>
      <c r="K159" s="7" t="s">
        <v>5429</v>
      </c>
    </row>
    <row r="160" customFormat="false" ht="34.5" hidden="false" customHeight="true" outlineLevel="0" collapsed="false">
      <c r="A160" s="7" t="n">
        <v>156</v>
      </c>
      <c r="B160" s="16" t="s">
        <v>5271</v>
      </c>
      <c r="C160" s="7" t="s">
        <v>3863</v>
      </c>
      <c r="D160" s="7" t="s">
        <v>26</v>
      </c>
      <c r="E160" s="7" t="s">
        <v>3217</v>
      </c>
      <c r="F160" s="7" t="s">
        <v>3218</v>
      </c>
      <c r="G160" s="7" t="n">
        <v>159</v>
      </c>
      <c r="H160" s="7" t="s">
        <v>16</v>
      </c>
      <c r="I160" s="7" t="s">
        <v>5272</v>
      </c>
      <c r="J160" s="7" t="s">
        <v>5269</v>
      </c>
      <c r="K160" s="7" t="s">
        <v>5430</v>
      </c>
    </row>
    <row r="161" customFormat="false" ht="67.5" hidden="false" customHeight="true" outlineLevel="0" collapsed="false">
      <c r="A161" s="7" t="n">
        <v>157</v>
      </c>
      <c r="B161" s="16" t="s">
        <v>5271</v>
      </c>
      <c r="C161" s="7" t="s">
        <v>3867</v>
      </c>
      <c r="D161" s="7" t="s">
        <v>26</v>
      </c>
      <c r="E161" s="7" t="s">
        <v>3217</v>
      </c>
      <c r="F161" s="7" t="s">
        <v>3218</v>
      </c>
      <c r="G161" s="7" t="n">
        <v>160</v>
      </c>
      <c r="H161" s="7" t="s">
        <v>16</v>
      </c>
      <c r="I161" s="7"/>
      <c r="J161" s="7" t="s">
        <v>5269</v>
      </c>
      <c r="K161" s="7" t="s">
        <v>5431</v>
      </c>
    </row>
    <row r="162" customFormat="false" ht="34.5" hidden="false" customHeight="true" outlineLevel="0" collapsed="false">
      <c r="A162" s="7" t="n">
        <v>158</v>
      </c>
      <c r="B162" s="16" t="s">
        <v>5276</v>
      </c>
      <c r="C162" s="7" t="s">
        <v>3869</v>
      </c>
      <c r="D162" s="7" t="s">
        <v>26</v>
      </c>
      <c r="E162" s="7" t="s">
        <v>3217</v>
      </c>
      <c r="F162" s="7" t="s">
        <v>3218</v>
      </c>
      <c r="G162" s="7" t="n">
        <v>161</v>
      </c>
      <c r="H162" s="7" t="s">
        <v>16</v>
      </c>
      <c r="I162" s="7"/>
      <c r="J162" s="7" t="s">
        <v>5269</v>
      </c>
      <c r="K162" s="7" t="s">
        <v>5432</v>
      </c>
    </row>
    <row r="163" customFormat="false" ht="34.5" hidden="false" customHeight="true" outlineLevel="0" collapsed="false">
      <c r="A163" s="7" t="n">
        <v>159</v>
      </c>
      <c r="B163" s="16" t="s">
        <v>5271</v>
      </c>
      <c r="C163" s="7" t="s">
        <v>3874</v>
      </c>
      <c r="D163" s="7" t="s">
        <v>26</v>
      </c>
      <c r="E163" s="7" t="s">
        <v>3217</v>
      </c>
      <c r="F163" s="7" t="s">
        <v>3218</v>
      </c>
      <c r="G163" s="7" t="n">
        <v>162</v>
      </c>
      <c r="H163" s="7" t="s">
        <v>16</v>
      </c>
      <c r="I163" s="7"/>
      <c r="J163" s="7" t="s">
        <v>5269</v>
      </c>
      <c r="K163" s="7" t="s">
        <v>5433</v>
      </c>
    </row>
    <row r="164" customFormat="false" ht="34.5" hidden="false" customHeight="true" outlineLevel="0" collapsed="false">
      <c r="A164" s="7" t="n">
        <v>160</v>
      </c>
      <c r="B164" s="16" t="s">
        <v>5268</v>
      </c>
      <c r="C164" s="7" t="s">
        <v>3879</v>
      </c>
      <c r="D164" s="7" t="s">
        <v>26</v>
      </c>
      <c r="E164" s="7" t="s">
        <v>3217</v>
      </c>
      <c r="F164" s="7" t="s">
        <v>3218</v>
      </c>
      <c r="G164" s="7" t="n">
        <v>163</v>
      </c>
      <c r="H164" s="7" t="s">
        <v>16</v>
      </c>
      <c r="I164" s="7"/>
      <c r="J164" s="7" t="s">
        <v>5269</v>
      </c>
      <c r="K164" s="7" t="s">
        <v>5434</v>
      </c>
    </row>
    <row r="165" customFormat="false" ht="34.5" hidden="false" customHeight="true" outlineLevel="0" collapsed="false">
      <c r="A165" s="7" t="n">
        <v>161</v>
      </c>
      <c r="B165" s="16" t="s">
        <v>5276</v>
      </c>
      <c r="C165" s="7" t="s">
        <v>3881</v>
      </c>
      <c r="D165" s="7" t="s">
        <v>26</v>
      </c>
      <c r="E165" s="7" t="s">
        <v>3217</v>
      </c>
      <c r="F165" s="7" t="s">
        <v>3218</v>
      </c>
      <c r="G165" s="7" t="n">
        <v>164</v>
      </c>
      <c r="H165" s="7" t="s">
        <v>16</v>
      </c>
      <c r="I165" s="7"/>
      <c r="J165" s="7" t="s">
        <v>5269</v>
      </c>
      <c r="K165" s="7" t="s">
        <v>5435</v>
      </c>
    </row>
    <row r="166" customFormat="false" ht="34.5" hidden="false" customHeight="true" outlineLevel="0" collapsed="false">
      <c r="A166" s="7" t="n">
        <v>162</v>
      </c>
      <c r="B166" s="16" t="s">
        <v>5268</v>
      </c>
      <c r="C166" s="7" t="s">
        <v>3837</v>
      </c>
      <c r="D166" s="7" t="s">
        <v>26</v>
      </c>
      <c r="E166" s="7" t="s">
        <v>3217</v>
      </c>
      <c r="F166" s="7" t="s">
        <v>3218</v>
      </c>
      <c r="G166" s="7" t="n">
        <v>165</v>
      </c>
      <c r="H166" s="7" t="s">
        <v>16</v>
      </c>
      <c r="I166" s="7"/>
      <c r="J166" s="7" t="s">
        <v>5269</v>
      </c>
      <c r="K166" s="7" t="s">
        <v>5436</v>
      </c>
    </row>
    <row r="167" customFormat="false" ht="34.5" hidden="false" customHeight="true" outlineLevel="0" collapsed="false">
      <c r="A167" s="7" t="n">
        <v>163</v>
      </c>
      <c r="B167" s="16" t="s">
        <v>5271</v>
      </c>
      <c r="C167" s="7" t="s">
        <v>3889</v>
      </c>
      <c r="D167" s="7" t="s">
        <v>26</v>
      </c>
      <c r="E167" s="7" t="s">
        <v>3217</v>
      </c>
      <c r="F167" s="7" t="s">
        <v>3218</v>
      </c>
      <c r="G167" s="7" t="n">
        <v>166</v>
      </c>
      <c r="H167" s="7" t="s">
        <v>16</v>
      </c>
      <c r="I167" s="7"/>
      <c r="J167" s="7" t="s">
        <v>5269</v>
      </c>
      <c r="K167" s="7" t="s">
        <v>5437</v>
      </c>
    </row>
    <row r="168" customFormat="false" ht="34.5" hidden="false" customHeight="true" outlineLevel="0" collapsed="false">
      <c r="A168" s="7" t="n">
        <v>164</v>
      </c>
      <c r="B168" s="16" t="s">
        <v>5268</v>
      </c>
      <c r="C168" s="7" t="s">
        <v>3837</v>
      </c>
      <c r="D168" s="7" t="s">
        <v>26</v>
      </c>
      <c r="E168" s="7" t="s">
        <v>3217</v>
      </c>
      <c r="F168" s="7" t="s">
        <v>3218</v>
      </c>
      <c r="G168" s="7" t="n">
        <v>167</v>
      </c>
      <c r="H168" s="7" t="s">
        <v>16</v>
      </c>
      <c r="I168" s="7"/>
      <c r="J168" s="7" t="s">
        <v>5269</v>
      </c>
      <c r="K168" s="7" t="s">
        <v>5438</v>
      </c>
    </row>
    <row r="169" customFormat="false" ht="54.75" hidden="false" customHeight="true" outlineLevel="0" collapsed="false">
      <c r="A169" s="7" t="n">
        <v>165</v>
      </c>
      <c r="B169" s="16" t="s">
        <v>5274</v>
      </c>
      <c r="C169" s="7" t="s">
        <v>3894</v>
      </c>
      <c r="D169" s="7" t="s">
        <v>26</v>
      </c>
      <c r="E169" s="7" t="s">
        <v>3217</v>
      </c>
      <c r="F169" s="7" t="s">
        <v>3218</v>
      </c>
      <c r="G169" s="7" t="n">
        <v>168</v>
      </c>
      <c r="H169" s="7" t="s">
        <v>16</v>
      </c>
      <c r="I169" s="7"/>
      <c r="J169" s="7" t="s">
        <v>5269</v>
      </c>
      <c r="K169" s="7" t="s">
        <v>5439</v>
      </c>
    </row>
    <row r="170" customFormat="false" ht="34.5" hidden="false" customHeight="true" outlineLevel="0" collapsed="false">
      <c r="A170" s="7" t="n">
        <v>166</v>
      </c>
      <c r="B170" s="16" t="s">
        <v>5271</v>
      </c>
      <c r="C170" s="7" t="s">
        <v>3903</v>
      </c>
      <c r="D170" s="7" t="s">
        <v>29</v>
      </c>
      <c r="E170" s="7" t="s">
        <v>3217</v>
      </c>
      <c r="F170" s="7" t="s">
        <v>3898</v>
      </c>
      <c r="G170" s="7" t="n">
        <v>91</v>
      </c>
      <c r="H170" s="7" t="s">
        <v>16</v>
      </c>
      <c r="I170" s="7"/>
      <c r="J170" s="7" t="s">
        <v>5440</v>
      </c>
      <c r="K170" s="7" t="s">
        <v>5441</v>
      </c>
    </row>
    <row r="171" customFormat="false" ht="42" hidden="false" customHeight="true" outlineLevel="0" collapsed="false">
      <c r="A171" s="7" t="n">
        <v>167</v>
      </c>
      <c r="B171" s="16" t="s">
        <v>5268</v>
      </c>
      <c r="C171" s="7" t="s">
        <v>3910</v>
      </c>
      <c r="D171" s="7" t="s">
        <v>29</v>
      </c>
      <c r="E171" s="7" t="s">
        <v>3217</v>
      </c>
      <c r="F171" s="7" t="s">
        <v>3898</v>
      </c>
      <c r="G171" s="7" t="n">
        <v>92</v>
      </c>
      <c r="H171" s="7" t="s">
        <v>16</v>
      </c>
      <c r="I171" s="7" t="s">
        <v>5272</v>
      </c>
      <c r="J171" s="7" t="s">
        <v>5440</v>
      </c>
      <c r="K171" s="7" t="s">
        <v>5442</v>
      </c>
    </row>
    <row r="172" customFormat="false" ht="54.75" hidden="false" customHeight="true" outlineLevel="0" collapsed="false">
      <c r="A172" s="7" t="n">
        <v>168</v>
      </c>
      <c r="B172" s="16" t="s">
        <v>5276</v>
      </c>
      <c r="C172" s="7" t="s">
        <v>3912</v>
      </c>
      <c r="D172" s="7" t="s">
        <v>29</v>
      </c>
      <c r="E172" s="7" t="s">
        <v>3217</v>
      </c>
      <c r="F172" s="7" t="s">
        <v>3898</v>
      </c>
      <c r="G172" s="7" t="n">
        <v>93</v>
      </c>
      <c r="H172" s="7" t="s">
        <v>16</v>
      </c>
      <c r="I172" s="7"/>
      <c r="J172" s="7" t="s">
        <v>5440</v>
      </c>
      <c r="K172" s="7" t="s">
        <v>5443</v>
      </c>
    </row>
    <row r="173" customFormat="false" ht="42" hidden="false" customHeight="true" outlineLevel="0" collapsed="false">
      <c r="A173" s="7" t="n">
        <v>169</v>
      </c>
      <c r="B173" s="16" t="s">
        <v>5274</v>
      </c>
      <c r="C173" s="7" t="s">
        <v>3915</v>
      </c>
      <c r="D173" s="7" t="s">
        <v>29</v>
      </c>
      <c r="E173" s="7" t="s">
        <v>3217</v>
      </c>
      <c r="F173" s="7" t="s">
        <v>3898</v>
      </c>
      <c r="G173" s="7" t="n">
        <v>94</v>
      </c>
      <c r="H173" s="7" t="s">
        <v>16</v>
      </c>
      <c r="I173" s="7"/>
      <c r="J173" s="7" t="s">
        <v>5440</v>
      </c>
      <c r="K173" s="7" t="s">
        <v>5444</v>
      </c>
    </row>
    <row r="174" customFormat="false" ht="34.5" hidden="false" customHeight="true" outlineLevel="0" collapsed="false">
      <c r="A174" s="7" t="n">
        <v>170</v>
      </c>
      <c r="B174" s="16" t="s">
        <v>5268</v>
      </c>
      <c r="C174" s="7" t="s">
        <v>3922</v>
      </c>
      <c r="D174" s="7" t="s">
        <v>29</v>
      </c>
      <c r="E174" s="7" t="s">
        <v>3217</v>
      </c>
      <c r="F174" s="7" t="s">
        <v>3898</v>
      </c>
      <c r="G174" s="7" t="n">
        <v>95</v>
      </c>
      <c r="H174" s="7" t="s">
        <v>16</v>
      </c>
      <c r="I174" s="7"/>
      <c r="J174" s="7" t="s">
        <v>5440</v>
      </c>
      <c r="K174" s="7" t="s">
        <v>5445</v>
      </c>
    </row>
    <row r="175" customFormat="false" ht="34.5" hidden="false" customHeight="true" outlineLevel="0" collapsed="false">
      <c r="A175" s="7" t="n">
        <v>171</v>
      </c>
      <c r="B175" s="16" t="s">
        <v>5271</v>
      </c>
      <c r="C175" s="7" t="s">
        <v>3925</v>
      </c>
      <c r="D175" s="7" t="s">
        <v>29</v>
      </c>
      <c r="E175" s="7" t="s">
        <v>3217</v>
      </c>
      <c r="F175" s="7" t="s">
        <v>3898</v>
      </c>
      <c r="G175" s="7" t="n">
        <v>96</v>
      </c>
      <c r="H175" s="7" t="s">
        <v>16</v>
      </c>
      <c r="I175" s="7"/>
      <c r="J175" s="7" t="s">
        <v>5440</v>
      </c>
      <c r="K175" s="7" t="s">
        <v>5446</v>
      </c>
    </row>
    <row r="176" customFormat="false" ht="54.75" hidden="false" customHeight="true" outlineLevel="0" collapsed="false">
      <c r="A176" s="7" t="n">
        <v>172</v>
      </c>
      <c r="B176" s="16" t="s">
        <v>5276</v>
      </c>
      <c r="C176" s="7" t="s">
        <v>3930</v>
      </c>
      <c r="D176" s="7" t="s">
        <v>29</v>
      </c>
      <c r="E176" s="7" t="s">
        <v>3217</v>
      </c>
      <c r="F176" s="7" t="s">
        <v>3898</v>
      </c>
      <c r="G176" s="7" t="n">
        <v>97</v>
      </c>
      <c r="H176" s="7" t="s">
        <v>16</v>
      </c>
      <c r="I176" s="7"/>
      <c r="J176" s="7" t="s">
        <v>5440</v>
      </c>
      <c r="K176" s="7" t="s">
        <v>5447</v>
      </c>
    </row>
    <row r="177" customFormat="false" ht="54.75" hidden="false" customHeight="true" outlineLevel="0" collapsed="false">
      <c r="A177" s="7" t="n">
        <v>173</v>
      </c>
      <c r="B177" s="16" t="s">
        <v>5271</v>
      </c>
      <c r="C177" s="7" t="s">
        <v>3937</v>
      </c>
      <c r="D177" s="7" t="s">
        <v>29</v>
      </c>
      <c r="E177" s="7" t="s">
        <v>3217</v>
      </c>
      <c r="F177" s="7" t="s">
        <v>3898</v>
      </c>
      <c r="G177" s="7" t="n">
        <v>98</v>
      </c>
      <c r="H177" s="7" t="s">
        <v>16</v>
      </c>
      <c r="I177" s="7" t="s">
        <v>5272</v>
      </c>
      <c r="J177" s="7" t="s">
        <v>5440</v>
      </c>
      <c r="K177" s="7" t="s">
        <v>5448</v>
      </c>
    </row>
    <row r="178" customFormat="false" ht="54.75" hidden="false" customHeight="true" outlineLevel="0" collapsed="false">
      <c r="A178" s="7" t="n">
        <v>174</v>
      </c>
      <c r="B178" s="16" t="s">
        <v>5268</v>
      </c>
      <c r="C178" s="7" t="s">
        <v>3942</v>
      </c>
      <c r="D178" s="7" t="s">
        <v>29</v>
      </c>
      <c r="E178" s="7" t="s">
        <v>3217</v>
      </c>
      <c r="F178" s="7" t="s">
        <v>3898</v>
      </c>
      <c r="G178" s="7" t="n">
        <v>99</v>
      </c>
      <c r="H178" s="7" t="s">
        <v>16</v>
      </c>
      <c r="I178" s="7"/>
      <c r="J178" s="7" t="s">
        <v>5440</v>
      </c>
      <c r="K178" s="7" t="s">
        <v>5449</v>
      </c>
    </row>
    <row r="179" customFormat="false" ht="42" hidden="false" customHeight="true" outlineLevel="0" collapsed="false">
      <c r="A179" s="7" t="n">
        <v>175</v>
      </c>
      <c r="B179" s="16" t="s">
        <v>5271</v>
      </c>
      <c r="C179" s="7" t="s">
        <v>3945</v>
      </c>
      <c r="D179" s="7" t="s">
        <v>29</v>
      </c>
      <c r="E179" s="7" t="s">
        <v>3217</v>
      </c>
      <c r="F179" s="7" t="s">
        <v>3898</v>
      </c>
      <c r="G179" s="7" t="n">
        <v>100</v>
      </c>
      <c r="H179" s="7" t="s">
        <v>16</v>
      </c>
      <c r="I179" s="7"/>
      <c r="J179" s="7" t="s">
        <v>5440</v>
      </c>
      <c r="K179" s="7" t="s">
        <v>5450</v>
      </c>
    </row>
    <row r="180" customFormat="false" ht="42" hidden="false" customHeight="true" outlineLevel="0" collapsed="false">
      <c r="A180" s="7" t="n">
        <v>176</v>
      </c>
      <c r="B180" s="16" t="s">
        <v>5271</v>
      </c>
      <c r="C180" s="7" t="s">
        <v>3949</v>
      </c>
      <c r="D180" s="7" t="s">
        <v>29</v>
      </c>
      <c r="E180" s="7" t="s">
        <v>3217</v>
      </c>
      <c r="F180" s="7" t="s">
        <v>3898</v>
      </c>
      <c r="G180" s="7" t="n">
        <v>101</v>
      </c>
      <c r="H180" s="7" t="s">
        <v>16</v>
      </c>
      <c r="I180" s="7"/>
      <c r="J180" s="7" t="s">
        <v>5440</v>
      </c>
      <c r="K180" s="7" t="s">
        <v>5451</v>
      </c>
    </row>
    <row r="181" customFormat="false" ht="42" hidden="false" customHeight="true" outlineLevel="0" collapsed="false">
      <c r="A181" s="7" t="n">
        <v>177</v>
      </c>
      <c r="B181" s="16" t="s">
        <v>5276</v>
      </c>
      <c r="C181" s="7" t="s">
        <v>3952</v>
      </c>
      <c r="D181" s="7" t="s">
        <v>29</v>
      </c>
      <c r="E181" s="7" t="s">
        <v>3217</v>
      </c>
      <c r="F181" s="7" t="s">
        <v>3898</v>
      </c>
      <c r="G181" s="7" t="n">
        <v>102</v>
      </c>
      <c r="H181" s="7" t="s">
        <v>16</v>
      </c>
      <c r="I181" s="7"/>
      <c r="J181" s="7" t="s">
        <v>5440</v>
      </c>
      <c r="K181" s="7" t="s">
        <v>5452</v>
      </c>
    </row>
    <row r="182" customFormat="false" ht="34.5" hidden="false" customHeight="true" outlineLevel="0" collapsed="false">
      <c r="A182" s="7" t="n">
        <v>178</v>
      </c>
      <c r="B182" s="16" t="s">
        <v>5276</v>
      </c>
      <c r="C182" s="7" t="s">
        <v>3958</v>
      </c>
      <c r="D182" s="7" t="s">
        <v>29</v>
      </c>
      <c r="E182" s="7" t="s">
        <v>3217</v>
      </c>
      <c r="F182" s="7" t="s">
        <v>3898</v>
      </c>
      <c r="G182" s="7" t="n">
        <v>103</v>
      </c>
      <c r="H182" s="7" t="s">
        <v>16</v>
      </c>
      <c r="I182" s="7" t="s">
        <v>5272</v>
      </c>
      <c r="J182" s="7" t="s">
        <v>5440</v>
      </c>
      <c r="K182" s="7" t="s">
        <v>5453</v>
      </c>
    </row>
    <row r="183" customFormat="false" ht="34.5" hidden="false" customHeight="true" outlineLevel="0" collapsed="false">
      <c r="A183" s="7" t="n">
        <v>179</v>
      </c>
      <c r="B183" s="16" t="s">
        <v>5268</v>
      </c>
      <c r="C183" s="7" t="s">
        <v>3966</v>
      </c>
      <c r="D183" s="7" t="s">
        <v>29</v>
      </c>
      <c r="E183" s="7" t="s">
        <v>3217</v>
      </c>
      <c r="F183" s="7" t="s">
        <v>3898</v>
      </c>
      <c r="G183" s="7" t="n">
        <v>104</v>
      </c>
      <c r="H183" s="7" t="s">
        <v>16</v>
      </c>
      <c r="I183" s="7" t="s">
        <v>5272</v>
      </c>
      <c r="J183" s="7" t="s">
        <v>5440</v>
      </c>
      <c r="K183" s="7" t="s">
        <v>5454</v>
      </c>
    </row>
    <row r="184" customFormat="false" ht="34.5" hidden="false" customHeight="true" outlineLevel="0" collapsed="false">
      <c r="A184" s="7" t="n">
        <v>180</v>
      </c>
      <c r="B184" s="16" t="s">
        <v>5276</v>
      </c>
      <c r="C184" s="7" t="s">
        <v>3968</v>
      </c>
      <c r="D184" s="7" t="s">
        <v>29</v>
      </c>
      <c r="E184" s="7" t="s">
        <v>3217</v>
      </c>
      <c r="F184" s="7" t="s">
        <v>3898</v>
      </c>
      <c r="G184" s="7" t="n">
        <v>105</v>
      </c>
      <c r="H184" s="7" t="s">
        <v>16</v>
      </c>
      <c r="I184" s="7"/>
      <c r="J184" s="7" t="s">
        <v>5440</v>
      </c>
      <c r="K184" s="7" t="s">
        <v>5455</v>
      </c>
    </row>
    <row r="185" customFormat="false" ht="34.5" hidden="false" customHeight="true" outlineLevel="0" collapsed="false">
      <c r="A185" s="7" t="n">
        <v>181</v>
      </c>
      <c r="B185" s="16" t="s">
        <v>5276</v>
      </c>
      <c r="C185" s="7" t="s">
        <v>3972</v>
      </c>
      <c r="D185" s="7" t="s">
        <v>29</v>
      </c>
      <c r="E185" s="7" t="s">
        <v>3217</v>
      </c>
      <c r="F185" s="7" t="s">
        <v>3898</v>
      </c>
      <c r="G185" s="7" t="n">
        <v>106</v>
      </c>
      <c r="H185" s="7" t="s">
        <v>16</v>
      </c>
      <c r="I185" s="7"/>
      <c r="J185" s="7" t="s">
        <v>5440</v>
      </c>
      <c r="K185" s="7" t="s">
        <v>5456</v>
      </c>
    </row>
    <row r="186" customFormat="false" ht="34.5" hidden="false" customHeight="true" outlineLevel="0" collapsed="false">
      <c r="A186" s="7" t="n">
        <v>182</v>
      </c>
      <c r="B186" s="16" t="s">
        <v>5271</v>
      </c>
      <c r="C186" s="7" t="s">
        <v>3977</v>
      </c>
      <c r="D186" s="7" t="s">
        <v>29</v>
      </c>
      <c r="E186" s="7" t="s">
        <v>3217</v>
      </c>
      <c r="F186" s="7" t="s">
        <v>3898</v>
      </c>
      <c r="G186" s="7" t="n">
        <v>107</v>
      </c>
      <c r="H186" s="7" t="s">
        <v>16</v>
      </c>
      <c r="I186" s="7" t="s">
        <v>5272</v>
      </c>
      <c r="J186" s="7" t="s">
        <v>5440</v>
      </c>
      <c r="K186" s="7" t="s">
        <v>5457</v>
      </c>
    </row>
    <row r="187" customFormat="false" ht="34.5" hidden="false" customHeight="true" outlineLevel="0" collapsed="false">
      <c r="A187" s="7" t="n">
        <v>183</v>
      </c>
      <c r="B187" s="16" t="s">
        <v>5271</v>
      </c>
      <c r="C187" s="7" t="s">
        <v>3981</v>
      </c>
      <c r="D187" s="7" t="s">
        <v>29</v>
      </c>
      <c r="E187" s="7" t="s">
        <v>3217</v>
      </c>
      <c r="F187" s="7" t="s">
        <v>3898</v>
      </c>
      <c r="G187" s="7" t="n">
        <v>108</v>
      </c>
      <c r="H187" s="7" t="s">
        <v>16</v>
      </c>
      <c r="I187" s="7"/>
      <c r="J187" s="7" t="s">
        <v>5440</v>
      </c>
      <c r="K187" s="7" t="s">
        <v>5458</v>
      </c>
    </row>
    <row r="188" customFormat="false" ht="42" hidden="false" customHeight="true" outlineLevel="0" collapsed="false">
      <c r="A188" s="7" t="n">
        <v>184</v>
      </c>
      <c r="B188" s="16" t="s">
        <v>5268</v>
      </c>
      <c r="C188" s="7" t="s">
        <v>3987</v>
      </c>
      <c r="D188" s="7" t="s">
        <v>29</v>
      </c>
      <c r="E188" s="7" t="s">
        <v>3217</v>
      </c>
      <c r="F188" s="7" t="s">
        <v>3898</v>
      </c>
      <c r="G188" s="7" t="n">
        <v>109</v>
      </c>
      <c r="H188" s="7" t="s">
        <v>16</v>
      </c>
      <c r="I188" s="7" t="s">
        <v>5272</v>
      </c>
      <c r="J188" s="7" t="s">
        <v>5440</v>
      </c>
      <c r="K188" s="7" t="s">
        <v>5459</v>
      </c>
    </row>
    <row r="189" customFormat="false" ht="34.5" hidden="false" customHeight="true" outlineLevel="0" collapsed="false">
      <c r="A189" s="7" t="n">
        <v>185</v>
      </c>
      <c r="B189" s="16" t="s">
        <v>5276</v>
      </c>
      <c r="C189" s="7" t="s">
        <v>3989</v>
      </c>
      <c r="D189" s="7" t="s">
        <v>29</v>
      </c>
      <c r="E189" s="7" t="s">
        <v>3217</v>
      </c>
      <c r="F189" s="7" t="s">
        <v>3898</v>
      </c>
      <c r="G189" s="7" t="n">
        <v>110</v>
      </c>
      <c r="H189" s="7" t="s">
        <v>16</v>
      </c>
      <c r="I189" s="7"/>
      <c r="J189" s="7" t="s">
        <v>5440</v>
      </c>
      <c r="K189" s="7" t="s">
        <v>5460</v>
      </c>
    </row>
    <row r="190" customFormat="false" ht="34.5" hidden="false" customHeight="true" outlineLevel="0" collapsed="false">
      <c r="A190" s="7" t="n">
        <v>186</v>
      </c>
      <c r="B190" s="16" t="s">
        <v>5276</v>
      </c>
      <c r="C190" s="7" t="s">
        <v>3993</v>
      </c>
      <c r="D190" s="7" t="s">
        <v>29</v>
      </c>
      <c r="E190" s="7" t="s">
        <v>3217</v>
      </c>
      <c r="F190" s="7" t="s">
        <v>3898</v>
      </c>
      <c r="G190" s="7" t="n">
        <v>111</v>
      </c>
      <c r="H190" s="7" t="s">
        <v>16</v>
      </c>
      <c r="I190" s="7" t="s">
        <v>5272</v>
      </c>
      <c r="J190" s="7" t="s">
        <v>5440</v>
      </c>
      <c r="K190" s="7" t="s">
        <v>5461</v>
      </c>
    </row>
    <row r="191" customFormat="false" ht="42" hidden="false" customHeight="true" outlineLevel="0" collapsed="false">
      <c r="A191" s="7" t="n">
        <v>187</v>
      </c>
      <c r="B191" s="16" t="s">
        <v>5274</v>
      </c>
      <c r="C191" s="7" t="s">
        <v>3999</v>
      </c>
      <c r="D191" s="7" t="s">
        <v>22</v>
      </c>
      <c r="E191" s="7" t="s">
        <v>3996</v>
      </c>
      <c r="F191" s="7" t="s">
        <v>3997</v>
      </c>
      <c r="G191" s="7" t="n">
        <v>48</v>
      </c>
      <c r="H191" s="7" t="s">
        <v>18</v>
      </c>
      <c r="I191" s="7"/>
      <c r="J191" s="7" t="s">
        <v>5462</v>
      </c>
      <c r="K191" s="7" t="s">
        <v>5463</v>
      </c>
    </row>
    <row r="192" customFormat="false" ht="34.5" hidden="false" customHeight="true" outlineLevel="0" collapsed="false">
      <c r="A192" s="7" t="n">
        <v>188</v>
      </c>
      <c r="B192" s="16" t="s">
        <v>5268</v>
      </c>
      <c r="C192" s="7" t="s">
        <v>4009</v>
      </c>
      <c r="D192" s="7" t="s">
        <v>19</v>
      </c>
      <c r="E192" s="7" t="s">
        <v>4003</v>
      </c>
      <c r="F192" s="7" t="s">
        <v>4004</v>
      </c>
      <c r="G192" s="7" t="n">
        <v>160</v>
      </c>
      <c r="H192" s="7" t="s">
        <v>20</v>
      </c>
      <c r="I192" s="7"/>
      <c r="J192" s="7" t="s">
        <v>5464</v>
      </c>
      <c r="K192" s="7" t="s">
        <v>5465</v>
      </c>
    </row>
    <row r="193" customFormat="false" ht="54.75" hidden="false" customHeight="true" outlineLevel="0" collapsed="false">
      <c r="A193" s="7" t="n">
        <v>189</v>
      </c>
      <c r="B193" s="16" t="s">
        <v>5274</v>
      </c>
      <c r="C193" s="7" t="s">
        <v>4011</v>
      </c>
      <c r="D193" s="7" t="s">
        <v>31</v>
      </c>
      <c r="E193" s="7" t="s">
        <v>4003</v>
      </c>
      <c r="F193" s="7" t="s">
        <v>4010</v>
      </c>
      <c r="G193" s="7" t="n">
        <v>140</v>
      </c>
      <c r="H193" s="7" t="s">
        <v>18</v>
      </c>
      <c r="I193" s="7" t="s">
        <v>5272</v>
      </c>
      <c r="J193" s="7" t="s">
        <v>5466</v>
      </c>
      <c r="K193" s="7" t="s">
        <v>5467</v>
      </c>
    </row>
    <row r="194" customFormat="false" ht="34.5" hidden="false" customHeight="true" outlineLevel="0" collapsed="false">
      <c r="A194" s="7" t="n">
        <v>190</v>
      </c>
      <c r="B194" s="16" t="s">
        <v>5268</v>
      </c>
      <c r="C194" s="7" t="s">
        <v>4018</v>
      </c>
      <c r="D194" s="7" t="s">
        <v>22</v>
      </c>
      <c r="E194" s="7" t="s">
        <v>3996</v>
      </c>
      <c r="F194" s="7" t="s">
        <v>3997</v>
      </c>
      <c r="G194" s="7" t="n">
        <v>112</v>
      </c>
      <c r="H194" s="7" t="s">
        <v>18</v>
      </c>
      <c r="I194" s="7" t="s">
        <v>5272</v>
      </c>
      <c r="J194" s="7" t="s">
        <v>5462</v>
      </c>
      <c r="K194" s="7" t="s">
        <v>5468</v>
      </c>
    </row>
    <row r="195" customFormat="false" ht="54.75" hidden="false" customHeight="true" outlineLevel="0" collapsed="false">
      <c r="A195" s="7" t="n">
        <v>191</v>
      </c>
      <c r="B195" s="16" t="s">
        <v>5276</v>
      </c>
      <c r="C195" s="7" t="s">
        <v>4022</v>
      </c>
      <c r="D195" s="7" t="s">
        <v>25</v>
      </c>
      <c r="E195" s="7" t="s">
        <v>4019</v>
      </c>
      <c r="F195" s="7" t="s">
        <v>4020</v>
      </c>
      <c r="G195" s="7" t="n">
        <v>110</v>
      </c>
      <c r="H195" s="7" t="s">
        <v>20</v>
      </c>
      <c r="I195" s="7"/>
      <c r="J195" s="7" t="s">
        <v>5469</v>
      </c>
      <c r="K195" s="7" t="s">
        <v>5470</v>
      </c>
    </row>
    <row r="196" customFormat="false" ht="34.5" hidden="false" customHeight="true" outlineLevel="0" collapsed="false">
      <c r="A196" s="7" t="n">
        <v>192</v>
      </c>
      <c r="B196" s="16" t="s">
        <v>5271</v>
      </c>
      <c r="C196" s="7" t="s">
        <v>4028</v>
      </c>
      <c r="D196" s="7" t="s">
        <v>29</v>
      </c>
      <c r="E196" s="7" t="s">
        <v>3217</v>
      </c>
      <c r="F196" s="7" t="s">
        <v>3898</v>
      </c>
      <c r="G196" s="7" t="n">
        <v>75</v>
      </c>
      <c r="H196" s="7" t="s">
        <v>20</v>
      </c>
      <c r="I196" s="7" t="s">
        <v>5471</v>
      </c>
      <c r="J196" s="7" t="s">
        <v>5440</v>
      </c>
      <c r="K196" s="7" t="s">
        <v>5472</v>
      </c>
    </row>
    <row r="197" customFormat="false" ht="42" hidden="false" customHeight="true" outlineLevel="0" collapsed="false">
      <c r="A197" s="7" t="n">
        <v>193</v>
      </c>
      <c r="B197" s="16" t="s">
        <v>5276</v>
      </c>
      <c r="C197" s="7" t="s">
        <v>4034</v>
      </c>
      <c r="D197" s="7" t="s">
        <v>15</v>
      </c>
      <c r="E197" s="7" t="s">
        <v>3996</v>
      </c>
      <c r="F197" s="7" t="s">
        <v>4030</v>
      </c>
      <c r="G197" s="7" t="n">
        <v>126</v>
      </c>
      <c r="H197" s="7" t="s">
        <v>20</v>
      </c>
      <c r="I197" s="7"/>
      <c r="J197" s="7" t="s">
        <v>5473</v>
      </c>
      <c r="K197" s="7" t="s">
        <v>5474</v>
      </c>
    </row>
    <row r="198" customFormat="false" ht="34.5" hidden="false" customHeight="true" outlineLevel="0" collapsed="false">
      <c r="A198" s="7" t="n">
        <v>194</v>
      </c>
      <c r="B198" s="16" t="s">
        <v>5271</v>
      </c>
      <c r="C198" s="7" t="s">
        <v>4042</v>
      </c>
      <c r="D198" s="7" t="s">
        <v>23</v>
      </c>
      <c r="E198" s="7" t="s">
        <v>3217</v>
      </c>
      <c r="F198" s="7" t="s">
        <v>4038</v>
      </c>
      <c r="G198" s="7" t="n">
        <v>56</v>
      </c>
      <c r="H198" s="7" t="s">
        <v>18</v>
      </c>
      <c r="I198" s="7" t="s">
        <v>5471</v>
      </c>
      <c r="J198" s="7" t="s">
        <v>5475</v>
      </c>
      <c r="K198" s="7" t="s">
        <v>5476</v>
      </c>
    </row>
    <row r="199" customFormat="false" ht="34.5" hidden="false" customHeight="true" outlineLevel="0" collapsed="false">
      <c r="A199" s="7" t="n">
        <v>195</v>
      </c>
      <c r="B199" s="16" t="s">
        <v>5274</v>
      </c>
      <c r="C199" s="7" t="s">
        <v>4046</v>
      </c>
      <c r="D199" s="7" t="s">
        <v>17</v>
      </c>
      <c r="E199" s="7" t="s">
        <v>4044</v>
      </c>
      <c r="F199" s="7" t="s">
        <v>4045</v>
      </c>
      <c r="G199" s="7" t="n">
        <v>93</v>
      </c>
      <c r="H199" s="7" t="s">
        <v>18</v>
      </c>
      <c r="I199" s="7"/>
      <c r="J199" s="7" t="s">
        <v>5477</v>
      </c>
      <c r="K199" s="7" t="s">
        <v>5478</v>
      </c>
    </row>
    <row r="200" customFormat="false" ht="42" hidden="false" customHeight="true" outlineLevel="0" collapsed="false">
      <c r="A200" s="7" t="n">
        <v>196</v>
      </c>
      <c r="B200" s="16" t="s">
        <v>5276</v>
      </c>
      <c r="C200" s="7" t="s">
        <v>4051</v>
      </c>
      <c r="D200" s="7" t="s">
        <v>22</v>
      </c>
      <c r="E200" s="7" t="s">
        <v>3996</v>
      </c>
      <c r="F200" s="7" t="s">
        <v>3997</v>
      </c>
      <c r="G200" s="7" t="n">
        <v>135</v>
      </c>
      <c r="H200" s="7" t="s">
        <v>18</v>
      </c>
      <c r="I200" s="7"/>
      <c r="J200" s="7" t="s">
        <v>5462</v>
      </c>
      <c r="K200" s="7" t="s">
        <v>5479</v>
      </c>
    </row>
    <row r="201" customFormat="false" ht="34.5" hidden="false" customHeight="true" outlineLevel="0" collapsed="false">
      <c r="A201" s="7" t="n">
        <v>197</v>
      </c>
      <c r="B201" s="16" t="s">
        <v>5276</v>
      </c>
      <c r="C201" s="7" t="s">
        <v>4055</v>
      </c>
      <c r="D201" s="7" t="s">
        <v>25</v>
      </c>
      <c r="E201" s="7" t="s">
        <v>4019</v>
      </c>
      <c r="F201" s="7" t="s">
        <v>4020</v>
      </c>
      <c r="G201" s="7" t="n">
        <v>103</v>
      </c>
      <c r="H201" s="7" t="s">
        <v>20</v>
      </c>
      <c r="I201" s="7"/>
      <c r="J201" s="7" t="s">
        <v>5469</v>
      </c>
      <c r="K201" s="7" t="s">
        <v>5480</v>
      </c>
    </row>
    <row r="202" customFormat="false" ht="34.5" hidden="false" customHeight="true" outlineLevel="0" collapsed="false">
      <c r="A202" s="7" t="n">
        <v>198</v>
      </c>
      <c r="B202" s="16" t="s">
        <v>5276</v>
      </c>
      <c r="C202" s="7" t="s">
        <v>4061</v>
      </c>
      <c r="D202" s="7" t="s">
        <v>21</v>
      </c>
      <c r="E202" s="7" t="s">
        <v>4058</v>
      </c>
      <c r="F202" s="7" t="s">
        <v>4059</v>
      </c>
      <c r="G202" s="7" t="n">
        <v>102</v>
      </c>
      <c r="H202" s="7" t="s">
        <v>20</v>
      </c>
      <c r="I202" s="7"/>
      <c r="J202" s="7" t="s">
        <v>5481</v>
      </c>
      <c r="K202" s="7" t="s">
        <v>5482</v>
      </c>
    </row>
    <row r="203" customFormat="false" ht="42" hidden="false" customHeight="true" outlineLevel="0" collapsed="false">
      <c r="A203" s="7" t="n">
        <v>199</v>
      </c>
      <c r="B203" s="16" t="s">
        <v>5268</v>
      </c>
      <c r="C203" s="7" t="s">
        <v>4068</v>
      </c>
      <c r="D203" s="7" t="s">
        <v>15</v>
      </c>
      <c r="E203" s="7" t="s">
        <v>3996</v>
      </c>
      <c r="F203" s="7" t="s">
        <v>4030</v>
      </c>
      <c r="G203" s="7" t="n">
        <v>134</v>
      </c>
      <c r="H203" s="7" t="s">
        <v>20</v>
      </c>
      <c r="I203" s="7" t="s">
        <v>5272</v>
      </c>
      <c r="J203" s="7" t="s">
        <v>5473</v>
      </c>
      <c r="K203" s="7" t="s">
        <v>5483</v>
      </c>
    </row>
    <row r="204" customFormat="false" ht="34.5" hidden="false" customHeight="true" outlineLevel="0" collapsed="false">
      <c r="A204" s="7" t="n">
        <v>200</v>
      </c>
      <c r="B204" s="16" t="s">
        <v>5271</v>
      </c>
      <c r="C204" s="7" t="s">
        <v>4074</v>
      </c>
      <c r="D204" s="7" t="s">
        <v>27</v>
      </c>
      <c r="E204" s="7" t="s">
        <v>3996</v>
      </c>
      <c r="F204" s="7" t="s">
        <v>4070</v>
      </c>
      <c r="G204" s="7" t="n">
        <v>109</v>
      </c>
      <c r="H204" s="7" t="s">
        <v>20</v>
      </c>
      <c r="I204" s="7"/>
      <c r="J204" s="7" t="s">
        <v>5484</v>
      </c>
      <c r="K204" s="7" t="s">
        <v>5485</v>
      </c>
    </row>
    <row r="205" customFormat="false" ht="67.5" hidden="false" customHeight="true" outlineLevel="0" collapsed="false">
      <c r="A205" s="7" t="n">
        <v>201</v>
      </c>
      <c r="B205" s="16" t="s">
        <v>5271</v>
      </c>
      <c r="C205" s="7" t="s">
        <v>4078</v>
      </c>
      <c r="D205" s="7" t="s">
        <v>31</v>
      </c>
      <c r="E205" s="7" t="s">
        <v>4003</v>
      </c>
      <c r="F205" s="7" t="s">
        <v>4010</v>
      </c>
      <c r="G205" s="7" t="n">
        <v>16</v>
      </c>
      <c r="H205" s="7" t="s">
        <v>18</v>
      </c>
      <c r="I205" s="7" t="s">
        <v>5272</v>
      </c>
      <c r="J205" s="7" t="s">
        <v>5466</v>
      </c>
      <c r="K205" s="7" t="s">
        <v>5486</v>
      </c>
    </row>
    <row r="206" customFormat="false" ht="54.75" hidden="false" customHeight="true" outlineLevel="0" collapsed="false">
      <c r="A206" s="7" t="n">
        <v>202</v>
      </c>
      <c r="B206" s="16" t="s">
        <v>5271</v>
      </c>
      <c r="C206" s="7" t="s">
        <v>4082</v>
      </c>
      <c r="D206" s="7" t="s">
        <v>23</v>
      </c>
      <c r="E206" s="7" t="s">
        <v>3217</v>
      </c>
      <c r="F206" s="7" t="s">
        <v>4038</v>
      </c>
      <c r="G206" s="7" t="n">
        <v>54</v>
      </c>
      <c r="H206" s="7" t="s">
        <v>18</v>
      </c>
      <c r="I206" s="7"/>
      <c r="J206" s="7" t="s">
        <v>5475</v>
      </c>
      <c r="K206" s="7" t="s">
        <v>5487</v>
      </c>
    </row>
    <row r="207" customFormat="false" ht="34.5" hidden="false" customHeight="true" outlineLevel="0" collapsed="false">
      <c r="A207" s="7" t="n">
        <v>203</v>
      </c>
      <c r="B207" s="16" t="s">
        <v>5271</v>
      </c>
      <c r="C207" s="7" t="s">
        <v>4087</v>
      </c>
      <c r="D207" s="7" t="s">
        <v>17</v>
      </c>
      <c r="E207" s="7" t="s">
        <v>4058</v>
      </c>
      <c r="F207" s="7" t="s">
        <v>4084</v>
      </c>
      <c r="G207" s="7" t="n">
        <v>109</v>
      </c>
      <c r="H207" s="7" t="s">
        <v>20</v>
      </c>
      <c r="I207" s="7" t="s">
        <v>5272</v>
      </c>
      <c r="J207" s="7" t="s">
        <v>5488</v>
      </c>
      <c r="K207" s="7" t="s">
        <v>5489</v>
      </c>
    </row>
    <row r="208" customFormat="false" ht="34.5" hidden="false" customHeight="true" outlineLevel="0" collapsed="false">
      <c r="A208" s="7" t="n">
        <v>204</v>
      </c>
      <c r="B208" s="16" t="s">
        <v>5268</v>
      </c>
      <c r="C208" s="7" t="s">
        <v>4092</v>
      </c>
      <c r="D208" s="7" t="s">
        <v>23</v>
      </c>
      <c r="E208" s="7" t="s">
        <v>3217</v>
      </c>
      <c r="F208" s="7" t="s">
        <v>4038</v>
      </c>
      <c r="G208" s="7" t="n">
        <v>23</v>
      </c>
      <c r="H208" s="7" t="s">
        <v>18</v>
      </c>
      <c r="I208" s="7"/>
      <c r="J208" s="7" t="s">
        <v>5475</v>
      </c>
      <c r="K208" s="7" t="s">
        <v>5490</v>
      </c>
    </row>
    <row r="209" customFormat="false" ht="42" hidden="false" customHeight="true" outlineLevel="0" collapsed="false">
      <c r="A209" s="7" t="n">
        <v>205</v>
      </c>
      <c r="B209" s="16" t="s">
        <v>5276</v>
      </c>
      <c r="C209" s="7" t="s">
        <v>4094</v>
      </c>
      <c r="D209" s="7" t="s">
        <v>23</v>
      </c>
      <c r="E209" s="7" t="s">
        <v>3217</v>
      </c>
      <c r="F209" s="7" t="s">
        <v>4038</v>
      </c>
      <c r="G209" s="7" t="n">
        <v>6</v>
      </c>
      <c r="H209" s="7" t="s">
        <v>18</v>
      </c>
      <c r="I209" s="7"/>
      <c r="J209" s="7" t="s">
        <v>5475</v>
      </c>
      <c r="K209" s="7" t="s">
        <v>5491</v>
      </c>
    </row>
    <row r="210" customFormat="false" ht="34.5" hidden="false" customHeight="true" outlineLevel="0" collapsed="false">
      <c r="A210" s="7" t="n">
        <v>206</v>
      </c>
      <c r="B210" s="16" t="s">
        <v>5271</v>
      </c>
      <c r="C210" s="7" t="s">
        <v>4098</v>
      </c>
      <c r="D210" s="7" t="s">
        <v>21</v>
      </c>
      <c r="E210" s="7" t="s">
        <v>4058</v>
      </c>
      <c r="F210" s="7" t="s">
        <v>4059</v>
      </c>
      <c r="G210" s="7" t="n">
        <v>53</v>
      </c>
      <c r="H210" s="7" t="s">
        <v>18</v>
      </c>
      <c r="I210" s="7" t="s">
        <v>5272</v>
      </c>
      <c r="J210" s="7" t="s">
        <v>5481</v>
      </c>
      <c r="K210" s="7" t="s">
        <v>5492</v>
      </c>
    </row>
    <row r="211" customFormat="false" ht="54.75" hidden="false" customHeight="true" outlineLevel="0" collapsed="false">
      <c r="A211" s="7" t="n">
        <v>207</v>
      </c>
      <c r="B211" s="16" t="s">
        <v>5268</v>
      </c>
      <c r="C211" s="7" t="s">
        <v>4103</v>
      </c>
      <c r="D211" s="7" t="s">
        <v>31</v>
      </c>
      <c r="E211" s="7" t="s">
        <v>4003</v>
      </c>
      <c r="F211" s="7" t="s">
        <v>4010</v>
      </c>
      <c r="G211" s="7" t="n">
        <v>99</v>
      </c>
      <c r="H211" s="7" t="s">
        <v>18</v>
      </c>
      <c r="I211" s="7"/>
      <c r="J211" s="7" t="s">
        <v>5466</v>
      </c>
      <c r="K211" s="7" t="s">
        <v>5493</v>
      </c>
    </row>
    <row r="212" customFormat="false" ht="34.5" hidden="false" customHeight="true" outlineLevel="0" collapsed="false">
      <c r="A212" s="7" t="n">
        <v>208</v>
      </c>
      <c r="B212" s="16" t="s">
        <v>5271</v>
      </c>
      <c r="C212" s="7" t="s">
        <v>4106</v>
      </c>
      <c r="D212" s="7" t="s">
        <v>27</v>
      </c>
      <c r="E212" s="7" t="s">
        <v>3996</v>
      </c>
      <c r="F212" s="7" t="s">
        <v>4070</v>
      </c>
      <c r="G212" s="7" t="n">
        <v>103</v>
      </c>
      <c r="H212" s="7" t="s">
        <v>20</v>
      </c>
      <c r="I212" s="7"/>
      <c r="J212" s="7" t="s">
        <v>5484</v>
      </c>
      <c r="K212" s="7" t="s">
        <v>5494</v>
      </c>
    </row>
    <row r="213" customFormat="false" ht="54.75" hidden="false" customHeight="true" outlineLevel="0" collapsed="false">
      <c r="A213" s="7" t="n">
        <v>209</v>
      </c>
      <c r="B213" s="16" t="s">
        <v>5271</v>
      </c>
      <c r="C213" s="7" t="s">
        <v>4111</v>
      </c>
      <c r="D213" s="7" t="s">
        <v>21</v>
      </c>
      <c r="E213" s="7" t="s">
        <v>3217</v>
      </c>
      <c r="F213" s="7" t="s">
        <v>4108</v>
      </c>
      <c r="G213" s="7" t="n">
        <v>17</v>
      </c>
      <c r="H213" s="7" t="s">
        <v>18</v>
      </c>
      <c r="I213" s="7" t="s">
        <v>5495</v>
      </c>
      <c r="J213" s="7" t="s">
        <v>5496</v>
      </c>
      <c r="K213" s="7" t="s">
        <v>5497</v>
      </c>
    </row>
    <row r="214" customFormat="false" ht="42" hidden="false" customHeight="true" outlineLevel="0" collapsed="false">
      <c r="A214" s="7" t="n">
        <v>210</v>
      </c>
      <c r="B214" s="16" t="s">
        <v>5271</v>
      </c>
      <c r="C214" s="7" t="s">
        <v>4115</v>
      </c>
      <c r="D214" s="7" t="s">
        <v>23</v>
      </c>
      <c r="E214" s="7" t="s">
        <v>3217</v>
      </c>
      <c r="F214" s="7" t="s">
        <v>4038</v>
      </c>
      <c r="G214" s="7" t="n">
        <v>77</v>
      </c>
      <c r="H214" s="7" t="s">
        <v>18</v>
      </c>
      <c r="I214" s="7"/>
      <c r="J214" s="7" t="s">
        <v>5475</v>
      </c>
      <c r="K214" s="7" t="s">
        <v>5498</v>
      </c>
    </row>
    <row r="215" customFormat="false" ht="42" hidden="false" customHeight="true" outlineLevel="0" collapsed="false">
      <c r="A215" s="7" t="n">
        <v>211</v>
      </c>
      <c r="B215" s="16" t="s">
        <v>5276</v>
      </c>
      <c r="C215" s="7" t="s">
        <v>4118</v>
      </c>
      <c r="D215" s="7" t="s">
        <v>25</v>
      </c>
      <c r="E215" s="7" t="s">
        <v>4019</v>
      </c>
      <c r="F215" s="7" t="s">
        <v>4020</v>
      </c>
      <c r="G215" s="7" t="n">
        <v>108</v>
      </c>
      <c r="H215" s="7" t="s">
        <v>20</v>
      </c>
      <c r="I215" s="7" t="s">
        <v>5272</v>
      </c>
      <c r="J215" s="7" t="s">
        <v>5469</v>
      </c>
      <c r="K215" s="7" t="s">
        <v>5499</v>
      </c>
    </row>
    <row r="216" customFormat="false" ht="42" hidden="false" customHeight="true" outlineLevel="0" collapsed="false">
      <c r="A216" s="7" t="n">
        <v>212</v>
      </c>
      <c r="B216" s="16" t="s">
        <v>5268</v>
      </c>
      <c r="C216" s="7" t="s">
        <v>4124</v>
      </c>
      <c r="D216" s="7" t="s">
        <v>23</v>
      </c>
      <c r="E216" s="7" t="s">
        <v>3217</v>
      </c>
      <c r="F216" s="7" t="s">
        <v>4038</v>
      </c>
      <c r="G216" s="7" t="n">
        <v>73</v>
      </c>
      <c r="H216" s="7" t="s">
        <v>18</v>
      </c>
      <c r="I216" s="7" t="s">
        <v>5272</v>
      </c>
      <c r="J216" s="7" t="s">
        <v>5475</v>
      </c>
      <c r="K216" s="7" t="s">
        <v>5500</v>
      </c>
    </row>
    <row r="217" customFormat="false" ht="34.5" hidden="false" customHeight="true" outlineLevel="0" collapsed="false">
      <c r="A217" s="7" t="n">
        <v>213</v>
      </c>
      <c r="B217" s="16" t="s">
        <v>5276</v>
      </c>
      <c r="C217" s="7" t="s">
        <v>4126</v>
      </c>
      <c r="D217" s="7" t="s">
        <v>23</v>
      </c>
      <c r="E217" s="7" t="s">
        <v>3217</v>
      </c>
      <c r="F217" s="7" t="s">
        <v>4038</v>
      </c>
      <c r="G217" s="7" t="n">
        <v>4</v>
      </c>
      <c r="H217" s="7" t="s">
        <v>18</v>
      </c>
      <c r="I217" s="7"/>
      <c r="J217" s="7" t="s">
        <v>5475</v>
      </c>
      <c r="K217" s="7" t="s">
        <v>5501</v>
      </c>
    </row>
    <row r="218" customFormat="false" ht="34.5" hidden="false" customHeight="true" outlineLevel="0" collapsed="false">
      <c r="A218" s="7" t="n">
        <v>214</v>
      </c>
      <c r="B218" s="16" t="s">
        <v>5274</v>
      </c>
      <c r="C218" s="7" t="s">
        <v>4131</v>
      </c>
      <c r="D218" s="7" t="s">
        <v>27</v>
      </c>
      <c r="E218" s="7" t="s">
        <v>4129</v>
      </c>
      <c r="F218" s="7" t="s">
        <v>4130</v>
      </c>
      <c r="G218" s="7" t="n">
        <v>58</v>
      </c>
      <c r="H218" s="7" t="s">
        <v>18</v>
      </c>
      <c r="I218" s="7" t="s">
        <v>5272</v>
      </c>
      <c r="J218" s="7" t="s">
        <v>5502</v>
      </c>
      <c r="K218" s="7" t="s">
        <v>5503</v>
      </c>
    </row>
    <row r="219" customFormat="false" ht="42" hidden="false" customHeight="true" outlineLevel="0" collapsed="false">
      <c r="A219" s="7" t="n">
        <v>215</v>
      </c>
      <c r="B219" s="16" t="s">
        <v>5271</v>
      </c>
      <c r="C219" s="7" t="s">
        <v>4137</v>
      </c>
      <c r="D219" s="7" t="s">
        <v>22</v>
      </c>
      <c r="E219" s="7" t="s">
        <v>3996</v>
      </c>
      <c r="F219" s="7" t="s">
        <v>3997</v>
      </c>
      <c r="G219" s="7" t="n">
        <v>159</v>
      </c>
      <c r="H219" s="7" t="s">
        <v>20</v>
      </c>
      <c r="I219" s="7" t="s">
        <v>5272</v>
      </c>
      <c r="J219" s="7" t="s">
        <v>5462</v>
      </c>
      <c r="K219" s="7" t="s">
        <v>5504</v>
      </c>
    </row>
    <row r="220" customFormat="false" ht="54.75" hidden="false" customHeight="true" outlineLevel="0" collapsed="false">
      <c r="A220" s="7" t="n">
        <v>216</v>
      </c>
      <c r="B220" s="16" t="s">
        <v>5276</v>
      </c>
      <c r="C220" s="7" t="s">
        <v>4141</v>
      </c>
      <c r="D220" s="7" t="s">
        <v>19</v>
      </c>
      <c r="E220" s="7" t="s">
        <v>3217</v>
      </c>
      <c r="F220" s="7" t="s">
        <v>4139</v>
      </c>
      <c r="G220" s="7" t="n">
        <v>93</v>
      </c>
      <c r="H220" s="7" t="s">
        <v>20</v>
      </c>
      <c r="I220" s="7" t="s">
        <v>5272</v>
      </c>
      <c r="J220" s="7" t="s">
        <v>5505</v>
      </c>
      <c r="K220" s="7" t="s">
        <v>5506</v>
      </c>
    </row>
    <row r="221" customFormat="false" ht="42" hidden="false" customHeight="true" outlineLevel="0" collapsed="false">
      <c r="A221" s="7" t="n">
        <v>217</v>
      </c>
      <c r="B221" s="16" t="s">
        <v>5268</v>
      </c>
      <c r="C221" s="7" t="s">
        <v>4148</v>
      </c>
      <c r="D221" s="7" t="s">
        <v>15</v>
      </c>
      <c r="E221" s="7" t="s">
        <v>3217</v>
      </c>
      <c r="F221" s="7" t="s">
        <v>4143</v>
      </c>
      <c r="G221" s="7" t="n">
        <v>115</v>
      </c>
      <c r="H221" s="7" t="s">
        <v>20</v>
      </c>
      <c r="I221" s="7"/>
      <c r="J221" s="7" t="s">
        <v>5507</v>
      </c>
      <c r="K221" s="7" t="s">
        <v>5508</v>
      </c>
    </row>
    <row r="222" customFormat="false" ht="81" hidden="false" customHeight="true" outlineLevel="0" collapsed="false">
      <c r="A222" s="7" t="n">
        <v>218</v>
      </c>
      <c r="B222" s="16" t="s">
        <v>5268</v>
      </c>
      <c r="C222" s="7" t="s">
        <v>4153</v>
      </c>
      <c r="D222" s="7" t="s">
        <v>27</v>
      </c>
      <c r="E222" s="7" t="s">
        <v>3996</v>
      </c>
      <c r="F222" s="7" t="s">
        <v>4070</v>
      </c>
      <c r="G222" s="7" t="n">
        <v>62</v>
      </c>
      <c r="H222" s="7" t="s">
        <v>18</v>
      </c>
      <c r="I222" s="7"/>
      <c r="J222" s="7" t="s">
        <v>5484</v>
      </c>
      <c r="K222" s="7" t="s">
        <v>5509</v>
      </c>
    </row>
    <row r="223" customFormat="false" ht="42" hidden="false" customHeight="true" outlineLevel="0" collapsed="false">
      <c r="A223" s="7" t="n">
        <v>219</v>
      </c>
      <c r="B223" s="16" t="s">
        <v>5274</v>
      </c>
      <c r="C223" s="7" t="s">
        <v>4154</v>
      </c>
      <c r="D223" s="7" t="s">
        <v>31</v>
      </c>
      <c r="E223" s="7" t="s">
        <v>4003</v>
      </c>
      <c r="F223" s="7" t="s">
        <v>4010</v>
      </c>
      <c r="G223" s="7" t="n">
        <v>57</v>
      </c>
      <c r="H223" s="7" t="s">
        <v>18</v>
      </c>
      <c r="I223" s="7" t="s">
        <v>5471</v>
      </c>
      <c r="J223" s="7" t="s">
        <v>5466</v>
      </c>
      <c r="K223" s="7" t="s">
        <v>5510</v>
      </c>
    </row>
    <row r="224" customFormat="false" ht="34.5" hidden="false" customHeight="true" outlineLevel="0" collapsed="false">
      <c r="A224" s="7" t="n">
        <v>220</v>
      </c>
      <c r="B224" s="16" t="s">
        <v>5274</v>
      </c>
      <c r="C224" s="7" t="s">
        <v>4158</v>
      </c>
      <c r="D224" s="7" t="s">
        <v>31</v>
      </c>
      <c r="E224" s="7" t="s">
        <v>4003</v>
      </c>
      <c r="F224" s="7" t="s">
        <v>4010</v>
      </c>
      <c r="G224" s="7" t="n">
        <v>119</v>
      </c>
      <c r="H224" s="7" t="s">
        <v>18</v>
      </c>
      <c r="I224" s="7" t="s">
        <v>5471</v>
      </c>
      <c r="J224" s="7" t="s">
        <v>5466</v>
      </c>
      <c r="K224" s="7" t="s">
        <v>5511</v>
      </c>
    </row>
    <row r="225" customFormat="false" ht="42" hidden="false" customHeight="true" outlineLevel="0" collapsed="false">
      <c r="A225" s="7" t="n">
        <v>221</v>
      </c>
      <c r="B225" s="16" t="s">
        <v>5271</v>
      </c>
      <c r="C225" s="7" t="s">
        <v>4164</v>
      </c>
      <c r="D225" s="7" t="s">
        <v>21</v>
      </c>
      <c r="E225" s="7" t="s">
        <v>4058</v>
      </c>
      <c r="F225" s="7" t="s">
        <v>4059</v>
      </c>
      <c r="G225" s="7" t="n">
        <v>87</v>
      </c>
      <c r="H225" s="7" t="s">
        <v>18</v>
      </c>
      <c r="I225" s="7" t="s">
        <v>5272</v>
      </c>
      <c r="J225" s="7" t="s">
        <v>5481</v>
      </c>
      <c r="K225" s="7" t="s">
        <v>5512</v>
      </c>
    </row>
    <row r="226" customFormat="false" ht="34.5" hidden="false" customHeight="true" outlineLevel="0" collapsed="false">
      <c r="A226" s="7" t="n">
        <v>222</v>
      </c>
      <c r="B226" s="16" t="s">
        <v>5276</v>
      </c>
      <c r="C226" s="7" t="s">
        <v>4167</v>
      </c>
      <c r="D226" s="7" t="s">
        <v>21</v>
      </c>
      <c r="E226" s="7" t="s">
        <v>3217</v>
      </c>
      <c r="F226" s="7" t="s">
        <v>4108</v>
      </c>
      <c r="G226" s="7" t="n">
        <v>23</v>
      </c>
      <c r="H226" s="7" t="s">
        <v>18</v>
      </c>
      <c r="I226" s="7" t="s">
        <v>5471</v>
      </c>
      <c r="J226" s="7" t="s">
        <v>5496</v>
      </c>
      <c r="K226" s="7" t="s">
        <v>5513</v>
      </c>
    </row>
    <row r="227" customFormat="false" ht="42" hidden="false" customHeight="true" outlineLevel="0" collapsed="false">
      <c r="A227" s="7" t="n">
        <v>223</v>
      </c>
      <c r="B227" s="16" t="s">
        <v>5268</v>
      </c>
      <c r="C227" s="7" t="s">
        <v>4173</v>
      </c>
      <c r="D227" s="7" t="s">
        <v>17</v>
      </c>
      <c r="E227" s="7" t="s">
        <v>4044</v>
      </c>
      <c r="F227" s="7" t="s">
        <v>4045</v>
      </c>
      <c r="G227" s="7" t="n">
        <v>102</v>
      </c>
      <c r="H227" s="7" t="s">
        <v>20</v>
      </c>
      <c r="I227" s="7" t="s">
        <v>5272</v>
      </c>
      <c r="J227" s="7" t="s">
        <v>5477</v>
      </c>
      <c r="K227" s="7" t="s">
        <v>5514</v>
      </c>
    </row>
    <row r="228" customFormat="false" ht="34.5" hidden="false" customHeight="true" outlineLevel="0" collapsed="false">
      <c r="A228" s="7" t="n">
        <v>224</v>
      </c>
      <c r="B228" s="16" t="s">
        <v>5271</v>
      </c>
      <c r="C228" s="7" t="s">
        <v>4176</v>
      </c>
      <c r="D228" s="7" t="s">
        <v>23</v>
      </c>
      <c r="E228" s="7" t="s">
        <v>3217</v>
      </c>
      <c r="F228" s="7" t="s">
        <v>4038</v>
      </c>
      <c r="G228" s="7" t="n">
        <v>24</v>
      </c>
      <c r="H228" s="7" t="s">
        <v>18</v>
      </c>
      <c r="I228" s="7"/>
      <c r="J228" s="7" t="s">
        <v>5475</v>
      </c>
      <c r="K228" s="7" t="s">
        <v>5515</v>
      </c>
    </row>
    <row r="229" customFormat="false" ht="34.5" hidden="false" customHeight="true" outlineLevel="0" collapsed="false">
      <c r="A229" s="7" t="n">
        <v>225</v>
      </c>
      <c r="B229" s="16" t="s">
        <v>5274</v>
      </c>
      <c r="C229" s="7" t="s">
        <v>4178</v>
      </c>
      <c r="D229" s="7" t="s">
        <v>22</v>
      </c>
      <c r="E229" s="7" t="s">
        <v>3996</v>
      </c>
      <c r="F229" s="7" t="s">
        <v>3997</v>
      </c>
      <c r="G229" s="7" t="n">
        <v>125</v>
      </c>
      <c r="H229" s="7" t="s">
        <v>18</v>
      </c>
      <c r="I229" s="7"/>
      <c r="J229" s="7" t="s">
        <v>5462</v>
      </c>
      <c r="K229" s="7" t="s">
        <v>5516</v>
      </c>
    </row>
    <row r="230" customFormat="false" ht="34.5" hidden="false" customHeight="true" outlineLevel="0" collapsed="false">
      <c r="A230" s="7" t="n">
        <v>226</v>
      </c>
      <c r="B230" s="16" t="s">
        <v>5276</v>
      </c>
      <c r="C230" s="7" t="s">
        <v>4183</v>
      </c>
      <c r="D230" s="7" t="s">
        <v>21</v>
      </c>
      <c r="E230" s="7" t="s">
        <v>4058</v>
      </c>
      <c r="F230" s="7" t="s">
        <v>4059</v>
      </c>
      <c r="G230" s="7" t="n">
        <v>14</v>
      </c>
      <c r="H230" s="7" t="s">
        <v>18</v>
      </c>
      <c r="I230" s="7"/>
      <c r="J230" s="7" t="s">
        <v>5481</v>
      </c>
      <c r="K230" s="7" t="s">
        <v>5517</v>
      </c>
    </row>
    <row r="231" customFormat="false" ht="34.5" hidden="false" customHeight="true" outlineLevel="0" collapsed="false">
      <c r="A231" s="7" t="n">
        <v>227</v>
      </c>
      <c r="B231" s="16" t="s">
        <v>5268</v>
      </c>
      <c r="C231" s="7" t="s">
        <v>4189</v>
      </c>
      <c r="D231" s="7" t="s">
        <v>31</v>
      </c>
      <c r="E231" s="7" t="s">
        <v>4003</v>
      </c>
      <c r="F231" s="7" t="s">
        <v>4010</v>
      </c>
      <c r="G231" s="7" t="n">
        <v>71</v>
      </c>
      <c r="H231" s="7" t="s">
        <v>18</v>
      </c>
      <c r="I231" s="7"/>
      <c r="J231" s="7" t="s">
        <v>5466</v>
      </c>
      <c r="K231" s="7" t="s">
        <v>5518</v>
      </c>
    </row>
    <row r="232" customFormat="false" ht="54.75" hidden="false" customHeight="true" outlineLevel="0" collapsed="false">
      <c r="A232" s="7" t="n">
        <v>228</v>
      </c>
      <c r="B232" s="16" t="s">
        <v>5268</v>
      </c>
      <c r="C232" s="7" t="s">
        <v>4194</v>
      </c>
      <c r="D232" s="7" t="s">
        <v>15</v>
      </c>
      <c r="E232" s="7" t="s">
        <v>3217</v>
      </c>
      <c r="F232" s="7" t="s">
        <v>4143</v>
      </c>
      <c r="G232" s="7" t="n">
        <v>143</v>
      </c>
      <c r="H232" s="7" t="s">
        <v>20</v>
      </c>
      <c r="I232" s="7"/>
      <c r="J232" s="7" t="s">
        <v>5507</v>
      </c>
      <c r="K232" s="7" t="s">
        <v>5519</v>
      </c>
    </row>
    <row r="233" customFormat="false" ht="34.5" hidden="false" customHeight="true" outlineLevel="0" collapsed="false">
      <c r="A233" s="7" t="n">
        <v>229</v>
      </c>
      <c r="B233" s="16" t="s">
        <v>5271</v>
      </c>
      <c r="C233" s="7" t="s">
        <v>4198</v>
      </c>
      <c r="D233" s="7" t="s">
        <v>23</v>
      </c>
      <c r="E233" s="7" t="s">
        <v>3217</v>
      </c>
      <c r="F233" s="7" t="s">
        <v>4038</v>
      </c>
      <c r="G233" s="7" t="n">
        <v>58</v>
      </c>
      <c r="H233" s="7" t="s">
        <v>18</v>
      </c>
      <c r="I233" s="7"/>
      <c r="J233" s="7" t="s">
        <v>5475</v>
      </c>
      <c r="K233" s="7" t="s">
        <v>5520</v>
      </c>
    </row>
    <row r="234" customFormat="false" ht="34.5" hidden="false" customHeight="true" outlineLevel="0" collapsed="false">
      <c r="A234" s="7" t="n">
        <v>230</v>
      </c>
      <c r="B234" s="16" t="s">
        <v>5274</v>
      </c>
      <c r="C234" s="7" t="s">
        <v>4200</v>
      </c>
      <c r="D234" s="7" t="s">
        <v>31</v>
      </c>
      <c r="E234" s="7" t="s">
        <v>4003</v>
      </c>
      <c r="F234" s="7" t="s">
        <v>4010</v>
      </c>
      <c r="G234" s="7" t="n">
        <v>69</v>
      </c>
      <c r="H234" s="7" t="s">
        <v>18</v>
      </c>
      <c r="I234" s="7" t="s">
        <v>5471</v>
      </c>
      <c r="J234" s="7" t="s">
        <v>5466</v>
      </c>
      <c r="K234" s="7" t="s">
        <v>5521</v>
      </c>
    </row>
    <row r="235" customFormat="false" ht="42" hidden="false" customHeight="true" outlineLevel="0" collapsed="false">
      <c r="A235" s="7" t="n">
        <v>231</v>
      </c>
      <c r="B235" s="16" t="s">
        <v>5274</v>
      </c>
      <c r="C235" s="7" t="s">
        <v>4204</v>
      </c>
      <c r="D235" s="7" t="s">
        <v>27</v>
      </c>
      <c r="E235" s="7" t="s">
        <v>3996</v>
      </c>
      <c r="F235" s="7" t="s">
        <v>4070</v>
      </c>
      <c r="G235" s="7" t="n">
        <v>44</v>
      </c>
      <c r="H235" s="7" t="s">
        <v>18</v>
      </c>
      <c r="I235" s="7" t="s">
        <v>5272</v>
      </c>
      <c r="J235" s="7" t="s">
        <v>5484</v>
      </c>
      <c r="K235" s="7" t="s">
        <v>5522</v>
      </c>
    </row>
    <row r="236" customFormat="false" ht="34.5" hidden="false" customHeight="true" outlineLevel="0" collapsed="false">
      <c r="A236" s="7" t="n">
        <v>232</v>
      </c>
      <c r="B236" s="16" t="s">
        <v>5268</v>
      </c>
      <c r="C236" s="7" t="s">
        <v>4211</v>
      </c>
      <c r="D236" s="7" t="s">
        <v>17</v>
      </c>
      <c r="E236" s="7" t="s">
        <v>4058</v>
      </c>
      <c r="F236" s="7" t="s">
        <v>4084</v>
      </c>
      <c r="G236" s="7" t="n">
        <v>83</v>
      </c>
      <c r="H236" s="7" t="s">
        <v>18</v>
      </c>
      <c r="I236" s="7" t="s">
        <v>5272</v>
      </c>
      <c r="J236" s="7" t="s">
        <v>5488</v>
      </c>
      <c r="K236" s="7" t="s">
        <v>5523</v>
      </c>
    </row>
    <row r="237" customFormat="false" ht="34.5" hidden="false" customHeight="true" outlineLevel="0" collapsed="false">
      <c r="A237" s="7" t="n">
        <v>233</v>
      </c>
      <c r="B237" s="16" t="s">
        <v>5271</v>
      </c>
      <c r="C237" s="7" t="s">
        <v>4214</v>
      </c>
      <c r="D237" s="7" t="s">
        <v>22</v>
      </c>
      <c r="E237" s="7" t="s">
        <v>3996</v>
      </c>
      <c r="F237" s="7" t="s">
        <v>3997</v>
      </c>
      <c r="G237" s="7" t="n">
        <v>151</v>
      </c>
      <c r="H237" s="7" t="s">
        <v>20</v>
      </c>
      <c r="I237" s="7"/>
      <c r="J237" s="7" t="s">
        <v>5462</v>
      </c>
      <c r="K237" s="7" t="s">
        <v>5524</v>
      </c>
    </row>
    <row r="238" customFormat="false" ht="34.5" hidden="false" customHeight="true" outlineLevel="0" collapsed="false">
      <c r="A238" s="7" t="n">
        <v>234</v>
      </c>
      <c r="B238" s="16" t="s">
        <v>5271</v>
      </c>
      <c r="C238" s="7" t="s">
        <v>4218</v>
      </c>
      <c r="D238" s="7" t="s">
        <v>31</v>
      </c>
      <c r="E238" s="7" t="s">
        <v>4003</v>
      </c>
      <c r="F238" s="7" t="s">
        <v>4010</v>
      </c>
      <c r="G238" s="7" t="n">
        <v>43</v>
      </c>
      <c r="H238" s="7" t="s">
        <v>18</v>
      </c>
      <c r="I238" s="7" t="s">
        <v>5272</v>
      </c>
      <c r="J238" s="7" t="s">
        <v>5466</v>
      </c>
      <c r="K238" s="7" t="s">
        <v>5525</v>
      </c>
    </row>
    <row r="239" customFormat="false" ht="34.5" hidden="false" customHeight="true" outlineLevel="0" collapsed="false">
      <c r="A239" s="7" t="n">
        <v>235</v>
      </c>
      <c r="B239" s="16" t="s">
        <v>5271</v>
      </c>
      <c r="C239" s="7" t="s">
        <v>4222</v>
      </c>
      <c r="D239" s="7" t="s">
        <v>21</v>
      </c>
      <c r="E239" s="7" t="s">
        <v>3217</v>
      </c>
      <c r="F239" s="7" t="s">
        <v>4108</v>
      </c>
      <c r="G239" s="7" t="n">
        <v>102</v>
      </c>
      <c r="H239" s="7" t="s">
        <v>20</v>
      </c>
      <c r="I239" s="7"/>
      <c r="J239" s="7" t="s">
        <v>5496</v>
      </c>
      <c r="K239" s="7" t="s">
        <v>5526</v>
      </c>
    </row>
    <row r="240" customFormat="false" ht="34.5" hidden="false" customHeight="true" outlineLevel="0" collapsed="false">
      <c r="A240" s="7" t="n">
        <v>236</v>
      </c>
      <c r="B240" s="16" t="s">
        <v>5274</v>
      </c>
      <c r="C240" s="7" t="s">
        <v>4225</v>
      </c>
      <c r="D240" s="7" t="s">
        <v>25</v>
      </c>
      <c r="E240" s="7" t="s">
        <v>4003</v>
      </c>
      <c r="F240" s="7" t="s">
        <v>4224</v>
      </c>
      <c r="G240" s="7" t="n">
        <v>105</v>
      </c>
      <c r="H240" s="7" t="s">
        <v>20</v>
      </c>
      <c r="I240" s="7"/>
      <c r="J240" s="7" t="s">
        <v>5527</v>
      </c>
      <c r="K240" s="7" t="s">
        <v>5528</v>
      </c>
    </row>
    <row r="241" customFormat="false" ht="34.5" hidden="false" customHeight="true" outlineLevel="0" collapsed="false">
      <c r="A241" s="7" t="n">
        <v>237</v>
      </c>
      <c r="B241" s="16" t="s">
        <v>5271</v>
      </c>
      <c r="C241" s="7" t="s">
        <v>4231</v>
      </c>
      <c r="D241" s="7" t="s">
        <v>19</v>
      </c>
      <c r="E241" s="7" t="s">
        <v>4003</v>
      </c>
      <c r="F241" s="7" t="s">
        <v>4004</v>
      </c>
      <c r="G241" s="7" t="n">
        <v>159</v>
      </c>
      <c r="H241" s="7" t="s">
        <v>20</v>
      </c>
      <c r="I241" s="7"/>
      <c r="J241" s="7" t="s">
        <v>5464</v>
      </c>
      <c r="K241" s="7" t="s">
        <v>5529</v>
      </c>
    </row>
    <row r="242" customFormat="false" ht="54.75" hidden="false" customHeight="true" outlineLevel="0" collapsed="false">
      <c r="A242" s="7" t="n">
        <v>238</v>
      </c>
      <c r="B242" s="16" t="s">
        <v>5274</v>
      </c>
      <c r="C242" s="7" t="s">
        <v>4233</v>
      </c>
      <c r="D242" s="7" t="s">
        <v>21</v>
      </c>
      <c r="E242" s="7" t="s">
        <v>3217</v>
      </c>
      <c r="F242" s="7" t="s">
        <v>4108</v>
      </c>
      <c r="G242" s="7" t="n">
        <v>105</v>
      </c>
      <c r="H242" s="7" t="s">
        <v>20</v>
      </c>
      <c r="I242" s="7"/>
      <c r="J242" s="7" t="s">
        <v>5496</v>
      </c>
      <c r="K242" s="7" t="s">
        <v>5530</v>
      </c>
    </row>
    <row r="243" customFormat="false" ht="54.75" hidden="false" customHeight="true" outlineLevel="0" collapsed="false">
      <c r="A243" s="7" t="n">
        <v>239</v>
      </c>
      <c r="B243" s="16" t="s">
        <v>5271</v>
      </c>
      <c r="C243" s="7" t="s">
        <v>4239</v>
      </c>
      <c r="D243" s="7" t="s">
        <v>19</v>
      </c>
      <c r="E243" s="7" t="s">
        <v>3217</v>
      </c>
      <c r="F243" s="7" t="s">
        <v>4139</v>
      </c>
      <c r="G243" s="7" t="n">
        <v>27</v>
      </c>
      <c r="H243" s="7" t="s">
        <v>18</v>
      </c>
      <c r="I243" s="7" t="s">
        <v>5272</v>
      </c>
      <c r="J243" s="7" t="s">
        <v>5505</v>
      </c>
      <c r="K243" s="7" t="s">
        <v>5531</v>
      </c>
    </row>
    <row r="244" customFormat="false" ht="34.5" hidden="false" customHeight="true" outlineLevel="0" collapsed="false">
      <c r="A244" s="7" t="n">
        <v>240</v>
      </c>
      <c r="B244" s="16" t="s">
        <v>5271</v>
      </c>
      <c r="C244" s="7" t="s">
        <v>4243</v>
      </c>
      <c r="D244" s="7" t="s">
        <v>15</v>
      </c>
      <c r="E244" s="7" t="s">
        <v>3217</v>
      </c>
      <c r="F244" s="7" t="s">
        <v>4143</v>
      </c>
      <c r="G244" s="7" t="n">
        <v>133</v>
      </c>
      <c r="H244" s="7" t="s">
        <v>20</v>
      </c>
      <c r="I244" s="7"/>
      <c r="J244" s="7" t="s">
        <v>5507</v>
      </c>
      <c r="K244" s="7" t="s">
        <v>5532</v>
      </c>
    </row>
    <row r="245" customFormat="false" ht="34.5" hidden="false" customHeight="true" outlineLevel="0" collapsed="false">
      <c r="A245" s="7" t="n">
        <v>241</v>
      </c>
      <c r="B245" s="16" t="s">
        <v>5271</v>
      </c>
      <c r="C245" s="7" t="s">
        <v>4248</v>
      </c>
      <c r="D245" s="7" t="s">
        <v>19</v>
      </c>
      <c r="E245" s="7" t="s">
        <v>3217</v>
      </c>
      <c r="F245" s="7" t="s">
        <v>4139</v>
      </c>
      <c r="G245" s="7" t="n">
        <v>87</v>
      </c>
      <c r="H245" s="7" t="s">
        <v>18</v>
      </c>
      <c r="I245" s="7" t="s">
        <v>5272</v>
      </c>
      <c r="J245" s="7" t="s">
        <v>5505</v>
      </c>
      <c r="K245" s="7" t="s">
        <v>5533</v>
      </c>
    </row>
    <row r="246" customFormat="false" ht="42" hidden="false" customHeight="true" outlineLevel="0" collapsed="false">
      <c r="A246" s="7" t="n">
        <v>242</v>
      </c>
      <c r="B246" s="16" t="s">
        <v>5271</v>
      </c>
      <c r="C246" s="7" t="s">
        <v>4251</v>
      </c>
      <c r="D246" s="7" t="s">
        <v>19</v>
      </c>
      <c r="E246" s="7" t="s">
        <v>3217</v>
      </c>
      <c r="F246" s="7" t="s">
        <v>4139</v>
      </c>
      <c r="G246" s="7" t="n">
        <v>42</v>
      </c>
      <c r="H246" s="7" t="s">
        <v>18</v>
      </c>
      <c r="I246" s="7"/>
      <c r="J246" s="7" t="s">
        <v>5505</v>
      </c>
      <c r="K246" s="7" t="s">
        <v>5534</v>
      </c>
    </row>
    <row r="247" customFormat="false" ht="34.5" hidden="false" customHeight="true" outlineLevel="0" collapsed="false">
      <c r="A247" s="7" t="n">
        <v>243</v>
      </c>
      <c r="B247" s="16" t="s">
        <v>5276</v>
      </c>
      <c r="C247" s="7" t="s">
        <v>4253</v>
      </c>
      <c r="D247" s="7" t="s">
        <v>22</v>
      </c>
      <c r="E247" s="7" t="s">
        <v>3996</v>
      </c>
      <c r="F247" s="7" t="s">
        <v>3997</v>
      </c>
      <c r="G247" s="7" t="n">
        <v>147</v>
      </c>
      <c r="H247" s="7" t="s">
        <v>18</v>
      </c>
      <c r="I247" s="7"/>
      <c r="J247" s="7" t="s">
        <v>5462</v>
      </c>
      <c r="K247" s="7" t="s">
        <v>5535</v>
      </c>
    </row>
    <row r="248" customFormat="false" ht="54.75" hidden="false" customHeight="true" outlineLevel="0" collapsed="false">
      <c r="A248" s="7" t="n">
        <v>244</v>
      </c>
      <c r="B248" s="16" t="s">
        <v>5268</v>
      </c>
      <c r="C248" s="7" t="s">
        <v>4258</v>
      </c>
      <c r="D248" s="7" t="s">
        <v>17</v>
      </c>
      <c r="E248" s="7" t="s">
        <v>4044</v>
      </c>
      <c r="F248" s="7" t="s">
        <v>4045</v>
      </c>
      <c r="G248" s="7" t="n">
        <v>108</v>
      </c>
      <c r="H248" s="7" t="s">
        <v>20</v>
      </c>
      <c r="I248" s="7" t="s">
        <v>5272</v>
      </c>
      <c r="J248" s="7" t="s">
        <v>5477</v>
      </c>
      <c r="K248" s="7" t="s">
        <v>5536</v>
      </c>
    </row>
    <row r="249" customFormat="false" ht="34.5" hidden="false" customHeight="true" outlineLevel="0" collapsed="false">
      <c r="A249" s="7" t="n">
        <v>245</v>
      </c>
      <c r="B249" s="16" t="s">
        <v>5274</v>
      </c>
      <c r="C249" s="7" t="s">
        <v>4259</v>
      </c>
      <c r="D249" s="7" t="s">
        <v>23</v>
      </c>
      <c r="E249" s="7" t="s">
        <v>3217</v>
      </c>
      <c r="F249" s="7" t="s">
        <v>4038</v>
      </c>
      <c r="G249" s="7" t="n">
        <v>31</v>
      </c>
      <c r="H249" s="7" t="s">
        <v>18</v>
      </c>
      <c r="I249" s="7"/>
      <c r="J249" s="7" t="s">
        <v>5475</v>
      </c>
      <c r="K249" s="7" t="s">
        <v>5537</v>
      </c>
    </row>
    <row r="250" customFormat="false" ht="34.5" hidden="false" customHeight="true" outlineLevel="0" collapsed="false">
      <c r="A250" s="7" t="n">
        <v>246</v>
      </c>
      <c r="B250" s="16" t="s">
        <v>5268</v>
      </c>
      <c r="C250" s="7" t="s">
        <v>3516</v>
      </c>
      <c r="D250" s="7" t="s">
        <v>25</v>
      </c>
      <c r="E250" s="7" t="s">
        <v>4003</v>
      </c>
      <c r="F250" s="7" t="s">
        <v>4224</v>
      </c>
      <c r="G250" s="7" t="n">
        <v>109</v>
      </c>
      <c r="H250" s="7" t="s">
        <v>20</v>
      </c>
      <c r="I250" s="7"/>
      <c r="J250" s="7" t="s">
        <v>5527</v>
      </c>
      <c r="K250" s="7" t="s">
        <v>5538</v>
      </c>
    </row>
    <row r="251" customFormat="false" ht="34.5" hidden="false" customHeight="true" outlineLevel="0" collapsed="false">
      <c r="A251" s="7" t="n">
        <v>247</v>
      </c>
      <c r="B251" s="16" t="s">
        <v>5271</v>
      </c>
      <c r="C251" s="7" t="s">
        <v>4268</v>
      </c>
      <c r="D251" s="7" t="s">
        <v>22</v>
      </c>
      <c r="E251" s="7" t="s">
        <v>3996</v>
      </c>
      <c r="F251" s="7" t="s">
        <v>3997</v>
      </c>
      <c r="G251" s="7" t="n">
        <v>156</v>
      </c>
      <c r="H251" s="7" t="s">
        <v>20</v>
      </c>
      <c r="I251" s="7" t="s">
        <v>5272</v>
      </c>
      <c r="J251" s="7" t="s">
        <v>5462</v>
      </c>
      <c r="K251" s="7" t="s">
        <v>5539</v>
      </c>
    </row>
    <row r="252" customFormat="false" ht="42" hidden="false" customHeight="true" outlineLevel="0" collapsed="false">
      <c r="A252" s="7" t="n">
        <v>248</v>
      </c>
      <c r="B252" s="16" t="s">
        <v>5268</v>
      </c>
      <c r="C252" s="7" t="s">
        <v>4273</v>
      </c>
      <c r="D252" s="7" t="s">
        <v>22</v>
      </c>
      <c r="E252" s="7" t="s">
        <v>3996</v>
      </c>
      <c r="F252" s="7" t="s">
        <v>3997</v>
      </c>
      <c r="G252" s="7" t="n">
        <v>157</v>
      </c>
      <c r="H252" s="7" t="s">
        <v>20</v>
      </c>
      <c r="I252" s="7" t="s">
        <v>5272</v>
      </c>
      <c r="J252" s="7" t="s">
        <v>5462</v>
      </c>
      <c r="K252" s="7" t="s">
        <v>5540</v>
      </c>
    </row>
    <row r="253" customFormat="false" ht="34.5" hidden="false" customHeight="true" outlineLevel="0" collapsed="false">
      <c r="A253" s="7" t="n">
        <v>249</v>
      </c>
      <c r="B253" s="16" t="s">
        <v>5274</v>
      </c>
      <c r="C253" s="7" t="s">
        <v>4274</v>
      </c>
      <c r="D253" s="7" t="s">
        <v>17</v>
      </c>
      <c r="E253" s="7" t="s">
        <v>4044</v>
      </c>
      <c r="F253" s="7" t="s">
        <v>4045</v>
      </c>
      <c r="G253" s="7" t="n">
        <v>101</v>
      </c>
      <c r="H253" s="7" t="s">
        <v>20</v>
      </c>
      <c r="I253" s="7" t="s">
        <v>5272</v>
      </c>
      <c r="J253" s="7" t="s">
        <v>5477</v>
      </c>
      <c r="K253" s="7" t="s">
        <v>5541</v>
      </c>
    </row>
    <row r="254" customFormat="false" ht="42" hidden="false" customHeight="true" outlineLevel="0" collapsed="false">
      <c r="A254" s="7" t="n">
        <v>250</v>
      </c>
      <c r="B254" s="16" t="s">
        <v>5276</v>
      </c>
      <c r="C254" s="7" t="s">
        <v>4279</v>
      </c>
      <c r="D254" s="7" t="s">
        <v>17</v>
      </c>
      <c r="E254" s="7" t="s">
        <v>4044</v>
      </c>
      <c r="F254" s="7" t="s">
        <v>4045</v>
      </c>
      <c r="G254" s="7" t="n">
        <v>106</v>
      </c>
      <c r="H254" s="7" t="s">
        <v>20</v>
      </c>
      <c r="I254" s="7"/>
      <c r="J254" s="7" t="s">
        <v>5477</v>
      </c>
      <c r="K254" s="7" t="s">
        <v>5542</v>
      </c>
    </row>
    <row r="255" customFormat="false" ht="42" hidden="false" customHeight="true" outlineLevel="0" collapsed="false">
      <c r="A255" s="7" t="n">
        <v>251</v>
      </c>
      <c r="B255" s="16" t="s">
        <v>5274</v>
      </c>
      <c r="C255" s="7" t="s">
        <v>4282</v>
      </c>
      <c r="D255" s="7" t="s">
        <v>31</v>
      </c>
      <c r="E255" s="7" t="s">
        <v>4003</v>
      </c>
      <c r="F255" s="7" t="s">
        <v>4010</v>
      </c>
      <c r="G255" s="7" t="n">
        <v>142</v>
      </c>
      <c r="H255" s="7" t="s">
        <v>18</v>
      </c>
      <c r="I255" s="7"/>
      <c r="J255" s="7" t="s">
        <v>5466</v>
      </c>
      <c r="K255" s="7" t="s">
        <v>5543</v>
      </c>
    </row>
    <row r="256" customFormat="false" ht="67.5" hidden="false" customHeight="true" outlineLevel="0" collapsed="false">
      <c r="A256" s="7" t="n">
        <v>252</v>
      </c>
      <c r="B256" s="16" t="s">
        <v>5268</v>
      </c>
      <c r="C256" s="7" t="s">
        <v>4289</v>
      </c>
      <c r="D256" s="7" t="s">
        <v>17</v>
      </c>
      <c r="E256" s="7" t="s">
        <v>4058</v>
      </c>
      <c r="F256" s="7" t="s">
        <v>4084</v>
      </c>
      <c r="G256" s="7" t="n">
        <v>53</v>
      </c>
      <c r="H256" s="7" t="s">
        <v>18</v>
      </c>
      <c r="I256" s="7" t="s">
        <v>5272</v>
      </c>
      <c r="J256" s="7" t="s">
        <v>5488</v>
      </c>
      <c r="K256" s="7" t="s">
        <v>5544</v>
      </c>
    </row>
    <row r="257" customFormat="false" ht="34.5" hidden="false" customHeight="true" outlineLevel="0" collapsed="false">
      <c r="A257" s="7" t="n">
        <v>253</v>
      </c>
      <c r="B257" s="16" t="s">
        <v>5274</v>
      </c>
      <c r="C257" s="7" t="s">
        <v>4290</v>
      </c>
      <c r="D257" s="7" t="s">
        <v>25</v>
      </c>
      <c r="E257" s="7" t="s">
        <v>4003</v>
      </c>
      <c r="F257" s="7" t="s">
        <v>4224</v>
      </c>
      <c r="G257" s="7" t="n">
        <v>102</v>
      </c>
      <c r="H257" s="7" t="s">
        <v>20</v>
      </c>
      <c r="I257" s="7" t="s">
        <v>5272</v>
      </c>
      <c r="J257" s="7" t="s">
        <v>5527</v>
      </c>
      <c r="K257" s="7" t="s">
        <v>5545</v>
      </c>
    </row>
    <row r="258" customFormat="false" ht="34.5" hidden="false" customHeight="true" outlineLevel="0" collapsed="false">
      <c r="A258" s="7" t="n">
        <v>254</v>
      </c>
      <c r="B258" s="16" t="s">
        <v>5271</v>
      </c>
      <c r="C258" s="7" t="s">
        <v>4296</v>
      </c>
      <c r="D258" s="7" t="s">
        <v>25</v>
      </c>
      <c r="E258" s="7" t="s">
        <v>4003</v>
      </c>
      <c r="F258" s="7" t="s">
        <v>4224</v>
      </c>
      <c r="G258" s="7" t="n">
        <v>104</v>
      </c>
      <c r="H258" s="7" t="s">
        <v>20</v>
      </c>
      <c r="I258" s="7"/>
      <c r="J258" s="7" t="s">
        <v>5527</v>
      </c>
      <c r="K258" s="7" t="s">
        <v>5546</v>
      </c>
    </row>
    <row r="259" customFormat="false" ht="42" hidden="false" customHeight="true" outlineLevel="0" collapsed="false">
      <c r="A259" s="7" t="n">
        <v>255</v>
      </c>
      <c r="B259" s="16" t="s">
        <v>5274</v>
      </c>
      <c r="C259" s="7" t="s">
        <v>4298</v>
      </c>
      <c r="D259" s="7" t="s">
        <v>31</v>
      </c>
      <c r="E259" s="7" t="s">
        <v>4003</v>
      </c>
      <c r="F259" s="7" t="s">
        <v>4010</v>
      </c>
      <c r="G259" s="7" t="n">
        <v>11</v>
      </c>
      <c r="H259" s="7" t="s">
        <v>18</v>
      </c>
      <c r="I259" s="7" t="s">
        <v>5272</v>
      </c>
      <c r="J259" s="7" t="s">
        <v>5466</v>
      </c>
      <c r="K259" s="7" t="s">
        <v>5547</v>
      </c>
    </row>
    <row r="260" customFormat="false" ht="42" hidden="false" customHeight="true" outlineLevel="0" collapsed="false">
      <c r="A260" s="7" t="n">
        <v>256</v>
      </c>
      <c r="B260" s="16" t="s">
        <v>5271</v>
      </c>
      <c r="C260" s="7" t="s">
        <v>4305</v>
      </c>
      <c r="D260" s="7" t="s">
        <v>15</v>
      </c>
      <c r="E260" s="7" t="s">
        <v>3996</v>
      </c>
      <c r="F260" s="7" t="s">
        <v>4030</v>
      </c>
      <c r="G260" s="7" t="n">
        <v>40</v>
      </c>
      <c r="H260" s="7" t="s">
        <v>20</v>
      </c>
      <c r="I260" s="7"/>
      <c r="J260" s="7" t="s">
        <v>5473</v>
      </c>
      <c r="K260" s="7" t="s">
        <v>5548</v>
      </c>
    </row>
    <row r="261" customFormat="false" ht="34.5" hidden="false" customHeight="true" outlineLevel="0" collapsed="false">
      <c r="A261" s="7" t="n">
        <v>257</v>
      </c>
      <c r="B261" s="16" t="s">
        <v>5268</v>
      </c>
      <c r="C261" s="7" t="s">
        <v>4310</v>
      </c>
      <c r="D261" s="7" t="s">
        <v>22</v>
      </c>
      <c r="E261" s="7" t="s">
        <v>3996</v>
      </c>
      <c r="F261" s="7" t="s">
        <v>3997</v>
      </c>
      <c r="G261" s="7" t="n">
        <v>155</v>
      </c>
      <c r="H261" s="7" t="s">
        <v>20</v>
      </c>
      <c r="I261" s="7"/>
      <c r="J261" s="7" t="s">
        <v>5462</v>
      </c>
      <c r="K261" s="7" t="s">
        <v>5549</v>
      </c>
    </row>
    <row r="262" customFormat="false" ht="42" hidden="false" customHeight="true" outlineLevel="0" collapsed="false">
      <c r="A262" s="7" t="n">
        <v>258</v>
      </c>
      <c r="B262" s="16" t="s">
        <v>5274</v>
      </c>
      <c r="C262" s="7" t="s">
        <v>4312</v>
      </c>
      <c r="D262" s="7" t="s">
        <v>15</v>
      </c>
      <c r="E262" s="7" t="s">
        <v>3217</v>
      </c>
      <c r="F262" s="7" t="s">
        <v>4143</v>
      </c>
      <c r="G262" s="7" t="n">
        <v>101</v>
      </c>
      <c r="H262" s="7" t="s">
        <v>20</v>
      </c>
      <c r="I262" s="7" t="s">
        <v>5272</v>
      </c>
      <c r="J262" s="7" t="s">
        <v>5507</v>
      </c>
      <c r="K262" s="7" t="s">
        <v>5550</v>
      </c>
    </row>
    <row r="263" customFormat="false" ht="67.5" hidden="false" customHeight="true" outlineLevel="0" collapsed="false">
      <c r="A263" s="7" t="n">
        <v>259</v>
      </c>
      <c r="B263" s="16" t="s">
        <v>5276</v>
      </c>
      <c r="C263" s="7" t="s">
        <v>4318</v>
      </c>
      <c r="D263" s="7" t="s">
        <v>19</v>
      </c>
      <c r="E263" s="7" t="s">
        <v>3217</v>
      </c>
      <c r="F263" s="7" t="s">
        <v>4139</v>
      </c>
      <c r="G263" s="7" t="n">
        <v>94</v>
      </c>
      <c r="H263" s="7" t="s">
        <v>20</v>
      </c>
      <c r="I263" s="7" t="s">
        <v>5272</v>
      </c>
      <c r="J263" s="7" t="s">
        <v>5505</v>
      </c>
      <c r="K263" s="7" t="s">
        <v>5551</v>
      </c>
    </row>
    <row r="264" customFormat="false" ht="42" hidden="false" customHeight="true" outlineLevel="0" collapsed="false">
      <c r="A264" s="7" t="n">
        <v>260</v>
      </c>
      <c r="B264" s="16" t="s">
        <v>5276</v>
      </c>
      <c r="C264" s="7" t="s">
        <v>4322</v>
      </c>
      <c r="D264" s="7" t="s">
        <v>25</v>
      </c>
      <c r="E264" s="7" t="s">
        <v>3217</v>
      </c>
      <c r="F264" s="7" t="s">
        <v>4320</v>
      </c>
      <c r="G264" s="7" t="n">
        <v>106</v>
      </c>
      <c r="H264" s="7" t="s">
        <v>20</v>
      </c>
      <c r="I264" s="7" t="s">
        <v>5272</v>
      </c>
      <c r="J264" s="7" t="s">
        <v>5552</v>
      </c>
      <c r="K264" s="7" t="s">
        <v>5553</v>
      </c>
    </row>
    <row r="265" customFormat="false" ht="34.5" hidden="false" customHeight="true" outlineLevel="0" collapsed="false">
      <c r="A265" s="7" t="n">
        <v>261</v>
      </c>
      <c r="B265" s="16" t="s">
        <v>5271</v>
      </c>
      <c r="C265" s="7" t="s">
        <v>4327</v>
      </c>
      <c r="D265" s="7" t="s">
        <v>15</v>
      </c>
      <c r="E265" s="7" t="s">
        <v>3996</v>
      </c>
      <c r="F265" s="7" t="s">
        <v>4030</v>
      </c>
      <c r="G265" s="7" t="n">
        <v>50</v>
      </c>
      <c r="H265" s="7" t="s">
        <v>20</v>
      </c>
      <c r="I265" s="7" t="s">
        <v>5272</v>
      </c>
      <c r="J265" s="7" t="s">
        <v>5473</v>
      </c>
      <c r="K265" s="7" t="s">
        <v>5554</v>
      </c>
    </row>
    <row r="266" customFormat="false" ht="42" hidden="false" customHeight="true" outlineLevel="0" collapsed="false">
      <c r="A266" s="7" t="n">
        <v>262</v>
      </c>
      <c r="B266" s="16" t="s">
        <v>5268</v>
      </c>
      <c r="C266" s="7" t="s">
        <v>4332</v>
      </c>
      <c r="D266" s="7" t="s">
        <v>25</v>
      </c>
      <c r="E266" s="7" t="s">
        <v>3217</v>
      </c>
      <c r="F266" s="7" t="s">
        <v>4320</v>
      </c>
      <c r="G266" s="7" t="n">
        <v>108</v>
      </c>
      <c r="H266" s="7" t="s">
        <v>20</v>
      </c>
      <c r="I266" s="7" t="s">
        <v>5272</v>
      </c>
      <c r="J266" s="7" t="s">
        <v>5552</v>
      </c>
      <c r="K266" s="7" t="s">
        <v>5555</v>
      </c>
    </row>
    <row r="267" customFormat="false" ht="34.5" hidden="false" customHeight="true" outlineLevel="0" collapsed="false">
      <c r="A267" s="7" t="n">
        <v>263</v>
      </c>
      <c r="B267" s="16" t="s">
        <v>5268</v>
      </c>
      <c r="C267" s="7" t="s">
        <v>4336</v>
      </c>
      <c r="D267" s="7" t="s">
        <v>27</v>
      </c>
      <c r="E267" s="7" t="s">
        <v>4129</v>
      </c>
      <c r="F267" s="7" t="s">
        <v>4130</v>
      </c>
      <c r="G267" s="7" t="n">
        <v>62</v>
      </c>
      <c r="H267" s="7" t="s">
        <v>18</v>
      </c>
      <c r="I267" s="7"/>
      <c r="J267" s="7" t="s">
        <v>5502</v>
      </c>
      <c r="K267" s="7" t="s">
        <v>5556</v>
      </c>
    </row>
    <row r="268" customFormat="false" ht="34.5" hidden="false" customHeight="true" outlineLevel="0" collapsed="false">
      <c r="A268" s="7" t="n">
        <v>264</v>
      </c>
      <c r="B268" s="16" t="s">
        <v>5276</v>
      </c>
      <c r="C268" s="7" t="s">
        <v>4338</v>
      </c>
      <c r="D268" s="7" t="s">
        <v>25</v>
      </c>
      <c r="E268" s="7" t="s">
        <v>3217</v>
      </c>
      <c r="F268" s="7" t="s">
        <v>4320</v>
      </c>
      <c r="G268" s="7" t="n">
        <v>101</v>
      </c>
      <c r="H268" s="7" t="s">
        <v>20</v>
      </c>
      <c r="I268" s="7" t="s">
        <v>5272</v>
      </c>
      <c r="J268" s="7" t="s">
        <v>5552</v>
      </c>
      <c r="K268" s="7" t="s">
        <v>5557</v>
      </c>
    </row>
    <row r="269" customFormat="false" ht="34.5" hidden="false" customHeight="true" outlineLevel="0" collapsed="false">
      <c r="A269" s="7" t="n">
        <v>265</v>
      </c>
      <c r="B269" s="16" t="s">
        <v>5271</v>
      </c>
      <c r="C269" s="7" t="s">
        <v>3881</v>
      </c>
      <c r="D269" s="7" t="s">
        <v>25</v>
      </c>
      <c r="E269" s="7" t="s">
        <v>3217</v>
      </c>
      <c r="F269" s="7" t="s">
        <v>4320</v>
      </c>
      <c r="G269" s="7" t="n">
        <v>105</v>
      </c>
      <c r="H269" s="7" t="s">
        <v>20</v>
      </c>
      <c r="I269" s="7" t="s">
        <v>5471</v>
      </c>
      <c r="J269" s="7" t="s">
        <v>5552</v>
      </c>
      <c r="K269" s="7" t="s">
        <v>5558</v>
      </c>
    </row>
    <row r="270" customFormat="false" ht="34.5" hidden="false" customHeight="true" outlineLevel="0" collapsed="false">
      <c r="A270" s="7" t="n">
        <v>266</v>
      </c>
      <c r="B270" s="16" t="s">
        <v>5271</v>
      </c>
      <c r="C270" s="7" t="s">
        <v>4346</v>
      </c>
      <c r="D270" s="7" t="s">
        <v>17</v>
      </c>
      <c r="E270" s="7" t="s">
        <v>4058</v>
      </c>
      <c r="F270" s="7" t="s">
        <v>4084</v>
      </c>
      <c r="G270" s="7" t="n">
        <v>106</v>
      </c>
      <c r="H270" s="7" t="s">
        <v>20</v>
      </c>
      <c r="I270" s="7" t="s">
        <v>5272</v>
      </c>
      <c r="J270" s="7" t="s">
        <v>5488</v>
      </c>
      <c r="K270" s="7" t="s">
        <v>5559</v>
      </c>
    </row>
    <row r="271" customFormat="false" ht="42" hidden="false" customHeight="true" outlineLevel="0" collapsed="false">
      <c r="A271" s="7" t="n">
        <v>267</v>
      </c>
      <c r="B271" s="16" t="s">
        <v>5276</v>
      </c>
      <c r="C271" s="7" t="s">
        <v>4349</v>
      </c>
      <c r="D271" s="7" t="s">
        <v>27</v>
      </c>
      <c r="E271" s="7" t="s">
        <v>3996</v>
      </c>
      <c r="F271" s="7" t="s">
        <v>4070</v>
      </c>
      <c r="G271" s="7" t="n">
        <v>77</v>
      </c>
      <c r="H271" s="7" t="s">
        <v>18</v>
      </c>
      <c r="I271" s="7" t="s">
        <v>5272</v>
      </c>
      <c r="J271" s="7" t="s">
        <v>5484</v>
      </c>
      <c r="K271" s="7" t="s">
        <v>5560</v>
      </c>
    </row>
    <row r="272" customFormat="false" ht="34.5" hidden="false" customHeight="true" outlineLevel="0" collapsed="false">
      <c r="A272" s="7" t="n">
        <v>268</v>
      </c>
      <c r="B272" s="16" t="s">
        <v>5271</v>
      </c>
      <c r="C272" s="7" t="s">
        <v>4354</v>
      </c>
      <c r="D272" s="7" t="s">
        <v>21</v>
      </c>
      <c r="E272" s="7" t="s">
        <v>4058</v>
      </c>
      <c r="F272" s="7" t="s">
        <v>4059</v>
      </c>
      <c r="G272" s="7" t="n">
        <v>51</v>
      </c>
      <c r="H272" s="7" t="s">
        <v>18</v>
      </c>
      <c r="I272" s="7"/>
      <c r="J272" s="7" t="s">
        <v>5481</v>
      </c>
      <c r="K272" s="7" t="s">
        <v>5561</v>
      </c>
    </row>
    <row r="273" customFormat="false" ht="42" hidden="false" customHeight="true" outlineLevel="0" collapsed="false">
      <c r="A273" s="7" t="n">
        <v>269</v>
      </c>
      <c r="B273" s="16" t="s">
        <v>5274</v>
      </c>
      <c r="C273" s="7" t="s">
        <v>4356</v>
      </c>
      <c r="D273" s="7" t="s">
        <v>17</v>
      </c>
      <c r="E273" s="7" t="s">
        <v>4044</v>
      </c>
      <c r="F273" s="7" t="s">
        <v>4045</v>
      </c>
      <c r="G273" s="7" t="n">
        <v>83</v>
      </c>
      <c r="H273" s="7" t="s">
        <v>18</v>
      </c>
      <c r="I273" s="7"/>
      <c r="J273" s="7" t="s">
        <v>5477</v>
      </c>
      <c r="K273" s="7" t="s">
        <v>5562</v>
      </c>
    </row>
    <row r="274" customFormat="false" ht="42" hidden="false" customHeight="true" outlineLevel="0" collapsed="false">
      <c r="A274" s="7" t="n">
        <v>270</v>
      </c>
      <c r="B274" s="16" t="s">
        <v>5268</v>
      </c>
      <c r="C274" s="7" t="s">
        <v>4363</v>
      </c>
      <c r="D274" s="7" t="s">
        <v>23</v>
      </c>
      <c r="E274" s="7" t="s">
        <v>3217</v>
      </c>
      <c r="F274" s="7" t="s">
        <v>4038</v>
      </c>
      <c r="G274" s="7" t="n">
        <v>78</v>
      </c>
      <c r="H274" s="7" t="s">
        <v>18</v>
      </c>
      <c r="I274" s="7"/>
      <c r="J274" s="7" t="s">
        <v>5475</v>
      </c>
      <c r="K274" s="7" t="s">
        <v>5563</v>
      </c>
    </row>
    <row r="275" customFormat="false" ht="34.5" hidden="false" customHeight="true" outlineLevel="0" collapsed="false">
      <c r="A275" s="7" t="n">
        <v>271</v>
      </c>
      <c r="B275" s="16" t="s">
        <v>5271</v>
      </c>
      <c r="C275" s="7" t="s">
        <v>4367</v>
      </c>
      <c r="D275" s="7" t="s">
        <v>15</v>
      </c>
      <c r="E275" s="7" t="s">
        <v>3217</v>
      </c>
      <c r="F275" s="7" t="s">
        <v>4143</v>
      </c>
      <c r="G275" s="7" t="n">
        <v>132</v>
      </c>
      <c r="H275" s="7" t="s">
        <v>20</v>
      </c>
      <c r="I275" s="7"/>
      <c r="J275" s="7" t="s">
        <v>5507</v>
      </c>
      <c r="K275" s="7" t="s">
        <v>5564</v>
      </c>
    </row>
    <row r="276" customFormat="false" ht="34.5" hidden="false" customHeight="true" outlineLevel="0" collapsed="false">
      <c r="A276" s="7" t="n">
        <v>272</v>
      </c>
      <c r="B276" s="16" t="s">
        <v>5268</v>
      </c>
      <c r="C276" s="7" t="s">
        <v>4373</v>
      </c>
      <c r="D276" s="7" t="s">
        <v>25</v>
      </c>
      <c r="E276" s="7" t="s">
        <v>3217</v>
      </c>
      <c r="F276" s="7" t="s">
        <v>4320</v>
      </c>
      <c r="G276" s="7" t="n">
        <v>103</v>
      </c>
      <c r="H276" s="7" t="s">
        <v>20</v>
      </c>
      <c r="I276" s="7" t="s">
        <v>5272</v>
      </c>
      <c r="J276" s="7" t="s">
        <v>5552</v>
      </c>
      <c r="K276" s="7" t="s">
        <v>5565</v>
      </c>
    </row>
    <row r="277" customFormat="false" ht="42" hidden="false" customHeight="true" outlineLevel="0" collapsed="false">
      <c r="A277" s="7" t="n">
        <v>273</v>
      </c>
      <c r="B277" s="16" t="s">
        <v>5276</v>
      </c>
      <c r="C277" s="7" t="s">
        <v>4375</v>
      </c>
      <c r="D277" s="7" t="s">
        <v>15</v>
      </c>
      <c r="E277" s="7" t="s">
        <v>3217</v>
      </c>
      <c r="F277" s="7" t="s">
        <v>4143</v>
      </c>
      <c r="G277" s="7" t="n">
        <v>10</v>
      </c>
      <c r="H277" s="7" t="s">
        <v>20</v>
      </c>
      <c r="I277" s="7"/>
      <c r="J277" s="7" t="s">
        <v>5507</v>
      </c>
      <c r="K277" s="7" t="s">
        <v>5566</v>
      </c>
    </row>
    <row r="278" customFormat="false" ht="54.75" hidden="false" customHeight="true" outlineLevel="0" collapsed="false">
      <c r="A278" s="7" t="n">
        <v>274</v>
      </c>
      <c r="B278" s="16" t="s">
        <v>5268</v>
      </c>
      <c r="C278" s="7" t="s">
        <v>4381</v>
      </c>
      <c r="D278" s="7" t="s">
        <v>25</v>
      </c>
      <c r="E278" s="7" t="s">
        <v>3217</v>
      </c>
      <c r="F278" s="7" t="s">
        <v>4320</v>
      </c>
      <c r="G278" s="7" t="n">
        <v>110</v>
      </c>
      <c r="H278" s="7" t="s">
        <v>20</v>
      </c>
      <c r="I278" s="7" t="s">
        <v>5272</v>
      </c>
      <c r="J278" s="7" t="s">
        <v>5552</v>
      </c>
      <c r="K278" s="7" t="s">
        <v>5567</v>
      </c>
    </row>
    <row r="279" customFormat="false" ht="34.5" hidden="false" customHeight="true" outlineLevel="0" collapsed="false">
      <c r="A279" s="7" t="n">
        <v>275</v>
      </c>
      <c r="B279" s="16" t="s">
        <v>5274</v>
      </c>
      <c r="C279" s="7" t="s">
        <v>4382</v>
      </c>
      <c r="D279" s="7" t="s">
        <v>15</v>
      </c>
      <c r="E279" s="7" t="s">
        <v>3996</v>
      </c>
      <c r="F279" s="7" t="s">
        <v>4030</v>
      </c>
      <c r="G279" s="7" t="n">
        <v>73</v>
      </c>
      <c r="H279" s="7" t="s">
        <v>20</v>
      </c>
      <c r="I279" s="7"/>
      <c r="J279" s="7" t="s">
        <v>5473</v>
      </c>
      <c r="K279" s="7" t="s">
        <v>5568</v>
      </c>
    </row>
    <row r="280" customFormat="false" ht="42" hidden="false" customHeight="true" outlineLevel="0" collapsed="false">
      <c r="A280" s="7" t="n">
        <v>276</v>
      </c>
      <c r="B280" s="16" t="s">
        <v>5271</v>
      </c>
      <c r="C280" s="7" t="s">
        <v>4388</v>
      </c>
      <c r="D280" s="7" t="s">
        <v>27</v>
      </c>
      <c r="E280" s="7" t="s">
        <v>3996</v>
      </c>
      <c r="F280" s="7" t="s">
        <v>4070</v>
      </c>
      <c r="G280" s="7" t="n">
        <v>106</v>
      </c>
      <c r="H280" s="7" t="s">
        <v>20</v>
      </c>
      <c r="I280" s="7" t="s">
        <v>5272</v>
      </c>
      <c r="J280" s="7" t="s">
        <v>5484</v>
      </c>
      <c r="K280" s="7" t="s">
        <v>5569</v>
      </c>
    </row>
    <row r="281" customFormat="false" ht="34.5" hidden="false" customHeight="true" outlineLevel="0" collapsed="false">
      <c r="A281" s="7" t="n">
        <v>277</v>
      </c>
      <c r="B281" s="16" t="s">
        <v>5276</v>
      </c>
      <c r="C281" s="7" t="s">
        <v>4391</v>
      </c>
      <c r="D281" s="7" t="s">
        <v>21</v>
      </c>
      <c r="E281" s="7" t="s">
        <v>3217</v>
      </c>
      <c r="F281" s="7" t="s">
        <v>4108</v>
      </c>
      <c r="G281" s="7" t="n">
        <v>24</v>
      </c>
      <c r="H281" s="7" t="s">
        <v>18</v>
      </c>
      <c r="I281" s="7" t="s">
        <v>5272</v>
      </c>
      <c r="J281" s="7" t="s">
        <v>5496</v>
      </c>
      <c r="K281" s="7" t="s">
        <v>5570</v>
      </c>
    </row>
    <row r="282" customFormat="false" ht="34.5" hidden="false" customHeight="true" outlineLevel="0" collapsed="false">
      <c r="A282" s="7" t="n">
        <v>278</v>
      </c>
      <c r="B282" s="16" t="s">
        <v>5276</v>
      </c>
      <c r="C282" s="7" t="s">
        <v>4395</v>
      </c>
      <c r="D282" s="7" t="s">
        <v>23</v>
      </c>
      <c r="E282" s="7" t="s">
        <v>3217</v>
      </c>
      <c r="F282" s="7" t="s">
        <v>4038</v>
      </c>
      <c r="G282" s="7" t="n">
        <v>29</v>
      </c>
      <c r="H282" s="7" t="s">
        <v>18</v>
      </c>
      <c r="I282" s="7"/>
      <c r="J282" s="7" t="s">
        <v>5475</v>
      </c>
      <c r="K282" s="7" t="s">
        <v>5571</v>
      </c>
    </row>
    <row r="283" customFormat="false" ht="42" hidden="false" customHeight="true" outlineLevel="0" collapsed="false">
      <c r="A283" s="7" t="n">
        <v>279</v>
      </c>
      <c r="B283" s="16" t="s">
        <v>5268</v>
      </c>
      <c r="C283" s="7" t="s">
        <v>4401</v>
      </c>
      <c r="D283" s="7" t="s">
        <v>27</v>
      </c>
      <c r="E283" s="7" t="s">
        <v>3996</v>
      </c>
      <c r="F283" s="7" t="s">
        <v>4070</v>
      </c>
      <c r="G283" s="7" t="n">
        <v>74</v>
      </c>
      <c r="H283" s="7" t="s">
        <v>18</v>
      </c>
      <c r="I283" s="7" t="s">
        <v>5272</v>
      </c>
      <c r="J283" s="7" t="s">
        <v>5484</v>
      </c>
      <c r="K283" s="7" t="s">
        <v>5572</v>
      </c>
    </row>
    <row r="284" customFormat="false" ht="34.5" hidden="false" customHeight="true" outlineLevel="0" collapsed="false">
      <c r="A284" s="7" t="n">
        <v>280</v>
      </c>
      <c r="B284" s="16" t="s">
        <v>5274</v>
      </c>
      <c r="C284" s="7" t="s">
        <v>4402</v>
      </c>
      <c r="D284" s="7" t="s">
        <v>21</v>
      </c>
      <c r="E284" s="7" t="s">
        <v>4058</v>
      </c>
      <c r="F284" s="7" t="s">
        <v>4059</v>
      </c>
      <c r="G284" s="7" t="n">
        <v>104</v>
      </c>
      <c r="H284" s="7" t="s">
        <v>20</v>
      </c>
      <c r="I284" s="7"/>
      <c r="J284" s="7" t="s">
        <v>5481</v>
      </c>
      <c r="K284" s="7" t="s">
        <v>5573</v>
      </c>
    </row>
    <row r="285" customFormat="false" ht="42" hidden="false" customHeight="true" outlineLevel="0" collapsed="false">
      <c r="A285" s="7" t="n">
        <v>281</v>
      </c>
      <c r="B285" s="16" t="s">
        <v>5268</v>
      </c>
      <c r="C285" s="7" t="s">
        <v>4409</v>
      </c>
      <c r="D285" s="7" t="s">
        <v>31</v>
      </c>
      <c r="E285" s="7" t="s">
        <v>4003</v>
      </c>
      <c r="F285" s="7" t="s">
        <v>4010</v>
      </c>
      <c r="G285" s="7" t="n">
        <v>87</v>
      </c>
      <c r="H285" s="7" t="s">
        <v>18</v>
      </c>
      <c r="I285" s="7" t="s">
        <v>5272</v>
      </c>
      <c r="J285" s="7" t="s">
        <v>5466</v>
      </c>
      <c r="K285" s="7" t="s">
        <v>5574</v>
      </c>
    </row>
    <row r="286" customFormat="false" ht="34.5" hidden="false" customHeight="true" outlineLevel="0" collapsed="false">
      <c r="A286" s="7" t="n">
        <v>282</v>
      </c>
      <c r="B286" s="16" t="s">
        <v>5268</v>
      </c>
      <c r="C286" s="7" t="s">
        <v>4413</v>
      </c>
      <c r="D286" s="7" t="s">
        <v>27</v>
      </c>
      <c r="E286" s="7" t="s">
        <v>3996</v>
      </c>
      <c r="F286" s="7" t="s">
        <v>4070</v>
      </c>
      <c r="G286" s="7" t="n">
        <v>107</v>
      </c>
      <c r="H286" s="7" t="s">
        <v>20</v>
      </c>
      <c r="I286" s="7"/>
      <c r="J286" s="7" t="s">
        <v>5484</v>
      </c>
      <c r="K286" s="7" t="s">
        <v>5575</v>
      </c>
    </row>
    <row r="287" customFormat="false" ht="42" hidden="false" customHeight="true" outlineLevel="0" collapsed="false">
      <c r="A287" s="7" t="n">
        <v>283</v>
      </c>
      <c r="B287" s="16" t="s">
        <v>5271</v>
      </c>
      <c r="C287" s="7" t="s">
        <v>4416</v>
      </c>
      <c r="D287" s="7" t="s">
        <v>29</v>
      </c>
      <c r="E287" s="7" t="s">
        <v>3217</v>
      </c>
      <c r="F287" s="7" t="s">
        <v>3898</v>
      </c>
      <c r="G287" s="7" t="n">
        <v>79</v>
      </c>
      <c r="H287" s="7" t="s">
        <v>20</v>
      </c>
      <c r="I287" s="7" t="s">
        <v>5272</v>
      </c>
      <c r="J287" s="7" t="s">
        <v>5440</v>
      </c>
      <c r="K287" s="7" t="s">
        <v>5576</v>
      </c>
    </row>
    <row r="288" customFormat="false" ht="54.75" hidden="false" customHeight="true" outlineLevel="0" collapsed="false">
      <c r="A288" s="7" t="n">
        <v>284</v>
      </c>
      <c r="B288" s="16" t="s">
        <v>5271</v>
      </c>
      <c r="C288" s="7" t="s">
        <v>4420</v>
      </c>
      <c r="D288" s="7" t="s">
        <v>19</v>
      </c>
      <c r="E288" s="7" t="s">
        <v>4003</v>
      </c>
      <c r="F288" s="7" t="s">
        <v>4004</v>
      </c>
      <c r="G288" s="7" t="n">
        <v>158</v>
      </c>
      <c r="H288" s="7" t="s">
        <v>20</v>
      </c>
      <c r="I288" s="7" t="s">
        <v>5272</v>
      </c>
      <c r="J288" s="7" t="s">
        <v>5464</v>
      </c>
      <c r="K288" s="7" t="s">
        <v>5577</v>
      </c>
    </row>
    <row r="289" customFormat="false" ht="106.5" hidden="false" customHeight="true" outlineLevel="0" collapsed="false">
      <c r="A289" s="7" t="n">
        <v>285</v>
      </c>
      <c r="B289" s="16" t="s">
        <v>5271</v>
      </c>
      <c r="C289" s="7" t="s">
        <v>4424</v>
      </c>
      <c r="D289" s="7" t="s">
        <v>27</v>
      </c>
      <c r="E289" s="7" t="s">
        <v>4129</v>
      </c>
      <c r="F289" s="7" t="s">
        <v>4130</v>
      </c>
      <c r="G289" s="7" t="n">
        <v>81</v>
      </c>
      <c r="H289" s="7" t="s">
        <v>18</v>
      </c>
      <c r="I289" s="7"/>
      <c r="J289" s="7" t="s">
        <v>5502</v>
      </c>
      <c r="K289" s="7" t="s">
        <v>5578</v>
      </c>
    </row>
    <row r="290" customFormat="false" ht="34.5" hidden="false" customHeight="true" outlineLevel="0" collapsed="false">
      <c r="A290" s="7" t="n">
        <v>286</v>
      </c>
      <c r="B290" s="16" t="s">
        <v>5276</v>
      </c>
      <c r="C290" s="7" t="s">
        <v>4427</v>
      </c>
      <c r="D290" s="7" t="s">
        <v>17</v>
      </c>
      <c r="E290" s="7" t="s">
        <v>4058</v>
      </c>
      <c r="F290" s="7" t="s">
        <v>4084</v>
      </c>
      <c r="G290" s="7" t="n">
        <v>107</v>
      </c>
      <c r="H290" s="7" t="s">
        <v>20</v>
      </c>
      <c r="I290" s="7"/>
      <c r="J290" s="7" t="s">
        <v>5488</v>
      </c>
      <c r="K290" s="7" t="s">
        <v>5579</v>
      </c>
    </row>
    <row r="291" customFormat="false" ht="34.5" hidden="false" customHeight="true" outlineLevel="0" collapsed="false">
      <c r="A291" s="7" t="n">
        <v>287</v>
      </c>
      <c r="B291" s="16" t="s">
        <v>5276</v>
      </c>
      <c r="C291" s="7" t="s">
        <v>4431</v>
      </c>
      <c r="D291" s="7" t="s">
        <v>21</v>
      </c>
      <c r="E291" s="7" t="s">
        <v>3217</v>
      </c>
      <c r="F291" s="7" t="s">
        <v>4108</v>
      </c>
      <c r="G291" s="7" t="n">
        <v>31</v>
      </c>
      <c r="H291" s="7" t="s">
        <v>18</v>
      </c>
      <c r="I291" s="7"/>
      <c r="J291" s="7" t="s">
        <v>5496</v>
      </c>
      <c r="K291" s="7" t="s">
        <v>5580</v>
      </c>
    </row>
    <row r="292" customFormat="false" ht="54.75" hidden="false" customHeight="true" outlineLevel="0" collapsed="false">
      <c r="A292" s="7" t="n">
        <v>288</v>
      </c>
      <c r="B292" s="16" t="s">
        <v>5271</v>
      </c>
      <c r="C292" s="7" t="s">
        <v>4436</v>
      </c>
      <c r="D292" s="7" t="s">
        <v>19</v>
      </c>
      <c r="E292" s="7" t="s">
        <v>3217</v>
      </c>
      <c r="F292" s="7" t="s">
        <v>4139</v>
      </c>
      <c r="G292" s="7" t="n">
        <v>92</v>
      </c>
      <c r="H292" s="7" t="s">
        <v>20</v>
      </c>
      <c r="I292" s="7"/>
      <c r="J292" s="7" t="s">
        <v>5505</v>
      </c>
      <c r="K292" s="7" t="s">
        <v>5581</v>
      </c>
    </row>
    <row r="293" customFormat="false" ht="34.5" hidden="false" customHeight="true" outlineLevel="0" collapsed="false">
      <c r="A293" s="7" t="n">
        <v>289</v>
      </c>
      <c r="B293" s="16" t="s">
        <v>5276</v>
      </c>
      <c r="C293" s="7" t="s">
        <v>4438</v>
      </c>
      <c r="D293" s="7" t="s">
        <v>19</v>
      </c>
      <c r="E293" s="7" t="s">
        <v>3217</v>
      </c>
      <c r="F293" s="7" t="s">
        <v>4139</v>
      </c>
      <c r="G293" s="7" t="n">
        <v>88</v>
      </c>
      <c r="H293" s="7" t="s">
        <v>18</v>
      </c>
      <c r="I293" s="7" t="s">
        <v>5272</v>
      </c>
      <c r="J293" s="7" t="s">
        <v>5505</v>
      </c>
      <c r="K293" s="7" t="s">
        <v>5582</v>
      </c>
    </row>
    <row r="294" customFormat="false" ht="34.5" hidden="false" customHeight="true" outlineLevel="0" collapsed="false">
      <c r="A294" s="7" t="n">
        <v>290</v>
      </c>
      <c r="B294" s="16" t="s">
        <v>5274</v>
      </c>
      <c r="C294" s="7" t="s">
        <v>4440</v>
      </c>
      <c r="D294" s="7" t="s">
        <v>17</v>
      </c>
      <c r="E294" s="7" t="s">
        <v>4058</v>
      </c>
      <c r="F294" s="7" t="s">
        <v>4084</v>
      </c>
      <c r="G294" s="7" t="n">
        <v>105</v>
      </c>
      <c r="H294" s="7" t="s">
        <v>20</v>
      </c>
      <c r="I294" s="7" t="s">
        <v>5272</v>
      </c>
      <c r="J294" s="7" t="s">
        <v>5488</v>
      </c>
      <c r="K294" s="7" t="s">
        <v>5583</v>
      </c>
    </row>
    <row r="295" customFormat="false" ht="42" hidden="false" customHeight="true" outlineLevel="0" collapsed="false">
      <c r="A295" s="7" t="n">
        <v>291</v>
      </c>
      <c r="B295" s="16" t="s">
        <v>5276</v>
      </c>
      <c r="C295" s="7" t="s">
        <v>4445</v>
      </c>
      <c r="D295" s="7" t="s">
        <v>19</v>
      </c>
      <c r="E295" s="7" t="s">
        <v>3217</v>
      </c>
      <c r="F295" s="7" t="s">
        <v>4139</v>
      </c>
      <c r="G295" s="7" t="n">
        <v>25</v>
      </c>
      <c r="H295" s="7" t="s">
        <v>18</v>
      </c>
      <c r="I295" s="7" t="s">
        <v>5272</v>
      </c>
      <c r="J295" s="7" t="s">
        <v>5505</v>
      </c>
      <c r="K295" s="7" t="s">
        <v>5584</v>
      </c>
    </row>
    <row r="296" customFormat="false" ht="34.5" hidden="false" customHeight="true" outlineLevel="0" collapsed="false">
      <c r="A296" s="7" t="n">
        <v>292</v>
      </c>
      <c r="B296" s="16" t="s">
        <v>5276</v>
      </c>
      <c r="C296" s="7" t="s">
        <v>4448</v>
      </c>
      <c r="D296" s="7" t="s">
        <v>23</v>
      </c>
      <c r="E296" s="7" t="s">
        <v>3217</v>
      </c>
      <c r="F296" s="7" t="s">
        <v>4038</v>
      </c>
      <c r="G296" s="7" t="n">
        <v>28</v>
      </c>
      <c r="H296" s="7" t="s">
        <v>18</v>
      </c>
      <c r="I296" s="7"/>
      <c r="J296" s="7" t="s">
        <v>5475</v>
      </c>
      <c r="K296" s="7" t="s">
        <v>5585</v>
      </c>
    </row>
    <row r="297" customFormat="false" ht="67.5" hidden="false" customHeight="true" outlineLevel="0" collapsed="false">
      <c r="A297" s="7" t="n">
        <v>293</v>
      </c>
      <c r="B297" s="16" t="s">
        <v>5268</v>
      </c>
      <c r="C297" s="7" t="s">
        <v>4453</v>
      </c>
      <c r="D297" s="7" t="s">
        <v>23</v>
      </c>
      <c r="E297" s="7" t="s">
        <v>3217</v>
      </c>
      <c r="F297" s="7" t="s">
        <v>4038</v>
      </c>
      <c r="G297" s="7" t="n">
        <v>10</v>
      </c>
      <c r="H297" s="7" t="s">
        <v>18</v>
      </c>
      <c r="I297" s="7"/>
      <c r="J297" s="7" t="s">
        <v>5475</v>
      </c>
      <c r="K297" s="7" t="s">
        <v>5586</v>
      </c>
    </row>
    <row r="298" customFormat="false" ht="34.5" hidden="false" customHeight="true" outlineLevel="0" collapsed="false">
      <c r="A298" s="7" t="n">
        <v>294</v>
      </c>
      <c r="B298" s="16" t="s">
        <v>5268</v>
      </c>
      <c r="C298" s="7" t="s">
        <v>4457</v>
      </c>
      <c r="D298" s="7" t="s">
        <v>31</v>
      </c>
      <c r="E298" s="7" t="s">
        <v>4003</v>
      </c>
      <c r="F298" s="7" t="s">
        <v>4010</v>
      </c>
      <c r="G298" s="7" t="n">
        <v>131</v>
      </c>
      <c r="H298" s="7" t="s">
        <v>18</v>
      </c>
      <c r="I298" s="7"/>
      <c r="J298" s="7" t="s">
        <v>5466</v>
      </c>
      <c r="K298" s="7" t="s">
        <v>5587</v>
      </c>
    </row>
    <row r="299" customFormat="false" ht="34.5" hidden="false" customHeight="true" outlineLevel="0" collapsed="false">
      <c r="A299" s="7" t="n">
        <v>295</v>
      </c>
      <c r="B299" s="16" t="s">
        <v>5268</v>
      </c>
      <c r="C299" s="7" t="s">
        <v>4461</v>
      </c>
      <c r="D299" s="7" t="s">
        <v>22</v>
      </c>
      <c r="E299" s="7" t="s">
        <v>3996</v>
      </c>
      <c r="F299" s="7" t="s">
        <v>3997</v>
      </c>
      <c r="G299" s="7" t="n">
        <v>149</v>
      </c>
      <c r="H299" s="7" t="s">
        <v>18</v>
      </c>
      <c r="I299" s="7" t="s">
        <v>5272</v>
      </c>
      <c r="J299" s="7" t="s">
        <v>5462</v>
      </c>
      <c r="K299" s="7" t="s">
        <v>5588</v>
      </c>
    </row>
    <row r="300" customFormat="false" ht="54.75" hidden="false" customHeight="true" outlineLevel="0" collapsed="false">
      <c r="A300" s="7" t="n">
        <v>296</v>
      </c>
      <c r="B300" s="16" t="s">
        <v>5276</v>
      </c>
      <c r="C300" s="7" t="s">
        <v>4463</v>
      </c>
      <c r="D300" s="7" t="s">
        <v>25</v>
      </c>
      <c r="E300" s="7" t="s">
        <v>4019</v>
      </c>
      <c r="F300" s="7" t="s">
        <v>4020</v>
      </c>
      <c r="G300" s="7" t="n">
        <v>107</v>
      </c>
      <c r="H300" s="7" t="s">
        <v>20</v>
      </c>
      <c r="I300" s="7" t="s">
        <v>5272</v>
      </c>
      <c r="J300" s="7" t="s">
        <v>5469</v>
      </c>
      <c r="K300" s="7" t="s">
        <v>5589</v>
      </c>
    </row>
    <row r="301" customFormat="false" ht="42" hidden="false" customHeight="true" outlineLevel="0" collapsed="false">
      <c r="A301" s="7" t="n">
        <v>297</v>
      </c>
      <c r="B301" s="16" t="s">
        <v>5271</v>
      </c>
      <c r="C301" s="7" t="s">
        <v>4468</v>
      </c>
      <c r="D301" s="7" t="s">
        <v>25</v>
      </c>
      <c r="E301" s="7" t="s">
        <v>4003</v>
      </c>
      <c r="F301" s="7" t="s">
        <v>4224</v>
      </c>
      <c r="G301" s="7" t="n">
        <v>100</v>
      </c>
      <c r="H301" s="7" t="s">
        <v>18</v>
      </c>
      <c r="I301" s="7"/>
      <c r="J301" s="7" t="s">
        <v>5527</v>
      </c>
      <c r="K301" s="7" t="s">
        <v>5590</v>
      </c>
    </row>
    <row r="302" customFormat="false" ht="34.5" hidden="false" customHeight="true" outlineLevel="0" collapsed="false">
      <c r="A302" s="7" t="n">
        <v>298</v>
      </c>
      <c r="B302" s="16" t="s">
        <v>5274</v>
      </c>
      <c r="C302" s="7" t="s">
        <v>4470</v>
      </c>
      <c r="D302" s="7" t="s">
        <v>25</v>
      </c>
      <c r="E302" s="7" t="s">
        <v>4003</v>
      </c>
      <c r="F302" s="7" t="s">
        <v>4224</v>
      </c>
      <c r="G302" s="7" t="n">
        <v>85</v>
      </c>
      <c r="H302" s="7" t="s">
        <v>18</v>
      </c>
      <c r="I302" s="7"/>
      <c r="J302" s="7" t="s">
        <v>5527</v>
      </c>
      <c r="K302" s="7" t="s">
        <v>5591</v>
      </c>
    </row>
    <row r="303" customFormat="false" ht="34.5" hidden="false" customHeight="true" outlineLevel="0" collapsed="false">
      <c r="A303" s="7" t="n">
        <v>299</v>
      </c>
      <c r="B303" s="16" t="s">
        <v>5276</v>
      </c>
      <c r="C303" s="7" t="s">
        <v>4475</v>
      </c>
      <c r="D303" s="7" t="s">
        <v>25</v>
      </c>
      <c r="E303" s="7" t="s">
        <v>3217</v>
      </c>
      <c r="F303" s="7" t="s">
        <v>4320</v>
      </c>
      <c r="G303" s="7" t="n">
        <v>9</v>
      </c>
      <c r="H303" s="7" t="s">
        <v>18</v>
      </c>
      <c r="I303" s="7" t="s">
        <v>5471</v>
      </c>
      <c r="J303" s="7" t="s">
        <v>5552</v>
      </c>
      <c r="K303" s="7" t="s">
        <v>5592</v>
      </c>
    </row>
    <row r="304" customFormat="false" ht="34.5" hidden="false" customHeight="true" outlineLevel="0" collapsed="false">
      <c r="A304" s="7" t="n">
        <v>300</v>
      </c>
      <c r="B304" s="16" t="s">
        <v>5276</v>
      </c>
      <c r="C304" s="7" t="s">
        <v>4479</v>
      </c>
      <c r="D304" s="7" t="s">
        <v>31</v>
      </c>
      <c r="E304" s="7" t="s">
        <v>4003</v>
      </c>
      <c r="F304" s="7" t="s">
        <v>4010</v>
      </c>
      <c r="G304" s="7" t="n">
        <v>111</v>
      </c>
      <c r="H304" s="7" t="s">
        <v>18</v>
      </c>
      <c r="I304" s="7" t="s">
        <v>5272</v>
      </c>
      <c r="J304" s="7" t="s">
        <v>5466</v>
      </c>
      <c r="K304" s="7" t="s">
        <v>5593</v>
      </c>
    </row>
    <row r="305" customFormat="false" ht="34.5" hidden="false" customHeight="true" outlineLevel="0" collapsed="false">
      <c r="A305" s="7" t="n">
        <v>301</v>
      </c>
      <c r="B305" s="16" t="s">
        <v>5271</v>
      </c>
      <c r="C305" s="7" t="s">
        <v>4484</v>
      </c>
      <c r="D305" s="7" t="s">
        <v>17</v>
      </c>
      <c r="E305" s="7" t="s">
        <v>4058</v>
      </c>
      <c r="F305" s="7" t="s">
        <v>4084</v>
      </c>
      <c r="G305" s="7" t="n">
        <v>104</v>
      </c>
      <c r="H305" s="7" t="s">
        <v>20</v>
      </c>
      <c r="I305" s="7"/>
      <c r="J305" s="7" t="s">
        <v>5488</v>
      </c>
      <c r="K305" s="7" t="s">
        <v>5594</v>
      </c>
    </row>
    <row r="306" customFormat="false" ht="42" hidden="false" customHeight="true" outlineLevel="0" collapsed="false">
      <c r="A306" s="7" t="n">
        <v>302</v>
      </c>
      <c r="B306" s="16" t="s">
        <v>5274</v>
      </c>
      <c r="C306" s="7" t="s">
        <v>4486</v>
      </c>
      <c r="D306" s="7" t="s">
        <v>19</v>
      </c>
      <c r="E306" s="7" t="s">
        <v>4003</v>
      </c>
      <c r="F306" s="7" t="s">
        <v>4004</v>
      </c>
      <c r="G306" s="7" t="n">
        <v>155</v>
      </c>
      <c r="H306" s="7" t="s">
        <v>20</v>
      </c>
      <c r="I306" s="7"/>
      <c r="J306" s="7" t="s">
        <v>5464</v>
      </c>
      <c r="K306" s="7" t="s">
        <v>5595</v>
      </c>
    </row>
    <row r="307" customFormat="false" ht="34.5" hidden="false" customHeight="true" outlineLevel="0" collapsed="false">
      <c r="A307" s="7" t="n">
        <v>303</v>
      </c>
      <c r="B307" s="16" t="s">
        <v>5274</v>
      </c>
      <c r="C307" s="7" t="s">
        <v>4490</v>
      </c>
      <c r="D307" s="7" t="s">
        <v>22</v>
      </c>
      <c r="E307" s="7" t="s">
        <v>3996</v>
      </c>
      <c r="F307" s="7" t="s">
        <v>3997</v>
      </c>
      <c r="G307" s="7" t="n">
        <v>154</v>
      </c>
      <c r="H307" s="7" t="s">
        <v>20</v>
      </c>
      <c r="I307" s="7"/>
      <c r="J307" s="7" t="s">
        <v>5462</v>
      </c>
      <c r="K307" s="7" t="s">
        <v>5596</v>
      </c>
    </row>
    <row r="308" customFormat="false" ht="34.5" hidden="false" customHeight="true" outlineLevel="0" collapsed="false">
      <c r="A308" s="7" t="n">
        <v>304</v>
      </c>
      <c r="B308" s="16" t="s">
        <v>5276</v>
      </c>
      <c r="C308" s="7" t="s">
        <v>4495</v>
      </c>
      <c r="D308" s="7" t="s">
        <v>29</v>
      </c>
      <c r="E308" s="7" t="s">
        <v>3217</v>
      </c>
      <c r="F308" s="7" t="s">
        <v>3898</v>
      </c>
      <c r="G308" s="7" t="n">
        <v>72</v>
      </c>
      <c r="H308" s="7" t="s">
        <v>20</v>
      </c>
      <c r="I308" s="7" t="s">
        <v>5471</v>
      </c>
      <c r="J308" s="7" t="s">
        <v>5440</v>
      </c>
      <c r="K308" s="7" t="s">
        <v>5597</v>
      </c>
    </row>
    <row r="309" customFormat="false" ht="34.5" hidden="false" customHeight="true" outlineLevel="0" collapsed="false">
      <c r="A309" s="7" t="n">
        <v>305</v>
      </c>
      <c r="B309" s="16" t="s">
        <v>5274</v>
      </c>
      <c r="C309" s="7" t="s">
        <v>4498</v>
      </c>
      <c r="D309" s="7" t="s">
        <v>31</v>
      </c>
      <c r="E309" s="7" t="s">
        <v>4003</v>
      </c>
      <c r="F309" s="7" t="s">
        <v>4010</v>
      </c>
      <c r="G309" s="7" t="n">
        <v>30</v>
      </c>
      <c r="H309" s="7" t="s">
        <v>18</v>
      </c>
      <c r="I309" s="7" t="s">
        <v>5471</v>
      </c>
      <c r="J309" s="7" t="s">
        <v>5466</v>
      </c>
      <c r="K309" s="7" t="s">
        <v>5598</v>
      </c>
    </row>
    <row r="310" customFormat="false" ht="34.5" hidden="false" customHeight="true" outlineLevel="0" collapsed="false">
      <c r="A310" s="7" t="n">
        <v>306</v>
      </c>
      <c r="B310" s="16" t="s">
        <v>5271</v>
      </c>
      <c r="C310" s="7" t="s">
        <v>4504</v>
      </c>
      <c r="D310" s="7" t="s">
        <v>21</v>
      </c>
      <c r="E310" s="7" t="s">
        <v>3217</v>
      </c>
      <c r="F310" s="7" t="s">
        <v>4108</v>
      </c>
      <c r="G310" s="7" t="n">
        <v>103</v>
      </c>
      <c r="H310" s="7" t="s">
        <v>20</v>
      </c>
      <c r="I310" s="7"/>
      <c r="J310" s="7" t="s">
        <v>5496</v>
      </c>
      <c r="K310" s="7" t="s">
        <v>5599</v>
      </c>
    </row>
    <row r="311" customFormat="false" ht="42" hidden="false" customHeight="true" outlineLevel="0" collapsed="false">
      <c r="A311" s="7" t="n">
        <v>307</v>
      </c>
      <c r="B311" s="16" t="s">
        <v>5268</v>
      </c>
      <c r="C311" s="7" t="s">
        <v>4509</v>
      </c>
      <c r="D311" s="7" t="s">
        <v>21</v>
      </c>
      <c r="E311" s="7" t="s">
        <v>3217</v>
      </c>
      <c r="F311" s="7" t="s">
        <v>4108</v>
      </c>
      <c r="G311" s="7" t="n">
        <v>1</v>
      </c>
      <c r="H311" s="7" t="s">
        <v>18</v>
      </c>
      <c r="I311" s="7"/>
      <c r="J311" s="7" t="s">
        <v>5496</v>
      </c>
      <c r="K311" s="7" t="s">
        <v>5600</v>
      </c>
    </row>
    <row r="312" customFormat="false" ht="42" hidden="false" customHeight="true" outlineLevel="0" collapsed="false">
      <c r="A312" s="7" t="n">
        <v>308</v>
      </c>
      <c r="B312" s="16" t="s">
        <v>5274</v>
      </c>
      <c r="C312" s="7" t="s">
        <v>4510</v>
      </c>
      <c r="D312" s="7" t="s">
        <v>19</v>
      </c>
      <c r="E312" s="7" t="s">
        <v>4003</v>
      </c>
      <c r="F312" s="7" t="s">
        <v>4004</v>
      </c>
      <c r="G312" s="7" t="n">
        <v>156</v>
      </c>
      <c r="H312" s="7" t="s">
        <v>20</v>
      </c>
      <c r="I312" s="7" t="s">
        <v>5272</v>
      </c>
      <c r="J312" s="7" t="s">
        <v>5464</v>
      </c>
      <c r="K312" s="7" t="s">
        <v>5601</v>
      </c>
    </row>
    <row r="313" customFormat="false" ht="54.75" hidden="false" customHeight="true" outlineLevel="0" collapsed="false">
      <c r="A313" s="7" t="n">
        <v>309</v>
      </c>
      <c r="B313" s="16" t="s">
        <v>5271</v>
      </c>
      <c r="C313" s="7" t="s">
        <v>4516</v>
      </c>
      <c r="D313" s="7" t="s">
        <v>17</v>
      </c>
      <c r="E313" s="7" t="s">
        <v>4044</v>
      </c>
      <c r="F313" s="7" t="s">
        <v>4045</v>
      </c>
      <c r="G313" s="7" t="n">
        <v>107</v>
      </c>
      <c r="H313" s="7" t="s">
        <v>20</v>
      </c>
      <c r="I313" s="7" t="s">
        <v>5272</v>
      </c>
      <c r="J313" s="7" t="s">
        <v>5477</v>
      </c>
      <c r="K313" s="7" t="s">
        <v>5602</v>
      </c>
    </row>
    <row r="314" customFormat="false" ht="42" hidden="false" customHeight="true" outlineLevel="0" collapsed="false">
      <c r="A314" s="7" t="n">
        <v>310</v>
      </c>
      <c r="B314" s="16" t="s">
        <v>5268</v>
      </c>
      <c r="C314" s="7" t="s">
        <v>4521</v>
      </c>
      <c r="D314" s="7" t="s">
        <v>21</v>
      </c>
      <c r="E314" s="7" t="s">
        <v>4058</v>
      </c>
      <c r="F314" s="7" t="s">
        <v>4059</v>
      </c>
      <c r="G314" s="7" t="n">
        <v>62</v>
      </c>
      <c r="H314" s="7" t="s">
        <v>18</v>
      </c>
      <c r="I314" s="7" t="s">
        <v>5272</v>
      </c>
      <c r="J314" s="7" t="s">
        <v>5481</v>
      </c>
      <c r="K314" s="7" t="s">
        <v>5603</v>
      </c>
    </row>
    <row r="315" customFormat="false" ht="34.5" hidden="false" customHeight="true" outlineLevel="0" collapsed="false">
      <c r="A315" s="7" t="n">
        <v>311</v>
      </c>
      <c r="B315" s="16" t="s">
        <v>5276</v>
      </c>
      <c r="C315" s="7" t="s">
        <v>4523</v>
      </c>
      <c r="D315" s="7" t="s">
        <v>22</v>
      </c>
      <c r="E315" s="7" t="s">
        <v>3996</v>
      </c>
      <c r="F315" s="7" t="s">
        <v>3997</v>
      </c>
      <c r="G315" s="7" t="n">
        <v>77</v>
      </c>
      <c r="H315" s="7" t="s">
        <v>18</v>
      </c>
      <c r="I315" s="7"/>
      <c r="J315" s="7" t="s">
        <v>5462</v>
      </c>
      <c r="K315" s="7" t="s">
        <v>5604</v>
      </c>
    </row>
    <row r="316" customFormat="false" ht="34.5" hidden="false" customHeight="true" outlineLevel="0" collapsed="false">
      <c r="A316" s="7" t="n">
        <v>312</v>
      </c>
      <c r="B316" s="16" t="s">
        <v>5274</v>
      </c>
      <c r="C316" s="7" t="s">
        <v>4526</v>
      </c>
      <c r="D316" s="7" t="s">
        <v>22</v>
      </c>
      <c r="E316" s="7" t="s">
        <v>3996</v>
      </c>
      <c r="F316" s="7" t="s">
        <v>3997</v>
      </c>
      <c r="G316" s="7" t="n">
        <v>76</v>
      </c>
      <c r="H316" s="7" t="s">
        <v>18</v>
      </c>
      <c r="I316" s="7"/>
      <c r="J316" s="7" t="s">
        <v>5462</v>
      </c>
      <c r="K316" s="7" t="s">
        <v>5605</v>
      </c>
    </row>
    <row r="317" customFormat="false" ht="34.5" hidden="false" customHeight="true" outlineLevel="0" collapsed="false">
      <c r="A317" s="7" t="n">
        <v>313</v>
      </c>
      <c r="B317" s="16" t="s">
        <v>5268</v>
      </c>
      <c r="C317" s="7" t="s">
        <v>4533</v>
      </c>
      <c r="D317" s="7" t="s">
        <v>31</v>
      </c>
      <c r="E317" s="7" t="s">
        <v>4003</v>
      </c>
      <c r="F317" s="7" t="s">
        <v>4010</v>
      </c>
      <c r="G317" s="7" t="n">
        <v>51</v>
      </c>
      <c r="H317" s="7" t="s">
        <v>18</v>
      </c>
      <c r="I317" s="7" t="s">
        <v>5272</v>
      </c>
      <c r="J317" s="7" t="s">
        <v>5466</v>
      </c>
      <c r="K317" s="7" t="s">
        <v>5606</v>
      </c>
    </row>
    <row r="318" customFormat="false" ht="34.5" hidden="false" customHeight="true" outlineLevel="0" collapsed="false">
      <c r="A318" s="7" t="n">
        <v>314</v>
      </c>
      <c r="B318" s="16" t="s">
        <v>5268</v>
      </c>
      <c r="C318" s="7" t="s">
        <v>4537</v>
      </c>
      <c r="D318" s="7" t="s">
        <v>22</v>
      </c>
      <c r="E318" s="7" t="s">
        <v>3996</v>
      </c>
      <c r="F318" s="7" t="s">
        <v>3997</v>
      </c>
      <c r="G318" s="7" t="n">
        <v>158</v>
      </c>
      <c r="H318" s="7" t="s">
        <v>20</v>
      </c>
      <c r="I318" s="7" t="s">
        <v>5272</v>
      </c>
      <c r="J318" s="7" t="s">
        <v>5462</v>
      </c>
      <c r="K318" s="7" t="s">
        <v>5607</v>
      </c>
    </row>
    <row r="319" customFormat="false" ht="34.5" hidden="false" customHeight="true" outlineLevel="0" collapsed="false">
      <c r="A319" s="7" t="n">
        <v>315</v>
      </c>
      <c r="B319" s="16" t="s">
        <v>5274</v>
      </c>
      <c r="C319" s="7" t="s">
        <v>4538</v>
      </c>
      <c r="D319" s="7" t="s">
        <v>31</v>
      </c>
      <c r="E319" s="7" t="s">
        <v>4003</v>
      </c>
      <c r="F319" s="7" t="s">
        <v>4010</v>
      </c>
      <c r="G319" s="7" t="n">
        <v>88</v>
      </c>
      <c r="H319" s="7" t="s">
        <v>18</v>
      </c>
      <c r="I319" s="7" t="s">
        <v>5272</v>
      </c>
      <c r="J319" s="7" t="s">
        <v>5466</v>
      </c>
      <c r="K319" s="7" t="s">
        <v>5608</v>
      </c>
    </row>
    <row r="320" customFormat="false" ht="34.5" hidden="false" customHeight="true" outlineLevel="0" collapsed="false">
      <c r="A320" s="7" t="n">
        <v>316</v>
      </c>
      <c r="B320" s="16" t="s">
        <v>5274</v>
      </c>
      <c r="C320" s="7" t="s">
        <v>4542</v>
      </c>
      <c r="D320" s="7" t="s">
        <v>17</v>
      </c>
      <c r="E320" s="7" t="s">
        <v>4044</v>
      </c>
      <c r="F320" s="7" t="s">
        <v>4045</v>
      </c>
      <c r="G320" s="7" t="n">
        <v>34</v>
      </c>
      <c r="H320" s="7" t="s">
        <v>18</v>
      </c>
      <c r="I320" s="7"/>
      <c r="J320" s="7" t="s">
        <v>5477</v>
      </c>
      <c r="K320" s="7" t="s">
        <v>5609</v>
      </c>
    </row>
    <row r="321" customFormat="false" ht="54.75" hidden="false" customHeight="true" outlineLevel="0" collapsed="false">
      <c r="A321" s="7" t="n">
        <v>317</v>
      </c>
      <c r="B321" s="16" t="s">
        <v>5268</v>
      </c>
      <c r="C321" s="7" t="s">
        <v>4549</v>
      </c>
      <c r="D321" s="7" t="s">
        <v>22</v>
      </c>
      <c r="E321" s="7" t="s">
        <v>3996</v>
      </c>
      <c r="F321" s="7" t="s">
        <v>3997</v>
      </c>
      <c r="G321" s="7" t="n">
        <v>44</v>
      </c>
      <c r="H321" s="7" t="s">
        <v>18</v>
      </c>
      <c r="I321" s="7" t="s">
        <v>5272</v>
      </c>
      <c r="J321" s="7" t="s">
        <v>5462</v>
      </c>
      <c r="K321" s="7" t="s">
        <v>5610</v>
      </c>
    </row>
    <row r="322" customFormat="false" ht="42" hidden="false" customHeight="true" outlineLevel="0" collapsed="false">
      <c r="A322" s="7" t="n">
        <v>318</v>
      </c>
      <c r="B322" s="16" t="s">
        <v>5271</v>
      </c>
      <c r="C322" s="7" t="s">
        <v>4552</v>
      </c>
      <c r="D322" s="7" t="s">
        <v>21</v>
      </c>
      <c r="E322" s="7" t="s">
        <v>3217</v>
      </c>
      <c r="F322" s="7" t="s">
        <v>4108</v>
      </c>
      <c r="G322" s="7" t="n">
        <v>101</v>
      </c>
      <c r="H322" s="7" t="s">
        <v>20</v>
      </c>
      <c r="I322" s="7"/>
      <c r="J322" s="7" t="s">
        <v>5496</v>
      </c>
      <c r="K322" s="7" t="s">
        <v>5611</v>
      </c>
    </row>
    <row r="323" customFormat="false" ht="42" hidden="false" customHeight="true" outlineLevel="0" collapsed="false">
      <c r="A323" s="7" t="n">
        <v>319</v>
      </c>
      <c r="B323" s="16" t="s">
        <v>5276</v>
      </c>
      <c r="C323" s="7" t="s">
        <v>4555</v>
      </c>
      <c r="D323" s="7" t="s">
        <v>22</v>
      </c>
      <c r="E323" s="7" t="s">
        <v>3996</v>
      </c>
      <c r="F323" s="7" t="s">
        <v>3997</v>
      </c>
      <c r="G323" s="7" t="n">
        <v>52</v>
      </c>
      <c r="H323" s="7" t="s">
        <v>18</v>
      </c>
      <c r="I323" s="7" t="s">
        <v>5272</v>
      </c>
      <c r="J323" s="7" t="s">
        <v>5462</v>
      </c>
      <c r="K323" s="7" t="s">
        <v>5612</v>
      </c>
    </row>
    <row r="324" customFormat="false" ht="42" hidden="false" customHeight="true" outlineLevel="0" collapsed="false">
      <c r="A324" s="7" t="n">
        <v>320</v>
      </c>
      <c r="B324" s="16" t="s">
        <v>5268</v>
      </c>
      <c r="C324" s="7" t="s">
        <v>4561</v>
      </c>
      <c r="D324" s="7" t="s">
        <v>23</v>
      </c>
      <c r="E324" s="7" t="s">
        <v>3217</v>
      </c>
      <c r="F324" s="7" t="s">
        <v>4038</v>
      </c>
      <c r="G324" s="7" t="n">
        <v>72</v>
      </c>
      <c r="H324" s="7" t="s">
        <v>18</v>
      </c>
      <c r="I324" s="7"/>
      <c r="J324" s="7" t="s">
        <v>5475</v>
      </c>
      <c r="K324" s="7" t="s">
        <v>5613</v>
      </c>
    </row>
    <row r="325" customFormat="false" ht="34.5" hidden="false" customHeight="true" outlineLevel="0" collapsed="false">
      <c r="A325" s="7" t="n">
        <v>321</v>
      </c>
      <c r="B325" s="16" t="s">
        <v>5268</v>
      </c>
      <c r="C325" s="7" t="s">
        <v>4476</v>
      </c>
      <c r="D325" s="7" t="s">
        <v>25</v>
      </c>
      <c r="E325" s="7" t="s">
        <v>3217</v>
      </c>
      <c r="F325" s="7" t="s">
        <v>4320</v>
      </c>
      <c r="G325" s="7" t="n">
        <v>104</v>
      </c>
      <c r="H325" s="7" t="s">
        <v>20</v>
      </c>
      <c r="I325" s="7" t="s">
        <v>5471</v>
      </c>
      <c r="J325" s="7" t="s">
        <v>5552</v>
      </c>
      <c r="K325" s="7" t="s">
        <v>5614</v>
      </c>
    </row>
    <row r="326" customFormat="false" ht="34.5" hidden="false" customHeight="true" outlineLevel="0" collapsed="false">
      <c r="A326" s="7" t="n">
        <v>322</v>
      </c>
      <c r="B326" s="16" t="s">
        <v>5276</v>
      </c>
      <c r="C326" s="7" t="s">
        <v>4564</v>
      </c>
      <c r="D326" s="7" t="s">
        <v>22</v>
      </c>
      <c r="E326" s="7" t="s">
        <v>3996</v>
      </c>
      <c r="F326" s="7" t="s">
        <v>3997</v>
      </c>
      <c r="G326" s="7" t="n">
        <v>42</v>
      </c>
      <c r="H326" s="7" t="s">
        <v>18</v>
      </c>
      <c r="I326" s="7" t="s">
        <v>5495</v>
      </c>
      <c r="J326" s="7" t="s">
        <v>5462</v>
      </c>
      <c r="K326" s="7" t="s">
        <v>5615</v>
      </c>
    </row>
    <row r="327" customFormat="false" ht="42" hidden="false" customHeight="true" outlineLevel="0" collapsed="false">
      <c r="A327" s="7" t="n">
        <v>323</v>
      </c>
      <c r="B327" s="16" t="s">
        <v>5268</v>
      </c>
      <c r="C327" s="7" t="s">
        <v>4570</v>
      </c>
      <c r="D327" s="7" t="s">
        <v>15</v>
      </c>
      <c r="E327" s="7" t="s">
        <v>3996</v>
      </c>
      <c r="F327" s="7" t="s">
        <v>4030</v>
      </c>
      <c r="G327" s="7" t="n">
        <v>59</v>
      </c>
      <c r="H327" s="7" t="s">
        <v>20</v>
      </c>
      <c r="I327" s="7" t="s">
        <v>5272</v>
      </c>
      <c r="J327" s="7" t="s">
        <v>5473</v>
      </c>
      <c r="K327" s="7" t="s">
        <v>5616</v>
      </c>
    </row>
    <row r="328" customFormat="false" ht="34.5" hidden="false" customHeight="true" outlineLevel="0" collapsed="false">
      <c r="A328" s="7" t="n">
        <v>324</v>
      </c>
      <c r="B328" s="16" t="s">
        <v>5274</v>
      </c>
      <c r="C328" s="7" t="s">
        <v>4571</v>
      </c>
      <c r="D328" s="7" t="s">
        <v>25</v>
      </c>
      <c r="E328" s="7" t="s">
        <v>4003</v>
      </c>
      <c r="F328" s="7" t="s">
        <v>4224</v>
      </c>
      <c r="G328" s="7" t="n">
        <v>108</v>
      </c>
      <c r="H328" s="7" t="s">
        <v>20</v>
      </c>
      <c r="I328" s="7"/>
      <c r="J328" s="7" t="s">
        <v>5527</v>
      </c>
      <c r="K328" s="7" t="s">
        <v>5617</v>
      </c>
    </row>
    <row r="329" customFormat="false" ht="34.5" hidden="false" customHeight="true" outlineLevel="0" collapsed="false">
      <c r="A329" s="7" t="n">
        <v>325</v>
      </c>
      <c r="B329" s="16" t="s">
        <v>5271</v>
      </c>
      <c r="C329" s="7" t="s">
        <v>4577</v>
      </c>
      <c r="D329" s="7" t="s">
        <v>23</v>
      </c>
      <c r="E329" s="7" t="s">
        <v>3217</v>
      </c>
      <c r="F329" s="7" t="s">
        <v>4038</v>
      </c>
      <c r="G329" s="7" t="n">
        <v>61</v>
      </c>
      <c r="H329" s="7" t="s">
        <v>18</v>
      </c>
      <c r="I329" s="7"/>
      <c r="J329" s="7" t="s">
        <v>5475</v>
      </c>
      <c r="K329" s="7" t="s">
        <v>5618</v>
      </c>
    </row>
    <row r="330" customFormat="false" ht="34.5" hidden="false" customHeight="true" outlineLevel="0" collapsed="false">
      <c r="A330" s="7" t="n">
        <v>326</v>
      </c>
      <c r="B330" s="16" t="s">
        <v>5271</v>
      </c>
      <c r="C330" s="7" t="s">
        <v>4581</v>
      </c>
      <c r="D330" s="7" t="s">
        <v>15</v>
      </c>
      <c r="E330" s="7" t="s">
        <v>3996</v>
      </c>
      <c r="F330" s="7" t="s">
        <v>4030</v>
      </c>
      <c r="G330" s="7" t="n">
        <v>31</v>
      </c>
      <c r="H330" s="7" t="s">
        <v>20</v>
      </c>
      <c r="I330" s="7"/>
      <c r="J330" s="7" t="s">
        <v>5473</v>
      </c>
      <c r="K330" s="7" t="s">
        <v>5619</v>
      </c>
    </row>
    <row r="331" customFormat="false" ht="67.5" hidden="false" customHeight="true" outlineLevel="0" collapsed="false">
      <c r="A331" s="7" t="n">
        <v>327</v>
      </c>
      <c r="B331" s="16" t="s">
        <v>5268</v>
      </c>
      <c r="C331" s="7" t="s">
        <v>4587</v>
      </c>
      <c r="D331" s="7" t="s">
        <v>15</v>
      </c>
      <c r="E331" s="7" t="s">
        <v>3996</v>
      </c>
      <c r="F331" s="7" t="s">
        <v>4030</v>
      </c>
      <c r="G331" s="7" t="n">
        <v>112</v>
      </c>
      <c r="H331" s="7" t="s">
        <v>20</v>
      </c>
      <c r="I331" s="7"/>
      <c r="J331" s="7" t="s">
        <v>5473</v>
      </c>
      <c r="K331" s="7" t="s">
        <v>5620</v>
      </c>
    </row>
    <row r="332" customFormat="false" ht="34.5" hidden="false" customHeight="true" outlineLevel="0" collapsed="false">
      <c r="A332" s="7" t="n">
        <v>328</v>
      </c>
      <c r="B332" s="16" t="s">
        <v>5274</v>
      </c>
      <c r="C332" s="7" t="s">
        <v>4589</v>
      </c>
      <c r="D332" s="7" t="s">
        <v>21</v>
      </c>
      <c r="E332" s="7" t="s">
        <v>3217</v>
      </c>
      <c r="F332" s="7" t="s">
        <v>4108</v>
      </c>
      <c r="G332" s="7" t="n">
        <v>44</v>
      </c>
      <c r="H332" s="7" t="s">
        <v>18</v>
      </c>
      <c r="I332" s="7" t="s">
        <v>5272</v>
      </c>
      <c r="J332" s="7" t="s">
        <v>5496</v>
      </c>
      <c r="K332" s="7" t="s">
        <v>5621</v>
      </c>
    </row>
    <row r="333" customFormat="false" ht="42" hidden="false" customHeight="true" outlineLevel="0" collapsed="false">
      <c r="A333" s="7" t="n">
        <v>329</v>
      </c>
      <c r="B333" s="16" t="s">
        <v>5276</v>
      </c>
      <c r="C333" s="7" t="s">
        <v>4595</v>
      </c>
      <c r="D333" s="7" t="s">
        <v>15</v>
      </c>
      <c r="E333" s="7" t="s">
        <v>3217</v>
      </c>
      <c r="F333" s="7" t="s">
        <v>4143</v>
      </c>
      <c r="G333" s="7" t="n">
        <v>135</v>
      </c>
      <c r="H333" s="7" t="s">
        <v>20</v>
      </c>
      <c r="I333" s="7"/>
      <c r="J333" s="7" t="s">
        <v>5507</v>
      </c>
      <c r="K333" s="7" t="s">
        <v>5622</v>
      </c>
    </row>
    <row r="334" customFormat="false" ht="34.5" hidden="false" customHeight="true" outlineLevel="0" collapsed="false">
      <c r="A334" s="7" t="n">
        <v>330</v>
      </c>
      <c r="B334" s="16" t="s">
        <v>5268</v>
      </c>
      <c r="C334" s="7" t="s">
        <v>4602</v>
      </c>
      <c r="D334" s="7" t="s">
        <v>21</v>
      </c>
      <c r="E334" s="7" t="s">
        <v>3217</v>
      </c>
      <c r="F334" s="7" t="s">
        <v>4108</v>
      </c>
      <c r="G334" s="7" t="n">
        <v>104</v>
      </c>
      <c r="H334" s="7" t="s">
        <v>20</v>
      </c>
      <c r="I334" s="7"/>
      <c r="J334" s="7" t="s">
        <v>5496</v>
      </c>
      <c r="K334" s="7" t="s">
        <v>5623</v>
      </c>
    </row>
    <row r="335" customFormat="false" ht="42" hidden="false" customHeight="true" outlineLevel="0" collapsed="false">
      <c r="A335" s="7" t="n">
        <v>331</v>
      </c>
      <c r="B335" s="16" t="s">
        <v>5274</v>
      </c>
      <c r="C335" s="7" t="s">
        <v>4603</v>
      </c>
      <c r="D335" s="7" t="s">
        <v>23</v>
      </c>
      <c r="E335" s="7" t="s">
        <v>3217</v>
      </c>
      <c r="F335" s="7" t="s">
        <v>4038</v>
      </c>
      <c r="G335" s="7" t="n">
        <v>5</v>
      </c>
      <c r="H335" s="7" t="s">
        <v>18</v>
      </c>
      <c r="I335" s="7"/>
      <c r="J335" s="7" t="s">
        <v>5475</v>
      </c>
      <c r="K335" s="7" t="s">
        <v>5624</v>
      </c>
    </row>
    <row r="336" customFormat="false" ht="34.5" hidden="false" customHeight="true" outlineLevel="0" collapsed="false">
      <c r="A336" s="7" t="n">
        <v>332</v>
      </c>
      <c r="B336" s="16" t="s">
        <v>5268</v>
      </c>
      <c r="C336" s="7" t="s">
        <v>4610</v>
      </c>
      <c r="D336" s="7" t="s">
        <v>25</v>
      </c>
      <c r="E336" s="7" t="s">
        <v>4003</v>
      </c>
      <c r="F336" s="7" t="s">
        <v>4224</v>
      </c>
      <c r="G336" s="7" t="n">
        <v>110</v>
      </c>
      <c r="H336" s="7" t="s">
        <v>20</v>
      </c>
      <c r="I336" s="7" t="s">
        <v>5272</v>
      </c>
      <c r="J336" s="7" t="s">
        <v>5527</v>
      </c>
      <c r="K336" s="7" t="s">
        <v>5625</v>
      </c>
    </row>
    <row r="337" customFormat="false" ht="34.5" hidden="false" customHeight="true" outlineLevel="0" collapsed="false">
      <c r="A337" s="7" t="n">
        <v>333</v>
      </c>
      <c r="B337" s="16" t="s">
        <v>5271</v>
      </c>
      <c r="C337" s="7" t="s">
        <v>4613</v>
      </c>
      <c r="D337" s="7" t="s">
        <v>31</v>
      </c>
      <c r="E337" s="7" t="s">
        <v>4003</v>
      </c>
      <c r="F337" s="7" t="s">
        <v>4010</v>
      </c>
      <c r="G337" s="7" t="n">
        <v>55</v>
      </c>
      <c r="H337" s="7" t="s">
        <v>18</v>
      </c>
      <c r="I337" s="7" t="s">
        <v>5272</v>
      </c>
      <c r="J337" s="7" t="s">
        <v>5466</v>
      </c>
      <c r="K337" s="7" t="s">
        <v>5626</v>
      </c>
    </row>
    <row r="338" customFormat="false" ht="34.5" hidden="false" customHeight="true" outlineLevel="0" collapsed="false">
      <c r="A338" s="7" t="n">
        <v>334</v>
      </c>
      <c r="B338" s="16" t="s">
        <v>5268</v>
      </c>
      <c r="C338" s="7" t="s">
        <v>4617</v>
      </c>
      <c r="D338" s="7" t="s">
        <v>25</v>
      </c>
      <c r="E338" s="7" t="s">
        <v>4019</v>
      </c>
      <c r="F338" s="7" t="s">
        <v>4020</v>
      </c>
      <c r="G338" s="7" t="n">
        <v>105</v>
      </c>
      <c r="H338" s="7" t="s">
        <v>20</v>
      </c>
      <c r="I338" s="7"/>
      <c r="J338" s="7" t="s">
        <v>5469</v>
      </c>
      <c r="K338" s="7" t="s">
        <v>5627</v>
      </c>
    </row>
    <row r="339" customFormat="false" ht="67.5" hidden="false" customHeight="true" outlineLevel="0" collapsed="false">
      <c r="A339" s="7" t="n">
        <v>335</v>
      </c>
      <c r="B339" s="16" t="s">
        <v>5268</v>
      </c>
      <c r="C339" s="7" t="s">
        <v>4622</v>
      </c>
      <c r="D339" s="7" t="s">
        <v>15</v>
      </c>
      <c r="E339" s="7" t="s">
        <v>3996</v>
      </c>
      <c r="F339" s="7" t="s">
        <v>4030</v>
      </c>
      <c r="G339" s="7" t="n">
        <v>119</v>
      </c>
      <c r="H339" s="7" t="s">
        <v>20</v>
      </c>
      <c r="I339" s="7"/>
      <c r="J339" s="7" t="s">
        <v>5473</v>
      </c>
      <c r="K339" s="7" t="s">
        <v>5628</v>
      </c>
    </row>
    <row r="340" customFormat="false" ht="42" hidden="false" customHeight="true" outlineLevel="0" collapsed="false">
      <c r="A340" s="7" t="n">
        <v>336</v>
      </c>
      <c r="B340" s="16" t="s">
        <v>5276</v>
      </c>
      <c r="C340" s="7" t="s">
        <v>4625</v>
      </c>
      <c r="D340" s="7" t="s">
        <v>31</v>
      </c>
      <c r="E340" s="7" t="s">
        <v>4003</v>
      </c>
      <c r="F340" s="7" t="s">
        <v>4010</v>
      </c>
      <c r="G340" s="7" t="n">
        <v>62</v>
      </c>
      <c r="H340" s="7" t="s">
        <v>18</v>
      </c>
      <c r="I340" s="7" t="s">
        <v>5272</v>
      </c>
      <c r="J340" s="7" t="s">
        <v>5466</v>
      </c>
      <c r="K340" s="7" t="s">
        <v>5629</v>
      </c>
    </row>
    <row r="341" customFormat="false" ht="34.5" hidden="false" customHeight="true" outlineLevel="0" collapsed="false">
      <c r="A341" s="7" t="n">
        <v>337</v>
      </c>
      <c r="B341" s="16" t="s">
        <v>5274</v>
      </c>
      <c r="C341" s="7" t="s">
        <v>4628</v>
      </c>
      <c r="D341" s="7" t="s">
        <v>27</v>
      </c>
      <c r="E341" s="7" t="s">
        <v>4129</v>
      </c>
      <c r="F341" s="7" t="s">
        <v>4130</v>
      </c>
      <c r="G341" s="7" t="n">
        <v>24</v>
      </c>
      <c r="H341" s="7" t="s">
        <v>18</v>
      </c>
      <c r="I341" s="7"/>
      <c r="J341" s="7" t="s">
        <v>5502</v>
      </c>
      <c r="K341" s="7" t="s">
        <v>5630</v>
      </c>
    </row>
    <row r="342" customFormat="false" ht="34.5" hidden="false" customHeight="true" outlineLevel="0" collapsed="false">
      <c r="A342" s="7" t="n">
        <v>338</v>
      </c>
      <c r="B342" s="16" t="s">
        <v>5268</v>
      </c>
      <c r="C342" s="7" t="s">
        <v>4635</v>
      </c>
      <c r="D342" s="7" t="s">
        <v>25</v>
      </c>
      <c r="E342" s="7" t="s">
        <v>4003</v>
      </c>
      <c r="F342" s="7" t="s">
        <v>4224</v>
      </c>
      <c r="G342" s="7" t="n">
        <v>107</v>
      </c>
      <c r="H342" s="7" t="s">
        <v>20</v>
      </c>
      <c r="I342" s="7" t="s">
        <v>5272</v>
      </c>
      <c r="J342" s="7" t="s">
        <v>5527</v>
      </c>
      <c r="K342" s="7" t="s">
        <v>5631</v>
      </c>
    </row>
    <row r="343" customFormat="false" ht="42" hidden="false" customHeight="true" outlineLevel="0" collapsed="false">
      <c r="A343" s="7" t="n">
        <v>339</v>
      </c>
      <c r="B343" s="16" t="s">
        <v>5276</v>
      </c>
      <c r="C343" s="7" t="s">
        <v>4637</v>
      </c>
      <c r="D343" s="7" t="s">
        <v>31</v>
      </c>
      <c r="E343" s="7" t="s">
        <v>4003</v>
      </c>
      <c r="F343" s="7" t="s">
        <v>4010</v>
      </c>
      <c r="G343" s="7" t="n">
        <v>28</v>
      </c>
      <c r="H343" s="7" t="s">
        <v>18</v>
      </c>
      <c r="I343" s="7" t="s">
        <v>5272</v>
      </c>
      <c r="J343" s="7" t="s">
        <v>5466</v>
      </c>
      <c r="K343" s="7" t="s">
        <v>5632</v>
      </c>
    </row>
    <row r="344" customFormat="false" ht="34.5" hidden="false" customHeight="true" outlineLevel="0" collapsed="false">
      <c r="A344" s="7" t="n">
        <v>340</v>
      </c>
      <c r="B344" s="16" t="s">
        <v>5276</v>
      </c>
      <c r="C344" s="7" t="s">
        <v>4641</v>
      </c>
      <c r="D344" s="7" t="s">
        <v>19</v>
      </c>
      <c r="E344" s="7" t="s">
        <v>3217</v>
      </c>
      <c r="F344" s="7" t="s">
        <v>4139</v>
      </c>
      <c r="G344" s="7" t="n">
        <v>95</v>
      </c>
      <c r="H344" s="7" t="s">
        <v>20</v>
      </c>
      <c r="I344" s="7"/>
      <c r="J344" s="7" t="s">
        <v>5505</v>
      </c>
      <c r="K344" s="7" t="s">
        <v>5633</v>
      </c>
    </row>
    <row r="345" customFormat="false" ht="42" hidden="false" customHeight="true" outlineLevel="0" collapsed="false">
      <c r="A345" s="7" t="n">
        <v>341</v>
      </c>
      <c r="B345" s="16" t="s">
        <v>5271</v>
      </c>
      <c r="C345" s="7" t="s">
        <v>4645</v>
      </c>
      <c r="D345" s="7" t="s">
        <v>21</v>
      </c>
      <c r="E345" s="7" t="s">
        <v>4058</v>
      </c>
      <c r="F345" s="7" t="s">
        <v>4059</v>
      </c>
      <c r="G345" s="7" t="n">
        <v>101</v>
      </c>
      <c r="H345" s="7" t="s">
        <v>20</v>
      </c>
      <c r="I345" s="7"/>
      <c r="J345" s="7" t="s">
        <v>5481</v>
      </c>
      <c r="K345" s="7" t="s">
        <v>5634</v>
      </c>
    </row>
    <row r="346" customFormat="false" ht="34.5" hidden="false" customHeight="true" outlineLevel="0" collapsed="false">
      <c r="A346" s="7" t="n">
        <v>342</v>
      </c>
      <c r="B346" s="16" t="s">
        <v>5268</v>
      </c>
      <c r="C346" s="7" t="s">
        <v>4650</v>
      </c>
      <c r="D346" s="7" t="s">
        <v>15</v>
      </c>
      <c r="E346" s="7" t="s">
        <v>3996</v>
      </c>
      <c r="F346" s="7" t="s">
        <v>4030</v>
      </c>
      <c r="G346" s="7" t="n">
        <v>135</v>
      </c>
      <c r="H346" s="7" t="s">
        <v>20</v>
      </c>
      <c r="I346" s="7"/>
      <c r="J346" s="7" t="s">
        <v>5473</v>
      </c>
      <c r="K346" s="7" t="s">
        <v>5635</v>
      </c>
    </row>
    <row r="347" customFormat="false" ht="34.5" hidden="false" customHeight="true" outlineLevel="0" collapsed="false">
      <c r="A347" s="7" t="n">
        <v>343</v>
      </c>
      <c r="B347" s="16" t="s">
        <v>5271</v>
      </c>
      <c r="C347" s="7" t="s">
        <v>4653</v>
      </c>
      <c r="D347" s="7" t="s">
        <v>19</v>
      </c>
      <c r="E347" s="7" t="s">
        <v>4003</v>
      </c>
      <c r="F347" s="7" t="s">
        <v>4004</v>
      </c>
      <c r="G347" s="7" t="n">
        <v>27</v>
      </c>
      <c r="H347" s="7" t="s">
        <v>18</v>
      </c>
      <c r="I347" s="7"/>
      <c r="J347" s="7" t="s">
        <v>5464</v>
      </c>
      <c r="K347" s="7" t="s">
        <v>5636</v>
      </c>
    </row>
    <row r="348" customFormat="false" ht="54.75" hidden="false" customHeight="true" outlineLevel="0" collapsed="false">
      <c r="A348" s="7" t="n">
        <v>344</v>
      </c>
      <c r="B348" s="16" t="s">
        <v>5271</v>
      </c>
      <c r="C348" s="7" t="s">
        <v>4657</v>
      </c>
      <c r="D348" s="7" t="s">
        <v>15</v>
      </c>
      <c r="E348" s="7" t="s">
        <v>3996</v>
      </c>
      <c r="F348" s="7" t="s">
        <v>4030</v>
      </c>
      <c r="G348" s="7" t="n">
        <v>9</v>
      </c>
      <c r="H348" s="7" t="s">
        <v>20</v>
      </c>
      <c r="I348" s="7" t="s">
        <v>5272</v>
      </c>
      <c r="J348" s="7" t="s">
        <v>5473</v>
      </c>
      <c r="K348" s="7" t="s">
        <v>5637</v>
      </c>
    </row>
    <row r="349" customFormat="false" ht="34.5" hidden="false" customHeight="true" outlineLevel="0" collapsed="false">
      <c r="A349" s="7" t="n">
        <v>345</v>
      </c>
      <c r="B349" s="16" t="s">
        <v>5271</v>
      </c>
      <c r="C349" s="7" t="s">
        <v>4661</v>
      </c>
      <c r="D349" s="7" t="s">
        <v>29</v>
      </c>
      <c r="E349" s="7" t="s">
        <v>3217</v>
      </c>
      <c r="F349" s="7" t="s">
        <v>3898</v>
      </c>
      <c r="G349" s="7" t="n">
        <v>61</v>
      </c>
      <c r="H349" s="7" t="s">
        <v>20</v>
      </c>
      <c r="I349" s="7" t="s">
        <v>5272</v>
      </c>
      <c r="J349" s="7" t="s">
        <v>5440</v>
      </c>
      <c r="K349" s="7" t="s">
        <v>5638</v>
      </c>
    </row>
    <row r="350" customFormat="false" ht="34.5" hidden="false" customHeight="true" outlineLevel="0" collapsed="false">
      <c r="A350" s="7" t="n">
        <v>346</v>
      </c>
      <c r="B350" s="16" t="s">
        <v>5268</v>
      </c>
      <c r="C350" s="7" t="s">
        <v>4666</v>
      </c>
      <c r="D350" s="7" t="s">
        <v>17</v>
      </c>
      <c r="E350" s="7" t="s">
        <v>4044</v>
      </c>
      <c r="F350" s="7" t="s">
        <v>4045</v>
      </c>
      <c r="G350" s="7" t="n">
        <v>12</v>
      </c>
      <c r="H350" s="7" t="s">
        <v>18</v>
      </c>
      <c r="I350" s="7" t="s">
        <v>5272</v>
      </c>
      <c r="J350" s="7" t="s">
        <v>5477</v>
      </c>
      <c r="K350" s="7" t="s">
        <v>5639</v>
      </c>
    </row>
    <row r="351" customFormat="false" ht="42" hidden="false" customHeight="true" outlineLevel="0" collapsed="false">
      <c r="A351" s="7" t="n">
        <v>347</v>
      </c>
      <c r="B351" s="16" t="s">
        <v>5274</v>
      </c>
      <c r="C351" s="7" t="s">
        <v>4667</v>
      </c>
      <c r="D351" s="7" t="s">
        <v>22</v>
      </c>
      <c r="E351" s="7" t="s">
        <v>3996</v>
      </c>
      <c r="F351" s="7" t="s">
        <v>3997</v>
      </c>
      <c r="G351" s="7" t="n">
        <v>152</v>
      </c>
      <c r="H351" s="7" t="s">
        <v>20</v>
      </c>
      <c r="I351" s="7"/>
      <c r="J351" s="7" t="s">
        <v>5462</v>
      </c>
      <c r="K351" s="7" t="s">
        <v>5640</v>
      </c>
    </row>
    <row r="352" customFormat="false" ht="34.5" hidden="false" customHeight="true" outlineLevel="0" collapsed="false">
      <c r="A352" s="7" t="n">
        <v>348</v>
      </c>
      <c r="B352" s="16" t="s">
        <v>5276</v>
      </c>
      <c r="C352" s="7" t="s">
        <v>4672</v>
      </c>
      <c r="D352" s="7" t="s">
        <v>22</v>
      </c>
      <c r="E352" s="7" t="s">
        <v>3996</v>
      </c>
      <c r="F352" s="7" t="s">
        <v>3997</v>
      </c>
      <c r="G352" s="7" t="n">
        <v>146</v>
      </c>
      <c r="H352" s="7" t="s">
        <v>18</v>
      </c>
      <c r="I352" s="7"/>
      <c r="J352" s="7" t="s">
        <v>5462</v>
      </c>
      <c r="K352" s="7" t="s">
        <v>5641</v>
      </c>
    </row>
    <row r="353" customFormat="false" ht="34.5" hidden="false" customHeight="true" outlineLevel="0" collapsed="false">
      <c r="A353" s="7" t="n">
        <v>349</v>
      </c>
      <c r="B353" s="16" t="s">
        <v>5276</v>
      </c>
      <c r="C353" s="7" t="s">
        <v>4676</v>
      </c>
      <c r="D353" s="7" t="s">
        <v>23</v>
      </c>
      <c r="E353" s="7" t="s">
        <v>3217</v>
      </c>
      <c r="F353" s="7" t="s">
        <v>4038</v>
      </c>
      <c r="G353" s="7" t="n">
        <v>66</v>
      </c>
      <c r="H353" s="7" t="s">
        <v>18</v>
      </c>
      <c r="I353" s="7"/>
      <c r="J353" s="7" t="s">
        <v>5475</v>
      </c>
      <c r="K353" s="7" t="s">
        <v>5642</v>
      </c>
    </row>
    <row r="354" customFormat="false" ht="34.5" hidden="false" customHeight="true" outlineLevel="0" collapsed="false">
      <c r="A354" s="7" t="n">
        <v>350</v>
      </c>
      <c r="B354" s="16" t="s">
        <v>5274</v>
      </c>
      <c r="C354" s="7" t="s">
        <v>4679</v>
      </c>
      <c r="D354" s="7" t="s">
        <v>29</v>
      </c>
      <c r="E354" s="7" t="s">
        <v>3217</v>
      </c>
      <c r="F354" s="7" t="s">
        <v>3898</v>
      </c>
      <c r="G354" s="7" t="n">
        <v>15</v>
      </c>
      <c r="H354" s="7" t="s">
        <v>20</v>
      </c>
      <c r="I354" s="7" t="s">
        <v>5272</v>
      </c>
      <c r="J354" s="7" t="s">
        <v>5440</v>
      </c>
      <c r="K354" s="7" t="s">
        <v>5643</v>
      </c>
    </row>
    <row r="355" customFormat="false" ht="42" hidden="false" customHeight="true" outlineLevel="0" collapsed="false">
      <c r="A355" s="7" t="n">
        <v>351</v>
      </c>
      <c r="B355" s="16" t="s">
        <v>5274</v>
      </c>
      <c r="C355" s="7" t="s">
        <v>4683</v>
      </c>
      <c r="D355" s="7" t="s">
        <v>25</v>
      </c>
      <c r="E355" s="7" t="s">
        <v>3217</v>
      </c>
      <c r="F355" s="7" t="s">
        <v>4320</v>
      </c>
      <c r="G355" s="7" t="n">
        <v>107</v>
      </c>
      <c r="H355" s="7" t="s">
        <v>20</v>
      </c>
      <c r="I355" s="7" t="s">
        <v>5471</v>
      </c>
      <c r="J355" s="7" t="s">
        <v>5552</v>
      </c>
      <c r="K355" s="7" t="s">
        <v>5644</v>
      </c>
    </row>
    <row r="356" customFormat="false" ht="34.5" hidden="false" customHeight="true" outlineLevel="0" collapsed="false">
      <c r="A356" s="7" t="n">
        <v>352</v>
      </c>
      <c r="B356" s="16" t="s">
        <v>5274</v>
      </c>
      <c r="C356" s="7" t="s">
        <v>4687</v>
      </c>
      <c r="D356" s="7" t="s">
        <v>19</v>
      </c>
      <c r="E356" s="7" t="s">
        <v>3217</v>
      </c>
      <c r="F356" s="7" t="s">
        <v>4139</v>
      </c>
      <c r="G356" s="7" t="n">
        <v>96</v>
      </c>
      <c r="H356" s="7" t="s">
        <v>20</v>
      </c>
      <c r="I356" s="7" t="s">
        <v>5471</v>
      </c>
      <c r="J356" s="7" t="s">
        <v>5505</v>
      </c>
      <c r="K356" s="7" t="s">
        <v>5645</v>
      </c>
    </row>
    <row r="357" customFormat="false" ht="42" hidden="false" customHeight="true" outlineLevel="0" collapsed="false">
      <c r="A357" s="7" t="n">
        <v>353</v>
      </c>
      <c r="B357" s="16" t="s">
        <v>5268</v>
      </c>
      <c r="C357" s="7" t="s">
        <v>4693</v>
      </c>
      <c r="D357" s="7" t="s">
        <v>25</v>
      </c>
      <c r="E357" s="7" t="s">
        <v>4019</v>
      </c>
      <c r="F357" s="7" t="s">
        <v>4020</v>
      </c>
      <c r="G357" s="7" t="n">
        <v>102</v>
      </c>
      <c r="H357" s="7" t="s">
        <v>20</v>
      </c>
      <c r="I357" s="7" t="s">
        <v>5471</v>
      </c>
      <c r="J357" s="7" t="s">
        <v>5469</v>
      </c>
      <c r="K357" s="7" t="s">
        <v>5646</v>
      </c>
    </row>
    <row r="358" customFormat="false" ht="34.5" hidden="false" customHeight="true" outlineLevel="0" collapsed="false">
      <c r="A358" s="7" t="n">
        <v>354</v>
      </c>
      <c r="B358" s="16" t="s">
        <v>5271</v>
      </c>
      <c r="C358" s="7" t="s">
        <v>4696</v>
      </c>
      <c r="D358" s="7" t="s">
        <v>31</v>
      </c>
      <c r="E358" s="7" t="s">
        <v>4003</v>
      </c>
      <c r="F358" s="7" t="s">
        <v>4010</v>
      </c>
      <c r="G358" s="7" t="n">
        <v>110</v>
      </c>
      <c r="H358" s="7" t="s">
        <v>18</v>
      </c>
      <c r="I358" s="7"/>
      <c r="J358" s="7" t="s">
        <v>5466</v>
      </c>
      <c r="K358" s="7" t="s">
        <v>5647</v>
      </c>
    </row>
    <row r="359" customFormat="false" ht="54.75" hidden="false" customHeight="true" outlineLevel="0" collapsed="false">
      <c r="A359" s="7" t="n">
        <v>355</v>
      </c>
      <c r="B359" s="16" t="s">
        <v>5268</v>
      </c>
      <c r="C359" s="7" t="s">
        <v>4701</v>
      </c>
      <c r="D359" s="7" t="s">
        <v>27</v>
      </c>
      <c r="E359" s="7" t="s">
        <v>3996</v>
      </c>
      <c r="F359" s="7" t="s">
        <v>4070</v>
      </c>
      <c r="G359" s="7" t="n">
        <v>37</v>
      </c>
      <c r="H359" s="7" t="s">
        <v>18</v>
      </c>
      <c r="I359" s="7" t="s">
        <v>5272</v>
      </c>
      <c r="J359" s="7" t="s">
        <v>5484</v>
      </c>
      <c r="K359" s="7" t="s">
        <v>5648</v>
      </c>
    </row>
    <row r="360" customFormat="false" ht="34.5" hidden="false" customHeight="true" outlineLevel="0" collapsed="false">
      <c r="A360" s="7" t="n">
        <v>356</v>
      </c>
      <c r="B360" s="16" t="s">
        <v>5274</v>
      </c>
      <c r="C360" s="7" t="s">
        <v>4702</v>
      </c>
      <c r="D360" s="7" t="s">
        <v>23</v>
      </c>
      <c r="E360" s="7" t="s">
        <v>3217</v>
      </c>
      <c r="F360" s="7" t="s">
        <v>4038</v>
      </c>
      <c r="G360" s="7" t="n">
        <v>45</v>
      </c>
      <c r="H360" s="7" t="s">
        <v>18</v>
      </c>
      <c r="I360" s="7" t="s">
        <v>5272</v>
      </c>
      <c r="J360" s="7" t="s">
        <v>5475</v>
      </c>
      <c r="K360" s="7" t="s">
        <v>5649</v>
      </c>
    </row>
    <row r="361" customFormat="false" ht="42" hidden="false" customHeight="true" outlineLevel="0" collapsed="false">
      <c r="A361" s="7" t="n">
        <v>357</v>
      </c>
      <c r="B361" s="16" t="s">
        <v>5271</v>
      </c>
      <c r="C361" s="7" t="s">
        <v>4708</v>
      </c>
      <c r="D361" s="7" t="s">
        <v>15</v>
      </c>
      <c r="E361" s="7" t="s">
        <v>3217</v>
      </c>
      <c r="F361" s="7" t="s">
        <v>4143</v>
      </c>
      <c r="G361" s="7" t="n">
        <v>100</v>
      </c>
      <c r="H361" s="7" t="s">
        <v>20</v>
      </c>
      <c r="I361" s="7" t="s">
        <v>5471</v>
      </c>
      <c r="J361" s="7" t="s">
        <v>5507</v>
      </c>
      <c r="K361" s="7" t="s">
        <v>5650</v>
      </c>
    </row>
    <row r="362" customFormat="false" ht="34.5" hidden="false" customHeight="true" outlineLevel="0" collapsed="false">
      <c r="A362" s="7" t="n">
        <v>358</v>
      </c>
      <c r="B362" s="16" t="s">
        <v>5276</v>
      </c>
      <c r="C362" s="7" t="s">
        <v>4711</v>
      </c>
      <c r="D362" s="7" t="s">
        <v>19</v>
      </c>
      <c r="E362" s="7" t="s">
        <v>4003</v>
      </c>
      <c r="F362" s="7" t="s">
        <v>4004</v>
      </c>
      <c r="G362" s="7" t="n">
        <v>153</v>
      </c>
      <c r="H362" s="7" t="s">
        <v>20</v>
      </c>
      <c r="I362" s="7"/>
      <c r="J362" s="7" t="s">
        <v>5464</v>
      </c>
      <c r="K362" s="7" t="s">
        <v>5651</v>
      </c>
    </row>
    <row r="363" customFormat="false" ht="67.5" hidden="false" customHeight="true" outlineLevel="0" collapsed="false">
      <c r="A363" s="7" t="n">
        <v>359</v>
      </c>
      <c r="B363" s="16" t="s">
        <v>5268</v>
      </c>
      <c r="C363" s="7" t="s">
        <v>4717</v>
      </c>
      <c r="D363" s="7" t="s">
        <v>25</v>
      </c>
      <c r="E363" s="7" t="s">
        <v>4019</v>
      </c>
      <c r="F363" s="7" t="s">
        <v>4020</v>
      </c>
      <c r="G363" s="7" t="n">
        <v>109</v>
      </c>
      <c r="H363" s="7" t="s">
        <v>20</v>
      </c>
      <c r="I363" s="7" t="s">
        <v>5272</v>
      </c>
      <c r="J363" s="7" t="s">
        <v>5469</v>
      </c>
      <c r="K363" s="7" t="s">
        <v>5652</v>
      </c>
    </row>
    <row r="364" customFormat="false" ht="54.75" hidden="false" customHeight="true" outlineLevel="0" collapsed="false">
      <c r="A364" s="7" t="n">
        <v>360</v>
      </c>
      <c r="B364" s="16" t="s">
        <v>5271</v>
      </c>
      <c r="C364" s="7" t="s">
        <v>4720</v>
      </c>
      <c r="D364" s="7" t="s">
        <v>17</v>
      </c>
      <c r="E364" s="7" t="s">
        <v>4058</v>
      </c>
      <c r="F364" s="7" t="s">
        <v>4084</v>
      </c>
      <c r="G364" s="7" t="n">
        <v>92</v>
      </c>
      <c r="H364" s="7" t="s">
        <v>18</v>
      </c>
      <c r="I364" s="7" t="s">
        <v>5272</v>
      </c>
      <c r="J364" s="7" t="s">
        <v>5488</v>
      </c>
      <c r="K364" s="7" t="s">
        <v>5653</v>
      </c>
    </row>
    <row r="365" customFormat="false" ht="34.5" hidden="false" customHeight="true" outlineLevel="0" collapsed="false">
      <c r="A365" s="7" t="n">
        <v>361</v>
      </c>
      <c r="B365" s="16" t="s">
        <v>5276</v>
      </c>
      <c r="C365" s="7" t="s">
        <v>4723</v>
      </c>
      <c r="D365" s="7" t="s">
        <v>17</v>
      </c>
      <c r="E365" s="7" t="s">
        <v>4058</v>
      </c>
      <c r="F365" s="7" t="s">
        <v>4084</v>
      </c>
      <c r="G365" s="7" t="n">
        <v>7</v>
      </c>
      <c r="H365" s="7" t="s">
        <v>18</v>
      </c>
      <c r="I365" s="7"/>
      <c r="J365" s="7" t="s">
        <v>5488</v>
      </c>
      <c r="K365" s="7" t="s">
        <v>5654</v>
      </c>
    </row>
    <row r="366" customFormat="false" ht="67.5" hidden="false" customHeight="true" outlineLevel="0" collapsed="false">
      <c r="A366" s="7" t="n">
        <v>362</v>
      </c>
      <c r="B366" s="16" t="s">
        <v>5276</v>
      </c>
      <c r="C366" s="7" t="s">
        <v>4727</v>
      </c>
      <c r="D366" s="7" t="s">
        <v>22</v>
      </c>
      <c r="E366" s="7" t="s">
        <v>3996</v>
      </c>
      <c r="F366" s="7" t="s">
        <v>3997</v>
      </c>
      <c r="G366" s="7" t="n">
        <v>38</v>
      </c>
      <c r="H366" s="7" t="s">
        <v>18</v>
      </c>
      <c r="I366" s="7" t="s">
        <v>5272</v>
      </c>
      <c r="J366" s="7" t="s">
        <v>5462</v>
      </c>
      <c r="K366" s="7" t="s">
        <v>5655</v>
      </c>
    </row>
    <row r="367" customFormat="false" ht="34.5" hidden="false" customHeight="true" outlineLevel="0" collapsed="false">
      <c r="A367" s="7" t="n">
        <v>363</v>
      </c>
      <c r="B367" s="16" t="s">
        <v>5268</v>
      </c>
      <c r="C367" s="7" t="s">
        <v>4290</v>
      </c>
      <c r="D367" s="7" t="s">
        <v>31</v>
      </c>
      <c r="E367" s="7" t="s">
        <v>4003</v>
      </c>
      <c r="F367" s="7" t="s">
        <v>4010</v>
      </c>
      <c r="G367" s="7" t="n">
        <v>61</v>
      </c>
      <c r="H367" s="7" t="s">
        <v>18</v>
      </c>
      <c r="I367" s="7"/>
      <c r="J367" s="7" t="s">
        <v>5466</v>
      </c>
      <c r="K367" s="7" t="s">
        <v>5656</v>
      </c>
    </row>
    <row r="368" customFormat="false" ht="42" hidden="false" customHeight="true" outlineLevel="0" collapsed="false">
      <c r="A368" s="7" t="n">
        <v>364</v>
      </c>
      <c r="B368" s="16" t="s">
        <v>5271</v>
      </c>
      <c r="C368" s="7" t="s">
        <v>4734</v>
      </c>
      <c r="D368" s="7" t="s">
        <v>23</v>
      </c>
      <c r="E368" s="7" t="s">
        <v>3217</v>
      </c>
      <c r="F368" s="7" t="s">
        <v>4038</v>
      </c>
      <c r="G368" s="7" t="n">
        <v>35</v>
      </c>
      <c r="H368" s="7" t="s">
        <v>18</v>
      </c>
      <c r="I368" s="7"/>
      <c r="J368" s="7" t="s">
        <v>5475</v>
      </c>
      <c r="K368" s="7" t="s">
        <v>5657</v>
      </c>
    </row>
    <row r="369" customFormat="false" ht="34.5" hidden="false" customHeight="true" outlineLevel="0" collapsed="false">
      <c r="A369" s="7" t="n">
        <v>365</v>
      </c>
      <c r="B369" s="16" t="s">
        <v>5274</v>
      </c>
      <c r="C369" s="7" t="s">
        <v>4736</v>
      </c>
      <c r="D369" s="7" t="s">
        <v>15</v>
      </c>
      <c r="E369" s="7" t="s">
        <v>3217</v>
      </c>
      <c r="F369" s="7" t="s">
        <v>4143</v>
      </c>
      <c r="G369" s="7" t="n">
        <v>58</v>
      </c>
      <c r="H369" s="7" t="s">
        <v>20</v>
      </c>
      <c r="I369" s="7"/>
      <c r="J369" s="7" t="s">
        <v>5507</v>
      </c>
      <c r="K369" s="7" t="s">
        <v>5658</v>
      </c>
    </row>
    <row r="370" customFormat="false" ht="34.5" hidden="false" customHeight="true" outlineLevel="0" collapsed="false">
      <c r="A370" s="7" t="n">
        <v>366</v>
      </c>
      <c r="B370" s="16" t="s">
        <v>5276</v>
      </c>
      <c r="C370" s="7" t="s">
        <v>4741</v>
      </c>
      <c r="D370" s="7" t="s">
        <v>27</v>
      </c>
      <c r="E370" s="7" t="s">
        <v>4129</v>
      </c>
      <c r="F370" s="7" t="s">
        <v>4130</v>
      </c>
      <c r="G370" s="7" t="n">
        <v>9</v>
      </c>
      <c r="H370" s="7" t="s">
        <v>18</v>
      </c>
      <c r="I370" s="7" t="s">
        <v>5471</v>
      </c>
      <c r="J370" s="7" t="s">
        <v>5502</v>
      </c>
      <c r="K370" s="7" t="s">
        <v>5659</v>
      </c>
    </row>
    <row r="371" customFormat="false" ht="67.5" hidden="false" customHeight="true" outlineLevel="0" collapsed="false">
      <c r="A371" s="7" t="n">
        <v>367</v>
      </c>
      <c r="B371" s="16" t="s">
        <v>5276</v>
      </c>
      <c r="C371" s="7" t="s">
        <v>4745</v>
      </c>
      <c r="D371" s="7" t="s">
        <v>29</v>
      </c>
      <c r="E371" s="7" t="s">
        <v>3217</v>
      </c>
      <c r="F371" s="7" t="s">
        <v>3898</v>
      </c>
      <c r="G371" s="7" t="n">
        <v>12</v>
      </c>
      <c r="H371" s="7" t="s">
        <v>20</v>
      </c>
      <c r="I371" s="7"/>
      <c r="J371" s="7" t="s">
        <v>5440</v>
      </c>
      <c r="K371" s="7" t="s">
        <v>5660</v>
      </c>
    </row>
    <row r="372" customFormat="false" ht="34.5" hidden="false" customHeight="true" outlineLevel="0" collapsed="false">
      <c r="A372" s="7" t="n">
        <v>368</v>
      </c>
      <c r="B372" s="16" t="s">
        <v>5276</v>
      </c>
      <c r="C372" s="7" t="s">
        <v>4749</v>
      </c>
      <c r="D372" s="7" t="s">
        <v>19</v>
      </c>
      <c r="E372" s="7" t="s">
        <v>4003</v>
      </c>
      <c r="F372" s="7" t="s">
        <v>4004</v>
      </c>
      <c r="G372" s="7" t="n">
        <v>162</v>
      </c>
      <c r="H372" s="7" t="s">
        <v>20</v>
      </c>
      <c r="I372" s="7" t="s">
        <v>5272</v>
      </c>
      <c r="J372" s="7" t="s">
        <v>5464</v>
      </c>
      <c r="K372" s="7" t="s">
        <v>5661</v>
      </c>
    </row>
    <row r="373" customFormat="false" ht="42" hidden="false" customHeight="true" outlineLevel="0" collapsed="false">
      <c r="A373" s="7" t="n">
        <v>369</v>
      </c>
      <c r="B373" s="16" t="s">
        <v>5276</v>
      </c>
      <c r="C373" s="7" t="s">
        <v>4753</v>
      </c>
      <c r="D373" s="7" t="s">
        <v>19</v>
      </c>
      <c r="E373" s="7" t="s">
        <v>3217</v>
      </c>
      <c r="F373" s="7" t="s">
        <v>4139</v>
      </c>
      <c r="G373" s="7" t="n">
        <v>99</v>
      </c>
      <c r="H373" s="7" t="s">
        <v>20</v>
      </c>
      <c r="I373" s="7"/>
      <c r="J373" s="7" t="s">
        <v>5505</v>
      </c>
      <c r="K373" s="7" t="s">
        <v>5662</v>
      </c>
    </row>
    <row r="374" customFormat="false" ht="42" hidden="false" customHeight="true" outlineLevel="0" collapsed="false">
      <c r="A374" s="7" t="n">
        <v>370</v>
      </c>
      <c r="B374" s="16" t="s">
        <v>5276</v>
      </c>
      <c r="C374" s="7" t="s">
        <v>4756</v>
      </c>
      <c r="D374" s="7" t="s">
        <v>21</v>
      </c>
      <c r="E374" s="7" t="s">
        <v>4058</v>
      </c>
      <c r="F374" s="7" t="s">
        <v>4059</v>
      </c>
      <c r="G374" s="7" t="n">
        <v>84</v>
      </c>
      <c r="H374" s="7" t="s">
        <v>18</v>
      </c>
      <c r="I374" s="7"/>
      <c r="J374" s="7" t="s">
        <v>5481</v>
      </c>
      <c r="K374" s="7" t="s">
        <v>5663</v>
      </c>
    </row>
    <row r="375" customFormat="false" ht="67.5" hidden="false" customHeight="true" outlineLevel="0" collapsed="false">
      <c r="A375" s="7" t="n">
        <v>371</v>
      </c>
      <c r="B375" s="16" t="s">
        <v>5271</v>
      </c>
      <c r="C375" s="7" t="s">
        <v>4761</v>
      </c>
      <c r="D375" s="7" t="s">
        <v>23</v>
      </c>
      <c r="E375" s="7" t="s">
        <v>3217</v>
      </c>
      <c r="F375" s="7" t="s">
        <v>4038</v>
      </c>
      <c r="G375" s="7" t="n">
        <v>19</v>
      </c>
      <c r="H375" s="7" t="s">
        <v>18</v>
      </c>
      <c r="I375" s="7" t="s">
        <v>5272</v>
      </c>
      <c r="J375" s="7" t="s">
        <v>5475</v>
      </c>
      <c r="K375" s="7" t="s">
        <v>5664</v>
      </c>
    </row>
    <row r="376" customFormat="false" ht="34.5" hidden="false" customHeight="true" outlineLevel="0" collapsed="false">
      <c r="A376" s="7" t="n">
        <v>372</v>
      </c>
      <c r="B376" s="16" t="s">
        <v>5271</v>
      </c>
      <c r="C376" s="7" t="s">
        <v>4765</v>
      </c>
      <c r="D376" s="7" t="s">
        <v>17</v>
      </c>
      <c r="E376" s="7" t="s">
        <v>4044</v>
      </c>
      <c r="F376" s="7" t="s">
        <v>4045</v>
      </c>
      <c r="G376" s="7" t="n">
        <v>78</v>
      </c>
      <c r="H376" s="7" t="s">
        <v>18</v>
      </c>
      <c r="I376" s="7"/>
      <c r="J376" s="7" t="s">
        <v>5477</v>
      </c>
      <c r="K376" s="7" t="s">
        <v>5665</v>
      </c>
    </row>
    <row r="377" customFormat="false" ht="34.5" hidden="false" customHeight="true" outlineLevel="0" collapsed="false">
      <c r="A377" s="7" t="n">
        <v>373</v>
      </c>
      <c r="B377" s="16" t="s">
        <v>5268</v>
      </c>
      <c r="C377" s="7" t="s">
        <v>4770</v>
      </c>
      <c r="D377" s="7" t="s">
        <v>15</v>
      </c>
      <c r="E377" s="7" t="s">
        <v>3996</v>
      </c>
      <c r="F377" s="7" t="s">
        <v>4030</v>
      </c>
      <c r="G377" s="7" t="n">
        <v>47</v>
      </c>
      <c r="H377" s="7" t="s">
        <v>20</v>
      </c>
      <c r="I377" s="7" t="s">
        <v>5272</v>
      </c>
      <c r="J377" s="7" t="s">
        <v>5473</v>
      </c>
      <c r="K377" s="7" t="s">
        <v>5666</v>
      </c>
    </row>
    <row r="378" customFormat="false" ht="34.5" hidden="false" customHeight="true" outlineLevel="0" collapsed="false">
      <c r="A378" s="7" t="n">
        <v>374</v>
      </c>
      <c r="B378" s="16" t="s">
        <v>5268</v>
      </c>
      <c r="C378" s="7" t="s">
        <v>4774</v>
      </c>
      <c r="D378" s="7" t="s">
        <v>21</v>
      </c>
      <c r="E378" s="7" t="s">
        <v>4058</v>
      </c>
      <c r="F378" s="7" t="s">
        <v>4059</v>
      </c>
      <c r="G378" s="7" t="n">
        <v>71</v>
      </c>
      <c r="H378" s="7" t="s">
        <v>18</v>
      </c>
      <c r="I378" s="7"/>
      <c r="J378" s="7" t="s">
        <v>5481</v>
      </c>
      <c r="K378" s="7" t="s">
        <v>5667</v>
      </c>
    </row>
    <row r="379" customFormat="false" ht="34.5" hidden="false" customHeight="true" outlineLevel="0" collapsed="false">
      <c r="A379" s="7" t="n">
        <v>375</v>
      </c>
      <c r="B379" s="16" t="s">
        <v>5271</v>
      </c>
      <c r="C379" s="7" t="s">
        <v>4777</v>
      </c>
      <c r="D379" s="7" t="s">
        <v>25</v>
      </c>
      <c r="E379" s="7" t="s">
        <v>4003</v>
      </c>
      <c r="F379" s="7" t="s">
        <v>4224</v>
      </c>
      <c r="G379" s="7" t="n">
        <v>101</v>
      </c>
      <c r="H379" s="7" t="s">
        <v>20</v>
      </c>
      <c r="I379" s="7"/>
      <c r="J379" s="7" t="s">
        <v>5527</v>
      </c>
      <c r="K379" s="7" t="s">
        <v>5668</v>
      </c>
    </row>
    <row r="380" customFormat="false" ht="34.5" hidden="false" customHeight="true" outlineLevel="0" collapsed="false">
      <c r="A380" s="7" t="n">
        <v>376</v>
      </c>
      <c r="B380" s="16" t="s">
        <v>5276</v>
      </c>
      <c r="C380" s="7" t="s">
        <v>4780</v>
      </c>
      <c r="D380" s="7" t="s">
        <v>22</v>
      </c>
      <c r="E380" s="7" t="s">
        <v>3996</v>
      </c>
      <c r="F380" s="7" t="s">
        <v>3997</v>
      </c>
      <c r="G380" s="7" t="n">
        <v>113</v>
      </c>
      <c r="H380" s="7" t="s">
        <v>18</v>
      </c>
      <c r="I380" s="7"/>
      <c r="J380" s="7" t="s">
        <v>5462</v>
      </c>
      <c r="K380" s="7" t="s">
        <v>5669</v>
      </c>
    </row>
    <row r="381" customFormat="false" ht="54.75" hidden="false" customHeight="true" outlineLevel="0" collapsed="false">
      <c r="A381" s="7" t="n">
        <v>377</v>
      </c>
      <c r="B381" s="16" t="s">
        <v>5274</v>
      </c>
      <c r="C381" s="7" t="s">
        <v>4783</v>
      </c>
      <c r="D381" s="7" t="s">
        <v>27</v>
      </c>
      <c r="E381" s="7" t="s">
        <v>4129</v>
      </c>
      <c r="F381" s="7" t="s">
        <v>4130</v>
      </c>
      <c r="G381" s="7" t="n">
        <v>90</v>
      </c>
      <c r="H381" s="7" t="s">
        <v>18</v>
      </c>
      <c r="I381" s="7"/>
      <c r="J381" s="7" t="s">
        <v>5502</v>
      </c>
      <c r="K381" s="7" t="s">
        <v>5670</v>
      </c>
    </row>
    <row r="382" customFormat="false" ht="54.75" hidden="false" customHeight="true" outlineLevel="0" collapsed="false">
      <c r="A382" s="7" t="n">
        <v>378</v>
      </c>
      <c r="B382" s="16" t="s">
        <v>5274</v>
      </c>
      <c r="C382" s="7" t="s">
        <v>4787</v>
      </c>
      <c r="D382" s="7" t="s">
        <v>21</v>
      </c>
      <c r="E382" s="7" t="s">
        <v>4058</v>
      </c>
      <c r="F382" s="7" t="s">
        <v>4059</v>
      </c>
      <c r="G382" s="7" t="n">
        <v>105</v>
      </c>
      <c r="H382" s="7" t="s">
        <v>20</v>
      </c>
      <c r="I382" s="7"/>
      <c r="J382" s="7" t="s">
        <v>5481</v>
      </c>
      <c r="K382" s="7" t="s">
        <v>5671</v>
      </c>
    </row>
    <row r="383" customFormat="false" ht="54.75" hidden="false" customHeight="true" outlineLevel="0" collapsed="false">
      <c r="A383" s="7" t="n">
        <v>379</v>
      </c>
      <c r="B383" s="16" t="s">
        <v>5276</v>
      </c>
      <c r="C383" s="7" t="s">
        <v>4792</v>
      </c>
      <c r="D383" s="7" t="s">
        <v>15</v>
      </c>
      <c r="E383" s="7" t="s">
        <v>3996</v>
      </c>
      <c r="F383" s="7" t="s">
        <v>4030</v>
      </c>
      <c r="G383" s="7" t="n">
        <v>124</v>
      </c>
      <c r="H383" s="7" t="s">
        <v>20</v>
      </c>
      <c r="I383" s="7"/>
      <c r="J383" s="7" t="s">
        <v>5473</v>
      </c>
      <c r="K383" s="7" t="s">
        <v>5672</v>
      </c>
    </row>
    <row r="384" customFormat="false" ht="34.5" hidden="false" customHeight="true" outlineLevel="0" collapsed="false">
      <c r="A384" s="7" t="n">
        <v>380</v>
      </c>
      <c r="B384" s="16" t="s">
        <v>5274</v>
      </c>
      <c r="C384" s="7" t="s">
        <v>4795</v>
      </c>
      <c r="D384" s="7" t="s">
        <v>21</v>
      </c>
      <c r="E384" s="7" t="s">
        <v>3217</v>
      </c>
      <c r="F384" s="7" t="s">
        <v>4108</v>
      </c>
      <c r="G384" s="7" t="n">
        <v>67</v>
      </c>
      <c r="H384" s="7" t="s">
        <v>18</v>
      </c>
      <c r="I384" s="7"/>
      <c r="J384" s="7" t="s">
        <v>5496</v>
      </c>
      <c r="K384" s="7" t="s">
        <v>5673</v>
      </c>
    </row>
    <row r="385" customFormat="false" ht="42" hidden="false" customHeight="true" outlineLevel="0" collapsed="false">
      <c r="A385" s="7" t="n">
        <v>381</v>
      </c>
      <c r="B385" s="16" t="s">
        <v>5276</v>
      </c>
      <c r="C385" s="7" t="s">
        <v>4800</v>
      </c>
      <c r="D385" s="7" t="s">
        <v>31</v>
      </c>
      <c r="E385" s="7" t="s">
        <v>4003</v>
      </c>
      <c r="F385" s="7" t="s">
        <v>4010</v>
      </c>
      <c r="G385" s="7" t="n">
        <v>144</v>
      </c>
      <c r="H385" s="7" t="s">
        <v>18</v>
      </c>
      <c r="I385" s="7" t="s">
        <v>5272</v>
      </c>
      <c r="J385" s="7" t="s">
        <v>5466</v>
      </c>
      <c r="K385" s="7" t="s">
        <v>5674</v>
      </c>
    </row>
    <row r="386" customFormat="false" ht="67.5" hidden="false" customHeight="true" outlineLevel="0" collapsed="false">
      <c r="A386" s="7" t="n">
        <v>382</v>
      </c>
      <c r="B386" s="16" t="s">
        <v>5274</v>
      </c>
      <c r="C386" s="7" t="s">
        <v>4803</v>
      </c>
      <c r="D386" s="7" t="s">
        <v>29</v>
      </c>
      <c r="E386" s="7" t="s">
        <v>3217</v>
      </c>
      <c r="F386" s="7" t="s">
        <v>3898</v>
      </c>
      <c r="G386" s="7" t="n">
        <v>23</v>
      </c>
      <c r="H386" s="7" t="s">
        <v>20</v>
      </c>
      <c r="I386" s="7" t="s">
        <v>5272</v>
      </c>
      <c r="J386" s="7" t="s">
        <v>5440</v>
      </c>
      <c r="K386" s="7" t="s">
        <v>5675</v>
      </c>
    </row>
    <row r="387" customFormat="false" ht="34.5" hidden="false" customHeight="true" outlineLevel="0" collapsed="false">
      <c r="A387" s="7" t="n">
        <v>383</v>
      </c>
      <c r="B387" s="16" t="s">
        <v>5276</v>
      </c>
      <c r="C387" s="7" t="s">
        <v>4808</v>
      </c>
      <c r="D387" s="7" t="s">
        <v>23</v>
      </c>
      <c r="E387" s="7" t="s">
        <v>3217</v>
      </c>
      <c r="F387" s="7" t="s">
        <v>4038</v>
      </c>
      <c r="G387" s="7" t="n">
        <v>39</v>
      </c>
      <c r="H387" s="7" t="s">
        <v>18</v>
      </c>
      <c r="I387" s="7" t="s">
        <v>5272</v>
      </c>
      <c r="J387" s="7" t="s">
        <v>5475</v>
      </c>
      <c r="K387" s="7" t="s">
        <v>5676</v>
      </c>
    </row>
    <row r="388" customFormat="false" ht="42" hidden="false" customHeight="true" outlineLevel="0" collapsed="false">
      <c r="A388" s="7" t="n">
        <v>384</v>
      </c>
      <c r="B388" s="16" t="s">
        <v>5268</v>
      </c>
      <c r="C388" s="7" t="s">
        <v>4814</v>
      </c>
      <c r="D388" s="7" t="s">
        <v>22</v>
      </c>
      <c r="E388" s="7" t="s">
        <v>3996</v>
      </c>
      <c r="F388" s="7" t="s">
        <v>3997</v>
      </c>
      <c r="G388" s="7" t="n">
        <v>153</v>
      </c>
      <c r="H388" s="7" t="s">
        <v>20</v>
      </c>
      <c r="I388" s="7"/>
      <c r="J388" s="7" t="s">
        <v>5462</v>
      </c>
      <c r="K388" s="7" t="s">
        <v>5677</v>
      </c>
    </row>
    <row r="389" customFormat="false" ht="34.5" hidden="false" customHeight="true" outlineLevel="0" collapsed="false">
      <c r="A389" s="7" t="n">
        <v>385</v>
      </c>
      <c r="B389" s="16" t="s">
        <v>5276</v>
      </c>
      <c r="C389" s="7" t="s">
        <v>4817</v>
      </c>
      <c r="D389" s="7" t="s">
        <v>19</v>
      </c>
      <c r="E389" s="7" t="s">
        <v>4003</v>
      </c>
      <c r="F389" s="7" t="s">
        <v>4004</v>
      </c>
      <c r="G389" s="7" t="n">
        <v>165</v>
      </c>
      <c r="H389" s="7" t="s">
        <v>20</v>
      </c>
      <c r="I389" s="7"/>
      <c r="J389" s="7" t="s">
        <v>5464</v>
      </c>
      <c r="K389" s="7" t="s">
        <v>5678</v>
      </c>
    </row>
    <row r="390" customFormat="false" ht="54.75" hidden="false" customHeight="true" outlineLevel="0" collapsed="false">
      <c r="A390" s="7" t="n">
        <v>386</v>
      </c>
      <c r="B390" s="16" t="s">
        <v>5276</v>
      </c>
      <c r="C390" s="7" t="s">
        <v>4821</v>
      </c>
      <c r="D390" s="7" t="s">
        <v>27</v>
      </c>
      <c r="E390" s="7" t="s">
        <v>4129</v>
      </c>
      <c r="F390" s="7" t="s">
        <v>4130</v>
      </c>
      <c r="G390" s="7" t="n">
        <v>78</v>
      </c>
      <c r="H390" s="7" t="s">
        <v>18</v>
      </c>
      <c r="I390" s="7" t="s">
        <v>5272</v>
      </c>
      <c r="J390" s="7" t="s">
        <v>5502</v>
      </c>
      <c r="K390" s="7" t="s">
        <v>5679</v>
      </c>
    </row>
    <row r="391" customFormat="false" ht="34.5" hidden="false" customHeight="true" outlineLevel="0" collapsed="false">
      <c r="A391" s="7" t="n">
        <v>387</v>
      </c>
      <c r="B391" s="16" t="s">
        <v>5271</v>
      </c>
      <c r="C391" s="7" t="s">
        <v>4475</v>
      </c>
      <c r="D391" s="7" t="s">
        <v>15</v>
      </c>
      <c r="E391" s="7" t="s">
        <v>3217</v>
      </c>
      <c r="F391" s="7" t="s">
        <v>4143</v>
      </c>
      <c r="G391" s="7" t="n">
        <v>56</v>
      </c>
      <c r="H391" s="7" t="s">
        <v>20</v>
      </c>
      <c r="I391" s="7" t="s">
        <v>5471</v>
      </c>
      <c r="J391" s="7" t="s">
        <v>5507</v>
      </c>
      <c r="K391" s="7" t="s">
        <v>5680</v>
      </c>
    </row>
    <row r="392" customFormat="false" ht="34.5" hidden="false" customHeight="true" outlineLevel="0" collapsed="false">
      <c r="A392" s="7" t="n">
        <v>388</v>
      </c>
      <c r="B392" s="16" t="s">
        <v>5268</v>
      </c>
      <c r="C392" s="7" t="s">
        <v>4828</v>
      </c>
      <c r="D392" s="7" t="s">
        <v>19</v>
      </c>
      <c r="E392" s="7" t="s">
        <v>4003</v>
      </c>
      <c r="F392" s="7" t="s">
        <v>4004</v>
      </c>
      <c r="G392" s="7" t="n">
        <v>157</v>
      </c>
      <c r="H392" s="7" t="s">
        <v>20</v>
      </c>
      <c r="I392" s="7" t="s">
        <v>5272</v>
      </c>
      <c r="J392" s="7" t="s">
        <v>5464</v>
      </c>
      <c r="K392" s="7" t="s">
        <v>5681</v>
      </c>
    </row>
    <row r="393" customFormat="false" ht="34.5" hidden="false" customHeight="true" outlineLevel="0" collapsed="false">
      <c r="A393" s="7" t="n">
        <v>389</v>
      </c>
      <c r="B393" s="16" t="s">
        <v>5274</v>
      </c>
      <c r="C393" s="7" t="s">
        <v>4829</v>
      </c>
      <c r="D393" s="7" t="s">
        <v>27</v>
      </c>
      <c r="E393" s="7" t="s">
        <v>4129</v>
      </c>
      <c r="F393" s="7" t="s">
        <v>4130</v>
      </c>
      <c r="G393" s="7" t="n">
        <v>92</v>
      </c>
      <c r="H393" s="7" t="s">
        <v>18</v>
      </c>
      <c r="I393" s="7" t="s">
        <v>5272</v>
      </c>
      <c r="J393" s="7" t="s">
        <v>5502</v>
      </c>
      <c r="K393" s="7" t="s">
        <v>5682</v>
      </c>
    </row>
    <row r="394" customFormat="false" ht="34.5" hidden="false" customHeight="true" outlineLevel="0" collapsed="false">
      <c r="A394" s="7" t="n">
        <v>390</v>
      </c>
      <c r="B394" s="16" t="s">
        <v>5268</v>
      </c>
      <c r="C394" s="7" t="s">
        <v>4836</v>
      </c>
      <c r="D394" s="7" t="s">
        <v>27</v>
      </c>
      <c r="E394" s="7" t="s">
        <v>3996</v>
      </c>
      <c r="F394" s="7" t="s">
        <v>4070</v>
      </c>
      <c r="G394" s="7" t="n">
        <v>110</v>
      </c>
      <c r="H394" s="7" t="s">
        <v>20</v>
      </c>
      <c r="I394" s="7" t="s">
        <v>5272</v>
      </c>
      <c r="J394" s="7" t="s">
        <v>5484</v>
      </c>
      <c r="K394" s="7" t="s">
        <v>5683</v>
      </c>
    </row>
    <row r="395" customFormat="false" ht="42" hidden="false" customHeight="true" outlineLevel="0" collapsed="false">
      <c r="A395" s="7" t="n">
        <v>391</v>
      </c>
      <c r="B395" s="16" t="s">
        <v>5274</v>
      </c>
      <c r="C395" s="7" t="s">
        <v>4837</v>
      </c>
      <c r="D395" s="7" t="s">
        <v>21</v>
      </c>
      <c r="E395" s="7" t="s">
        <v>4058</v>
      </c>
      <c r="F395" s="7" t="s">
        <v>4059</v>
      </c>
      <c r="G395" s="7" t="n">
        <v>103</v>
      </c>
      <c r="H395" s="7" t="s">
        <v>20</v>
      </c>
      <c r="I395" s="7" t="s">
        <v>5272</v>
      </c>
      <c r="J395" s="7" t="s">
        <v>5481</v>
      </c>
      <c r="K395" s="7" t="s">
        <v>5684</v>
      </c>
    </row>
    <row r="396" customFormat="false" ht="34.5" hidden="false" customHeight="true" outlineLevel="0" collapsed="false">
      <c r="A396" s="7" t="n">
        <v>392</v>
      </c>
      <c r="B396" s="16" t="s">
        <v>5276</v>
      </c>
      <c r="C396" s="7" t="s">
        <v>4842</v>
      </c>
      <c r="D396" s="7" t="s">
        <v>29</v>
      </c>
      <c r="E396" s="7" t="s">
        <v>3217</v>
      </c>
      <c r="F396" s="7" t="s">
        <v>3898</v>
      </c>
      <c r="G396" s="7" t="n">
        <v>63</v>
      </c>
      <c r="H396" s="7" t="s">
        <v>20</v>
      </c>
      <c r="I396" s="7" t="s">
        <v>5495</v>
      </c>
      <c r="J396" s="7" t="s">
        <v>5440</v>
      </c>
      <c r="K396" s="7" t="s">
        <v>5685</v>
      </c>
    </row>
    <row r="397" customFormat="false" ht="34.5" hidden="false" customHeight="true" outlineLevel="0" collapsed="false">
      <c r="A397" s="7" t="n">
        <v>393</v>
      </c>
      <c r="B397" s="16" t="s">
        <v>5271</v>
      </c>
      <c r="C397" s="7" t="s">
        <v>4847</v>
      </c>
      <c r="D397" s="7" t="s">
        <v>23</v>
      </c>
      <c r="E397" s="7" t="s">
        <v>3217</v>
      </c>
      <c r="F397" s="7" t="s">
        <v>4038</v>
      </c>
      <c r="G397" s="7" t="n">
        <v>65</v>
      </c>
      <c r="H397" s="7" t="s">
        <v>18</v>
      </c>
      <c r="I397" s="7"/>
      <c r="J397" s="7" t="s">
        <v>5475</v>
      </c>
      <c r="K397" s="7" t="s">
        <v>5686</v>
      </c>
    </row>
    <row r="398" customFormat="false" ht="34.5" hidden="false" customHeight="true" outlineLevel="0" collapsed="false">
      <c r="A398" s="7" t="n">
        <v>394</v>
      </c>
      <c r="B398" s="16" t="s">
        <v>5271</v>
      </c>
      <c r="C398" s="7" t="s">
        <v>4687</v>
      </c>
      <c r="D398" s="7" t="s">
        <v>19</v>
      </c>
      <c r="E398" s="7" t="s">
        <v>3217</v>
      </c>
      <c r="F398" s="7" t="s">
        <v>4139</v>
      </c>
      <c r="G398" s="7" t="n">
        <v>32</v>
      </c>
      <c r="H398" s="7" t="s">
        <v>18</v>
      </c>
      <c r="I398" s="7"/>
      <c r="J398" s="7" t="s">
        <v>5505</v>
      </c>
      <c r="K398" s="7" t="s">
        <v>5687</v>
      </c>
    </row>
    <row r="399" customFormat="false" ht="34.5" hidden="false" customHeight="true" outlineLevel="0" collapsed="false">
      <c r="A399" s="7" t="n">
        <v>395</v>
      </c>
      <c r="B399" s="16" t="s">
        <v>5271</v>
      </c>
      <c r="C399" s="7" t="s">
        <v>4852</v>
      </c>
      <c r="D399" s="7" t="s">
        <v>31</v>
      </c>
      <c r="E399" s="7" t="s">
        <v>4003</v>
      </c>
      <c r="F399" s="7" t="s">
        <v>4010</v>
      </c>
      <c r="G399" s="7" t="n">
        <v>65</v>
      </c>
      <c r="H399" s="7" t="s">
        <v>18</v>
      </c>
      <c r="I399" s="7" t="s">
        <v>5272</v>
      </c>
      <c r="J399" s="7" t="s">
        <v>5466</v>
      </c>
      <c r="K399" s="7" t="s">
        <v>5688</v>
      </c>
    </row>
    <row r="400" customFormat="false" ht="34.5" hidden="false" customHeight="true" outlineLevel="0" collapsed="false">
      <c r="A400" s="7" t="n">
        <v>396</v>
      </c>
      <c r="B400" s="16" t="s">
        <v>5268</v>
      </c>
      <c r="C400" s="7" t="s">
        <v>4857</v>
      </c>
      <c r="D400" s="7" t="s">
        <v>19</v>
      </c>
      <c r="E400" s="7" t="s">
        <v>4003</v>
      </c>
      <c r="F400" s="7" t="s">
        <v>4004</v>
      </c>
      <c r="G400" s="7" t="n">
        <v>163</v>
      </c>
      <c r="H400" s="7" t="s">
        <v>20</v>
      </c>
      <c r="I400" s="7"/>
      <c r="J400" s="7" t="s">
        <v>5464</v>
      </c>
      <c r="K400" s="7" t="s">
        <v>5689</v>
      </c>
    </row>
    <row r="401" customFormat="false" ht="42" hidden="false" customHeight="true" outlineLevel="0" collapsed="false">
      <c r="A401" s="7" t="n">
        <v>397</v>
      </c>
      <c r="B401" s="16" t="s">
        <v>5274</v>
      </c>
      <c r="C401" s="7" t="s">
        <v>4858</v>
      </c>
      <c r="D401" s="7" t="s">
        <v>31</v>
      </c>
      <c r="E401" s="7" t="s">
        <v>4003</v>
      </c>
      <c r="F401" s="7" t="s">
        <v>4010</v>
      </c>
      <c r="G401" s="7" t="n">
        <v>19</v>
      </c>
      <c r="H401" s="7" t="s">
        <v>18</v>
      </c>
      <c r="I401" s="7" t="s">
        <v>5272</v>
      </c>
      <c r="J401" s="7" t="s">
        <v>5466</v>
      </c>
      <c r="K401" s="7" t="s">
        <v>5690</v>
      </c>
    </row>
    <row r="402" customFormat="false" ht="34.5" hidden="false" customHeight="true" outlineLevel="0" collapsed="false">
      <c r="A402" s="7" t="n">
        <v>398</v>
      </c>
      <c r="B402" s="16" t="s">
        <v>5271</v>
      </c>
      <c r="C402" s="7" t="s">
        <v>4864</v>
      </c>
      <c r="D402" s="7" t="s">
        <v>22</v>
      </c>
      <c r="E402" s="7" t="s">
        <v>3996</v>
      </c>
      <c r="F402" s="7" t="s">
        <v>3997</v>
      </c>
      <c r="G402" s="7" t="n">
        <v>65</v>
      </c>
      <c r="H402" s="7" t="s">
        <v>18</v>
      </c>
      <c r="I402" s="7"/>
      <c r="J402" s="7" t="s">
        <v>5462</v>
      </c>
      <c r="K402" s="7" t="s">
        <v>5691</v>
      </c>
    </row>
    <row r="403" customFormat="false" ht="42" hidden="false" customHeight="true" outlineLevel="0" collapsed="false">
      <c r="A403" s="7" t="n">
        <v>399</v>
      </c>
      <c r="B403" s="16" t="s">
        <v>5274</v>
      </c>
      <c r="C403" s="7" t="s">
        <v>4866</v>
      </c>
      <c r="D403" s="7" t="s">
        <v>19</v>
      </c>
      <c r="E403" s="7" t="s">
        <v>3217</v>
      </c>
      <c r="F403" s="7" t="s">
        <v>4139</v>
      </c>
      <c r="G403" s="7" t="n">
        <v>97</v>
      </c>
      <c r="H403" s="7" t="s">
        <v>20</v>
      </c>
      <c r="I403" s="7"/>
      <c r="J403" s="7" t="s">
        <v>5505</v>
      </c>
      <c r="K403" s="7" t="s">
        <v>5692</v>
      </c>
    </row>
    <row r="404" customFormat="false" ht="34.5" hidden="false" customHeight="true" outlineLevel="0" collapsed="false">
      <c r="A404" s="7" t="n">
        <v>400</v>
      </c>
      <c r="B404" s="16" t="s">
        <v>5271</v>
      </c>
      <c r="C404" s="7" t="s">
        <v>4870</v>
      </c>
      <c r="D404" s="7" t="s">
        <v>27</v>
      </c>
      <c r="E404" s="7" t="s">
        <v>4129</v>
      </c>
      <c r="F404" s="7" t="s">
        <v>4130</v>
      </c>
      <c r="G404" s="7" t="n">
        <v>74</v>
      </c>
      <c r="H404" s="7" t="s">
        <v>18</v>
      </c>
      <c r="I404" s="7" t="s">
        <v>5471</v>
      </c>
      <c r="J404" s="7" t="s">
        <v>5502</v>
      </c>
      <c r="K404" s="7" t="s">
        <v>5693</v>
      </c>
    </row>
    <row r="405" customFormat="false" ht="34.5" hidden="false" customHeight="true" outlineLevel="0" collapsed="false">
      <c r="A405" s="7" t="n">
        <v>401</v>
      </c>
      <c r="B405" s="16" t="s">
        <v>5268</v>
      </c>
      <c r="C405" s="7" t="s">
        <v>4875</v>
      </c>
      <c r="D405" s="7" t="s">
        <v>31</v>
      </c>
      <c r="E405" s="7" t="s">
        <v>4003</v>
      </c>
      <c r="F405" s="7" t="s">
        <v>4010</v>
      </c>
      <c r="G405" s="7" t="n">
        <v>5</v>
      </c>
      <c r="H405" s="7" t="s">
        <v>18</v>
      </c>
      <c r="I405" s="7"/>
      <c r="J405" s="7" t="s">
        <v>5466</v>
      </c>
      <c r="K405" s="7" t="s">
        <v>5694</v>
      </c>
    </row>
    <row r="406" customFormat="false" ht="34.5" hidden="false" customHeight="true" outlineLevel="0" collapsed="false">
      <c r="A406" s="7" t="n">
        <v>402</v>
      </c>
      <c r="B406" s="16" t="s">
        <v>5274</v>
      </c>
      <c r="C406" s="7" t="s">
        <v>4876</v>
      </c>
      <c r="D406" s="7" t="s">
        <v>19</v>
      </c>
      <c r="E406" s="7" t="s">
        <v>3217</v>
      </c>
      <c r="F406" s="7" t="s">
        <v>4139</v>
      </c>
      <c r="G406" s="7" t="n">
        <v>91</v>
      </c>
      <c r="H406" s="7" t="s">
        <v>20</v>
      </c>
      <c r="I406" s="7"/>
      <c r="J406" s="7" t="s">
        <v>5505</v>
      </c>
      <c r="K406" s="7" t="s">
        <v>5695</v>
      </c>
    </row>
    <row r="407" customFormat="false" ht="34.5" hidden="false" customHeight="true" outlineLevel="0" collapsed="false">
      <c r="A407" s="7" t="n">
        <v>403</v>
      </c>
      <c r="B407" s="16" t="s">
        <v>5276</v>
      </c>
      <c r="C407" s="7" t="s">
        <v>4880</v>
      </c>
      <c r="D407" s="7" t="s">
        <v>22</v>
      </c>
      <c r="E407" s="7" t="s">
        <v>3996</v>
      </c>
      <c r="F407" s="7" t="s">
        <v>3997</v>
      </c>
      <c r="G407" s="7" t="n">
        <v>85</v>
      </c>
      <c r="H407" s="7" t="s">
        <v>18</v>
      </c>
      <c r="I407" s="7"/>
      <c r="J407" s="7" t="s">
        <v>5462</v>
      </c>
      <c r="K407" s="7" t="s">
        <v>5696</v>
      </c>
    </row>
    <row r="408" customFormat="false" ht="42" hidden="false" customHeight="true" outlineLevel="0" collapsed="false">
      <c r="A408" s="7" t="n">
        <v>404</v>
      </c>
      <c r="B408" s="16" t="s">
        <v>5274</v>
      </c>
      <c r="C408" s="7" t="s">
        <v>4883</v>
      </c>
      <c r="D408" s="7" t="s">
        <v>31</v>
      </c>
      <c r="E408" s="7" t="s">
        <v>4003</v>
      </c>
      <c r="F408" s="7" t="s">
        <v>4010</v>
      </c>
      <c r="G408" s="7" t="n">
        <v>49</v>
      </c>
      <c r="H408" s="7" t="s">
        <v>18</v>
      </c>
      <c r="I408" s="7" t="s">
        <v>5272</v>
      </c>
      <c r="J408" s="7" t="s">
        <v>5466</v>
      </c>
      <c r="K408" s="7" t="s">
        <v>5697</v>
      </c>
    </row>
    <row r="409" customFormat="false" ht="42" hidden="false" customHeight="true" outlineLevel="0" collapsed="false">
      <c r="A409" s="7" t="n">
        <v>405</v>
      </c>
      <c r="B409" s="16" t="s">
        <v>5268</v>
      </c>
      <c r="C409" s="7" t="s">
        <v>4890</v>
      </c>
      <c r="D409" s="7" t="s">
        <v>15</v>
      </c>
      <c r="E409" s="7" t="s">
        <v>3217</v>
      </c>
      <c r="F409" s="7" t="s">
        <v>4143</v>
      </c>
      <c r="G409" s="7" t="n">
        <v>99</v>
      </c>
      <c r="H409" s="7" t="s">
        <v>20</v>
      </c>
      <c r="I409" s="7"/>
      <c r="J409" s="7" t="s">
        <v>5507</v>
      </c>
      <c r="K409" s="7" t="s">
        <v>5698</v>
      </c>
    </row>
    <row r="410" customFormat="false" ht="54.75" hidden="false" customHeight="true" outlineLevel="0" collapsed="false">
      <c r="A410" s="7" t="n">
        <v>406</v>
      </c>
      <c r="B410" s="16" t="s">
        <v>5276</v>
      </c>
      <c r="C410" s="7" t="s">
        <v>4892</v>
      </c>
      <c r="D410" s="7" t="s">
        <v>19</v>
      </c>
      <c r="E410" s="7" t="s">
        <v>3217</v>
      </c>
      <c r="F410" s="7" t="s">
        <v>4139</v>
      </c>
      <c r="G410" s="7" t="n">
        <v>5</v>
      </c>
      <c r="H410" s="7" t="s">
        <v>18</v>
      </c>
      <c r="I410" s="7"/>
      <c r="J410" s="7" t="s">
        <v>5505</v>
      </c>
      <c r="K410" s="7" t="s">
        <v>5699</v>
      </c>
    </row>
    <row r="411" customFormat="false" ht="93.75" hidden="false" customHeight="true" outlineLevel="0" collapsed="false">
      <c r="A411" s="7" t="n">
        <v>407</v>
      </c>
      <c r="B411" s="16" t="s">
        <v>5268</v>
      </c>
      <c r="C411" s="7" t="s">
        <v>4897</v>
      </c>
      <c r="D411" s="7" t="s">
        <v>27</v>
      </c>
      <c r="E411" s="7" t="s">
        <v>3996</v>
      </c>
      <c r="F411" s="7" t="s">
        <v>4070</v>
      </c>
      <c r="G411" s="7" t="n">
        <v>101</v>
      </c>
      <c r="H411" s="7" t="s">
        <v>20</v>
      </c>
      <c r="I411" s="7"/>
      <c r="J411" s="7" t="s">
        <v>5484</v>
      </c>
      <c r="K411" s="7" t="s">
        <v>5700</v>
      </c>
    </row>
    <row r="412" customFormat="false" ht="34.5" hidden="false" customHeight="true" outlineLevel="0" collapsed="false">
      <c r="A412" s="7" t="n">
        <v>408</v>
      </c>
      <c r="B412" s="16" t="s">
        <v>5271</v>
      </c>
      <c r="C412" s="7" t="s">
        <v>4900</v>
      </c>
      <c r="D412" s="7" t="s">
        <v>27</v>
      </c>
      <c r="E412" s="7" t="s">
        <v>3996</v>
      </c>
      <c r="F412" s="7" t="s">
        <v>4070</v>
      </c>
      <c r="G412" s="7" t="n">
        <v>108</v>
      </c>
      <c r="H412" s="7" t="s">
        <v>20</v>
      </c>
      <c r="I412" s="7"/>
      <c r="J412" s="7" t="s">
        <v>5484</v>
      </c>
      <c r="K412" s="7" t="s">
        <v>5701</v>
      </c>
    </row>
    <row r="413" customFormat="false" ht="54.75" hidden="false" customHeight="true" outlineLevel="0" collapsed="false">
      <c r="A413" s="7" t="n">
        <v>409</v>
      </c>
      <c r="B413" s="16" t="s">
        <v>5276</v>
      </c>
      <c r="C413" s="7" t="s">
        <v>4903</v>
      </c>
      <c r="D413" s="7" t="s">
        <v>19</v>
      </c>
      <c r="E413" s="7" t="s">
        <v>3217</v>
      </c>
      <c r="F413" s="7" t="s">
        <v>4139</v>
      </c>
      <c r="G413" s="7" t="n">
        <v>98</v>
      </c>
      <c r="H413" s="7" t="s">
        <v>20</v>
      </c>
      <c r="I413" s="7" t="s">
        <v>5272</v>
      </c>
      <c r="J413" s="7" t="s">
        <v>5505</v>
      </c>
      <c r="K413" s="7" t="s">
        <v>5702</v>
      </c>
    </row>
    <row r="414" customFormat="false" ht="54.75" hidden="false" customHeight="true" outlineLevel="0" collapsed="false">
      <c r="A414" s="7" t="n">
        <v>410</v>
      </c>
      <c r="B414" s="16" t="s">
        <v>5274</v>
      </c>
      <c r="C414" s="7" t="s">
        <v>4905</v>
      </c>
      <c r="D414" s="7" t="s">
        <v>17</v>
      </c>
      <c r="E414" s="7" t="s">
        <v>4058</v>
      </c>
      <c r="F414" s="7" t="s">
        <v>4084</v>
      </c>
      <c r="G414" s="7" t="n">
        <v>32</v>
      </c>
      <c r="H414" s="7" t="s">
        <v>18</v>
      </c>
      <c r="I414" s="7"/>
      <c r="J414" s="7" t="s">
        <v>5488</v>
      </c>
      <c r="K414" s="7" t="s">
        <v>5703</v>
      </c>
    </row>
    <row r="415" customFormat="false" ht="34.5" hidden="false" customHeight="true" outlineLevel="0" collapsed="false">
      <c r="A415" s="7" t="n">
        <v>411</v>
      </c>
      <c r="B415" s="16" t="s">
        <v>5271</v>
      </c>
      <c r="C415" s="7" t="s">
        <v>4911</v>
      </c>
      <c r="D415" s="7" t="s">
        <v>27</v>
      </c>
      <c r="E415" s="7" t="s">
        <v>3996</v>
      </c>
      <c r="F415" s="7" t="s">
        <v>4070</v>
      </c>
      <c r="G415" s="7" t="n">
        <v>11</v>
      </c>
      <c r="H415" s="7" t="s">
        <v>18</v>
      </c>
      <c r="I415" s="7"/>
      <c r="J415" s="7" t="s">
        <v>5484</v>
      </c>
      <c r="K415" s="7" t="s">
        <v>5704</v>
      </c>
    </row>
    <row r="416" customFormat="false" ht="42" hidden="false" customHeight="true" outlineLevel="0" collapsed="false">
      <c r="A416" s="7" t="n">
        <v>412</v>
      </c>
      <c r="B416" s="16" t="s">
        <v>5274</v>
      </c>
      <c r="C416" s="7" t="s">
        <v>4913</v>
      </c>
      <c r="D416" s="7" t="s">
        <v>31</v>
      </c>
      <c r="E416" s="7" t="s">
        <v>4003</v>
      </c>
      <c r="F416" s="7" t="s">
        <v>4010</v>
      </c>
      <c r="G416" s="7" t="n">
        <v>74</v>
      </c>
      <c r="H416" s="7" t="s">
        <v>18</v>
      </c>
      <c r="I416" s="7" t="s">
        <v>5272</v>
      </c>
      <c r="J416" s="7" t="s">
        <v>5466</v>
      </c>
      <c r="K416" s="7" t="s">
        <v>5705</v>
      </c>
    </row>
    <row r="417" customFormat="false" ht="34.5" hidden="false" customHeight="true" outlineLevel="0" collapsed="false">
      <c r="A417" s="7" t="n">
        <v>413</v>
      </c>
      <c r="B417" s="16" t="s">
        <v>5268</v>
      </c>
      <c r="C417" s="7" t="s">
        <v>4920</v>
      </c>
      <c r="D417" s="7" t="s">
        <v>22</v>
      </c>
      <c r="E417" s="7" t="s">
        <v>3996</v>
      </c>
      <c r="F417" s="7" t="s">
        <v>3997</v>
      </c>
      <c r="G417" s="7" t="n">
        <v>123</v>
      </c>
      <c r="H417" s="7" t="s">
        <v>18</v>
      </c>
      <c r="I417" s="7" t="s">
        <v>5272</v>
      </c>
      <c r="J417" s="7" t="s">
        <v>5462</v>
      </c>
      <c r="K417" s="7" t="s">
        <v>5706</v>
      </c>
    </row>
    <row r="418" customFormat="false" ht="42" hidden="false" customHeight="true" outlineLevel="0" collapsed="false">
      <c r="A418" s="7" t="n">
        <v>414</v>
      </c>
      <c r="B418" s="16" t="s">
        <v>5276</v>
      </c>
      <c r="C418" s="7" t="s">
        <v>4922</v>
      </c>
      <c r="D418" s="7" t="s">
        <v>29</v>
      </c>
      <c r="E418" s="7" t="s">
        <v>3217</v>
      </c>
      <c r="F418" s="7" t="s">
        <v>3898</v>
      </c>
      <c r="G418" s="7" t="n">
        <v>36</v>
      </c>
      <c r="H418" s="7" t="s">
        <v>20</v>
      </c>
      <c r="I418" s="7" t="s">
        <v>5272</v>
      </c>
      <c r="J418" s="7" t="s">
        <v>5440</v>
      </c>
      <c r="K418" s="7" t="s">
        <v>5707</v>
      </c>
    </row>
    <row r="419" customFormat="false" ht="34.5" hidden="false" customHeight="true" outlineLevel="0" collapsed="false">
      <c r="A419" s="7" t="n">
        <v>415</v>
      </c>
      <c r="B419" s="16" t="s">
        <v>5276</v>
      </c>
      <c r="C419" s="7" t="s">
        <v>4926</v>
      </c>
      <c r="D419" s="7" t="s">
        <v>25</v>
      </c>
      <c r="E419" s="7" t="s">
        <v>4019</v>
      </c>
      <c r="F419" s="7" t="s">
        <v>4020</v>
      </c>
      <c r="G419" s="7" t="n">
        <v>18</v>
      </c>
      <c r="H419" s="7" t="s">
        <v>18</v>
      </c>
      <c r="I419" s="7"/>
      <c r="J419" s="7" t="s">
        <v>5469</v>
      </c>
      <c r="K419" s="7" t="s">
        <v>5708</v>
      </c>
    </row>
    <row r="420" customFormat="false" ht="42" hidden="false" customHeight="true" outlineLevel="0" collapsed="false">
      <c r="A420" s="7" t="n">
        <v>416</v>
      </c>
      <c r="B420" s="16" t="s">
        <v>5271</v>
      </c>
      <c r="C420" s="7" t="s">
        <v>4930</v>
      </c>
      <c r="D420" s="7" t="s">
        <v>19</v>
      </c>
      <c r="E420" s="7" t="s">
        <v>4003</v>
      </c>
      <c r="F420" s="7" t="s">
        <v>4004</v>
      </c>
      <c r="G420" s="7" t="n">
        <v>151</v>
      </c>
      <c r="H420" s="7" t="s">
        <v>20</v>
      </c>
      <c r="I420" s="7"/>
      <c r="J420" s="7" t="s">
        <v>5464</v>
      </c>
      <c r="K420" s="7" t="s">
        <v>5709</v>
      </c>
    </row>
    <row r="421" customFormat="false" ht="34.5" hidden="false" customHeight="true" outlineLevel="0" collapsed="false">
      <c r="A421" s="7" t="n">
        <v>417</v>
      </c>
      <c r="B421" s="16" t="s">
        <v>5276</v>
      </c>
      <c r="C421" s="7" t="s">
        <v>4933</v>
      </c>
      <c r="D421" s="7" t="s">
        <v>23</v>
      </c>
      <c r="E421" s="7" t="s">
        <v>3217</v>
      </c>
      <c r="F421" s="7" t="s">
        <v>4038</v>
      </c>
      <c r="G421" s="7" t="n">
        <v>15</v>
      </c>
      <c r="H421" s="7" t="s">
        <v>18</v>
      </c>
      <c r="I421" s="7"/>
      <c r="J421" s="7" t="s">
        <v>5475</v>
      </c>
      <c r="K421" s="7" t="s">
        <v>5710</v>
      </c>
    </row>
    <row r="422" customFormat="false" ht="42" hidden="false" customHeight="true" outlineLevel="0" collapsed="false">
      <c r="A422" s="7" t="n">
        <v>418</v>
      </c>
      <c r="B422" s="16" t="s">
        <v>5271</v>
      </c>
      <c r="C422" s="7" t="s">
        <v>4938</v>
      </c>
      <c r="D422" s="7" t="s">
        <v>15</v>
      </c>
      <c r="E422" s="7" t="s">
        <v>3996</v>
      </c>
      <c r="F422" s="7" t="s">
        <v>4030</v>
      </c>
      <c r="G422" s="7" t="n">
        <v>80</v>
      </c>
      <c r="H422" s="7" t="s">
        <v>20</v>
      </c>
      <c r="I422" s="7"/>
      <c r="J422" s="7" t="s">
        <v>5473</v>
      </c>
      <c r="K422" s="7" t="s">
        <v>5711</v>
      </c>
    </row>
    <row r="423" customFormat="false" ht="54.75" hidden="false" customHeight="true" outlineLevel="0" collapsed="false">
      <c r="A423" s="7" t="n">
        <v>419</v>
      </c>
      <c r="B423" s="16" t="s">
        <v>5274</v>
      </c>
      <c r="C423" s="7" t="s">
        <v>4940</v>
      </c>
      <c r="D423" s="7" t="s">
        <v>15</v>
      </c>
      <c r="E423" s="7" t="s">
        <v>3217</v>
      </c>
      <c r="F423" s="7" t="s">
        <v>4143</v>
      </c>
      <c r="G423" s="7" t="n">
        <v>53</v>
      </c>
      <c r="H423" s="7" t="s">
        <v>20</v>
      </c>
      <c r="I423" s="7"/>
      <c r="J423" s="7" t="s">
        <v>5507</v>
      </c>
      <c r="K423" s="7" t="s">
        <v>5712</v>
      </c>
    </row>
    <row r="424" customFormat="false" ht="34.5" hidden="false" customHeight="true" outlineLevel="0" collapsed="false">
      <c r="A424" s="7" t="n">
        <v>420</v>
      </c>
      <c r="B424" s="16" t="s">
        <v>5268</v>
      </c>
      <c r="C424" s="7" t="s">
        <v>3360</v>
      </c>
      <c r="D424" s="7" t="s">
        <v>23</v>
      </c>
      <c r="E424" s="7" t="s">
        <v>3217</v>
      </c>
      <c r="F424" s="7" t="s">
        <v>4038</v>
      </c>
      <c r="G424" s="7" t="n">
        <v>12</v>
      </c>
      <c r="H424" s="7" t="s">
        <v>18</v>
      </c>
      <c r="I424" s="7"/>
      <c r="J424" s="7" t="s">
        <v>5475</v>
      </c>
      <c r="K424" s="7" t="s">
        <v>5713</v>
      </c>
    </row>
    <row r="425" customFormat="false" ht="34.5" hidden="false" customHeight="true" outlineLevel="0" collapsed="false">
      <c r="A425" s="7" t="n">
        <v>421</v>
      </c>
      <c r="B425" s="16" t="s">
        <v>5276</v>
      </c>
      <c r="C425" s="7" t="s">
        <v>4948</v>
      </c>
      <c r="D425" s="7" t="s">
        <v>21</v>
      </c>
      <c r="E425" s="7" t="s">
        <v>3217</v>
      </c>
      <c r="F425" s="7" t="s">
        <v>4108</v>
      </c>
      <c r="G425" s="7" t="n">
        <v>21</v>
      </c>
      <c r="H425" s="7" t="s">
        <v>18</v>
      </c>
      <c r="I425" s="7"/>
      <c r="J425" s="7" t="s">
        <v>5496</v>
      </c>
      <c r="K425" s="7" t="s">
        <v>5714</v>
      </c>
    </row>
    <row r="426" customFormat="false" ht="34.5" hidden="false" customHeight="true" outlineLevel="0" collapsed="false">
      <c r="A426" s="7" t="n">
        <v>422</v>
      </c>
      <c r="B426" s="16" t="s">
        <v>5271</v>
      </c>
      <c r="C426" s="7" t="s">
        <v>4953</v>
      </c>
      <c r="D426" s="7" t="s">
        <v>27</v>
      </c>
      <c r="E426" s="7" t="s">
        <v>3996</v>
      </c>
      <c r="F426" s="7" t="s">
        <v>4070</v>
      </c>
      <c r="G426" s="7" t="n">
        <v>84</v>
      </c>
      <c r="H426" s="7" t="s">
        <v>18</v>
      </c>
      <c r="I426" s="7"/>
      <c r="J426" s="7" t="s">
        <v>5484</v>
      </c>
      <c r="K426" s="7" t="s">
        <v>5715</v>
      </c>
    </row>
    <row r="427" customFormat="false" ht="42" hidden="false" customHeight="true" outlineLevel="0" collapsed="false">
      <c r="A427" s="7" t="n">
        <v>423</v>
      </c>
      <c r="B427" s="16" t="s">
        <v>5268</v>
      </c>
      <c r="C427" s="7" t="s">
        <v>4958</v>
      </c>
      <c r="D427" s="7" t="s">
        <v>17</v>
      </c>
      <c r="E427" s="7" t="s">
        <v>4044</v>
      </c>
      <c r="F427" s="7" t="s">
        <v>4045</v>
      </c>
      <c r="G427" s="7" t="n">
        <v>104</v>
      </c>
      <c r="H427" s="7" t="s">
        <v>20</v>
      </c>
      <c r="I427" s="7" t="s">
        <v>5272</v>
      </c>
      <c r="J427" s="7" t="s">
        <v>5477</v>
      </c>
      <c r="K427" s="7" t="s">
        <v>5716</v>
      </c>
    </row>
    <row r="428" customFormat="false" ht="34.5" hidden="false" customHeight="true" outlineLevel="0" collapsed="false">
      <c r="A428" s="7" t="n">
        <v>424</v>
      </c>
      <c r="B428" s="16" t="s">
        <v>5274</v>
      </c>
      <c r="C428" s="7" t="s">
        <v>4959</v>
      </c>
      <c r="D428" s="7" t="s">
        <v>31</v>
      </c>
      <c r="E428" s="7" t="s">
        <v>4003</v>
      </c>
      <c r="F428" s="7" t="s">
        <v>4010</v>
      </c>
      <c r="G428" s="7" t="n">
        <v>56</v>
      </c>
      <c r="H428" s="7" t="s">
        <v>18</v>
      </c>
      <c r="I428" s="7" t="s">
        <v>5471</v>
      </c>
      <c r="J428" s="7" t="s">
        <v>5466</v>
      </c>
      <c r="K428" s="7" t="s">
        <v>5717</v>
      </c>
    </row>
    <row r="429" customFormat="false" ht="34.5" hidden="false" customHeight="true" outlineLevel="0" collapsed="false">
      <c r="A429" s="7" t="n">
        <v>425</v>
      </c>
      <c r="B429" s="16" t="s">
        <v>5271</v>
      </c>
      <c r="C429" s="7" t="s">
        <v>4965</v>
      </c>
      <c r="D429" s="7" t="s">
        <v>17</v>
      </c>
      <c r="E429" s="7" t="s">
        <v>4058</v>
      </c>
      <c r="F429" s="7" t="s">
        <v>4084</v>
      </c>
      <c r="G429" s="7" t="n">
        <v>102</v>
      </c>
      <c r="H429" s="7" t="s">
        <v>20</v>
      </c>
      <c r="I429" s="7"/>
      <c r="J429" s="7" t="s">
        <v>5488</v>
      </c>
      <c r="K429" s="7" t="s">
        <v>5718</v>
      </c>
    </row>
    <row r="430" customFormat="false" ht="54.75" hidden="false" customHeight="true" outlineLevel="0" collapsed="false">
      <c r="A430" s="7" t="n">
        <v>426</v>
      </c>
      <c r="B430" s="16" t="s">
        <v>5274</v>
      </c>
      <c r="C430" s="7" t="s">
        <v>4967</v>
      </c>
      <c r="D430" s="7" t="s">
        <v>22</v>
      </c>
      <c r="E430" s="7" t="s">
        <v>3996</v>
      </c>
      <c r="F430" s="7" t="s">
        <v>3997</v>
      </c>
      <c r="G430" s="7" t="n">
        <v>160</v>
      </c>
      <c r="H430" s="7" t="s">
        <v>20</v>
      </c>
      <c r="I430" s="7" t="s">
        <v>5272</v>
      </c>
      <c r="J430" s="7" t="s">
        <v>5462</v>
      </c>
      <c r="K430" s="7" t="s">
        <v>5719</v>
      </c>
    </row>
    <row r="431" customFormat="false" ht="34.5" hidden="false" customHeight="true" outlineLevel="0" collapsed="false">
      <c r="A431" s="7" t="n">
        <v>427</v>
      </c>
      <c r="B431" s="16" t="s">
        <v>5268</v>
      </c>
      <c r="C431" s="7" t="s">
        <v>4975</v>
      </c>
      <c r="D431" s="7" t="s">
        <v>29</v>
      </c>
      <c r="E431" s="7" t="s">
        <v>3217</v>
      </c>
      <c r="F431" s="7" t="s">
        <v>3898</v>
      </c>
      <c r="G431" s="7" t="n">
        <v>88</v>
      </c>
      <c r="H431" s="7" t="s">
        <v>20</v>
      </c>
      <c r="I431" s="7"/>
      <c r="J431" s="7" t="s">
        <v>5440</v>
      </c>
      <c r="K431" s="7" t="s">
        <v>5720</v>
      </c>
    </row>
    <row r="432" customFormat="false" ht="34.5" hidden="false" customHeight="true" outlineLevel="0" collapsed="false">
      <c r="A432" s="7" t="n">
        <v>428</v>
      </c>
      <c r="B432" s="16" t="s">
        <v>5276</v>
      </c>
      <c r="C432" s="7" t="s">
        <v>4977</v>
      </c>
      <c r="D432" s="7" t="s">
        <v>22</v>
      </c>
      <c r="E432" s="7" t="s">
        <v>3996</v>
      </c>
      <c r="F432" s="7" t="s">
        <v>3997</v>
      </c>
      <c r="G432" s="7" t="n">
        <v>39</v>
      </c>
      <c r="H432" s="7" t="s">
        <v>18</v>
      </c>
      <c r="I432" s="7"/>
      <c r="J432" s="7" t="s">
        <v>5462</v>
      </c>
      <c r="K432" s="7" t="s">
        <v>5721</v>
      </c>
    </row>
    <row r="433" customFormat="false" ht="42" hidden="false" customHeight="true" outlineLevel="0" collapsed="false">
      <c r="A433" s="7" t="n">
        <v>429</v>
      </c>
      <c r="B433" s="16" t="s">
        <v>5274</v>
      </c>
      <c r="C433" s="7" t="s">
        <v>4980</v>
      </c>
      <c r="D433" s="7" t="s">
        <v>31</v>
      </c>
      <c r="E433" s="7" t="s">
        <v>4003</v>
      </c>
      <c r="F433" s="7" t="s">
        <v>4010</v>
      </c>
      <c r="G433" s="7" t="n">
        <v>70</v>
      </c>
      <c r="H433" s="7" t="s">
        <v>18</v>
      </c>
      <c r="I433" s="7" t="s">
        <v>5471</v>
      </c>
      <c r="J433" s="7" t="s">
        <v>5466</v>
      </c>
      <c r="K433" s="7" t="s">
        <v>5722</v>
      </c>
    </row>
    <row r="434" customFormat="false" ht="34.5" hidden="false" customHeight="true" outlineLevel="0" collapsed="false">
      <c r="A434" s="7" t="n">
        <v>430</v>
      </c>
      <c r="B434" s="16" t="s">
        <v>5268</v>
      </c>
      <c r="C434" s="7" t="s">
        <v>4650</v>
      </c>
      <c r="D434" s="7" t="s">
        <v>23</v>
      </c>
      <c r="E434" s="7" t="s">
        <v>3217</v>
      </c>
      <c r="F434" s="7" t="s">
        <v>4038</v>
      </c>
      <c r="G434" s="7" t="n">
        <v>11</v>
      </c>
      <c r="H434" s="7" t="s">
        <v>18</v>
      </c>
      <c r="I434" s="7"/>
      <c r="J434" s="7" t="s">
        <v>5475</v>
      </c>
      <c r="K434" s="7" t="s">
        <v>5723</v>
      </c>
    </row>
    <row r="435" customFormat="false" ht="34.5" hidden="false" customHeight="true" outlineLevel="0" collapsed="false">
      <c r="A435" s="7" t="n">
        <v>431</v>
      </c>
      <c r="B435" s="16" t="s">
        <v>5271</v>
      </c>
      <c r="C435" s="7" t="s">
        <v>4989</v>
      </c>
      <c r="D435" s="7" t="s">
        <v>29</v>
      </c>
      <c r="E435" s="7" t="s">
        <v>3217</v>
      </c>
      <c r="F435" s="7" t="s">
        <v>3898</v>
      </c>
      <c r="G435" s="7" t="n">
        <v>59</v>
      </c>
      <c r="H435" s="7" t="s">
        <v>20</v>
      </c>
      <c r="I435" s="7"/>
      <c r="J435" s="7" t="s">
        <v>5440</v>
      </c>
      <c r="K435" s="7" t="s">
        <v>5724</v>
      </c>
    </row>
    <row r="436" customFormat="false" ht="42" hidden="false" customHeight="true" outlineLevel="0" collapsed="false">
      <c r="A436" s="7" t="n">
        <v>432</v>
      </c>
      <c r="B436" s="16" t="s">
        <v>5271</v>
      </c>
      <c r="C436" s="7" t="s">
        <v>4993</v>
      </c>
      <c r="D436" s="7" t="s">
        <v>15</v>
      </c>
      <c r="E436" s="7" t="s">
        <v>3996</v>
      </c>
      <c r="F436" s="7" t="s">
        <v>4030</v>
      </c>
      <c r="G436" s="7" t="n">
        <v>123</v>
      </c>
      <c r="H436" s="7" t="s">
        <v>20</v>
      </c>
      <c r="I436" s="7"/>
      <c r="J436" s="7" t="s">
        <v>5473</v>
      </c>
      <c r="K436" s="7" t="s">
        <v>5725</v>
      </c>
    </row>
    <row r="437" customFormat="false" ht="34.5" hidden="false" customHeight="true" outlineLevel="0" collapsed="false">
      <c r="A437" s="7" t="n">
        <v>433</v>
      </c>
      <c r="B437" s="16" t="s">
        <v>5271</v>
      </c>
      <c r="C437" s="7" t="s">
        <v>4997</v>
      </c>
      <c r="D437" s="7" t="s">
        <v>19</v>
      </c>
      <c r="E437" s="7" t="s">
        <v>4003</v>
      </c>
      <c r="F437" s="7" t="s">
        <v>4004</v>
      </c>
      <c r="G437" s="7" t="n">
        <v>164</v>
      </c>
      <c r="H437" s="7" t="s">
        <v>20</v>
      </c>
      <c r="I437" s="7"/>
      <c r="J437" s="7" t="s">
        <v>5464</v>
      </c>
      <c r="K437" s="7" t="s">
        <v>5726</v>
      </c>
    </row>
    <row r="438" customFormat="false" ht="34.5" hidden="false" customHeight="true" outlineLevel="0" collapsed="false">
      <c r="A438" s="7" t="n">
        <v>434</v>
      </c>
      <c r="B438" s="16" t="s">
        <v>5271</v>
      </c>
      <c r="C438" s="7" t="s">
        <v>4254</v>
      </c>
      <c r="D438" s="7" t="s">
        <v>22</v>
      </c>
      <c r="E438" s="7" t="s">
        <v>3996</v>
      </c>
      <c r="F438" s="7" t="s">
        <v>3997</v>
      </c>
      <c r="G438" s="7" t="n">
        <v>96</v>
      </c>
      <c r="H438" s="7" t="s">
        <v>18</v>
      </c>
      <c r="I438" s="7" t="s">
        <v>5272</v>
      </c>
      <c r="J438" s="7" t="s">
        <v>5462</v>
      </c>
      <c r="K438" s="7" t="s">
        <v>5727</v>
      </c>
    </row>
    <row r="439" customFormat="false" ht="42" hidden="false" customHeight="true" outlineLevel="0" collapsed="false">
      <c r="A439" s="7" t="n">
        <v>435</v>
      </c>
      <c r="B439" s="16" t="s">
        <v>5276</v>
      </c>
      <c r="C439" s="7" t="s">
        <v>5001</v>
      </c>
      <c r="D439" s="7" t="s">
        <v>21</v>
      </c>
      <c r="E439" s="7" t="s">
        <v>4058</v>
      </c>
      <c r="F439" s="7" t="s">
        <v>4059</v>
      </c>
      <c r="G439" s="7" t="n">
        <v>92</v>
      </c>
      <c r="H439" s="7" t="s">
        <v>18</v>
      </c>
      <c r="I439" s="7" t="s">
        <v>5272</v>
      </c>
      <c r="J439" s="7" t="s">
        <v>5481</v>
      </c>
      <c r="K439" s="7" t="s">
        <v>5728</v>
      </c>
    </row>
    <row r="440" customFormat="false" ht="34.5" hidden="false" customHeight="true" outlineLevel="0" collapsed="false">
      <c r="A440" s="7" t="n">
        <v>436</v>
      </c>
      <c r="B440" s="16" t="s">
        <v>5274</v>
      </c>
      <c r="C440" s="7" t="s">
        <v>5004</v>
      </c>
      <c r="D440" s="7" t="s">
        <v>21</v>
      </c>
      <c r="E440" s="7" t="s">
        <v>3217</v>
      </c>
      <c r="F440" s="7" t="s">
        <v>4108</v>
      </c>
      <c r="G440" s="7" t="n">
        <v>19</v>
      </c>
      <c r="H440" s="7" t="s">
        <v>18</v>
      </c>
      <c r="I440" s="7"/>
      <c r="J440" s="7" t="s">
        <v>5496</v>
      </c>
      <c r="K440" s="7" t="s">
        <v>5729</v>
      </c>
    </row>
    <row r="441" customFormat="false" ht="34.5" hidden="false" customHeight="true" outlineLevel="0" collapsed="false">
      <c r="A441" s="7" t="n">
        <v>437</v>
      </c>
      <c r="B441" s="16" t="s">
        <v>5268</v>
      </c>
      <c r="C441" s="7" t="s">
        <v>5010</v>
      </c>
      <c r="D441" s="7" t="s">
        <v>27</v>
      </c>
      <c r="E441" s="7" t="s">
        <v>4129</v>
      </c>
      <c r="F441" s="7" t="s">
        <v>4130</v>
      </c>
      <c r="G441" s="7" t="n">
        <v>57</v>
      </c>
      <c r="H441" s="7" t="s">
        <v>18</v>
      </c>
      <c r="I441" s="7"/>
      <c r="J441" s="7" t="s">
        <v>5502</v>
      </c>
      <c r="K441" s="7" t="s">
        <v>5730</v>
      </c>
    </row>
    <row r="442" customFormat="false" ht="42" hidden="false" customHeight="true" outlineLevel="0" collapsed="false">
      <c r="A442" s="7" t="n">
        <v>438</v>
      </c>
      <c r="B442" s="16" t="s">
        <v>5274</v>
      </c>
      <c r="C442" s="7" t="s">
        <v>5011</v>
      </c>
      <c r="D442" s="7" t="s">
        <v>23</v>
      </c>
      <c r="E442" s="7" t="s">
        <v>3217</v>
      </c>
      <c r="F442" s="7" t="s">
        <v>4038</v>
      </c>
      <c r="G442" s="7" t="n">
        <v>32</v>
      </c>
      <c r="H442" s="7" t="s">
        <v>18</v>
      </c>
      <c r="I442" s="7" t="s">
        <v>5272</v>
      </c>
      <c r="J442" s="7" t="s">
        <v>5475</v>
      </c>
      <c r="K442" s="7" t="s">
        <v>5731</v>
      </c>
    </row>
    <row r="443" customFormat="false" ht="42" hidden="false" customHeight="true" outlineLevel="0" collapsed="false">
      <c r="A443" s="7" t="n">
        <v>439</v>
      </c>
      <c r="B443" s="16" t="s">
        <v>5274</v>
      </c>
      <c r="C443" s="7" t="s">
        <v>5015</v>
      </c>
      <c r="D443" s="7" t="s">
        <v>27</v>
      </c>
      <c r="E443" s="7" t="s">
        <v>4129</v>
      </c>
      <c r="F443" s="7" t="s">
        <v>4130</v>
      </c>
      <c r="G443" s="7" t="n">
        <v>18</v>
      </c>
      <c r="H443" s="7" t="s">
        <v>18</v>
      </c>
      <c r="I443" s="7" t="s">
        <v>5272</v>
      </c>
      <c r="J443" s="7" t="s">
        <v>5502</v>
      </c>
      <c r="K443" s="7" t="s">
        <v>5732</v>
      </c>
    </row>
    <row r="444" customFormat="false" ht="42" hidden="false" customHeight="true" outlineLevel="0" collapsed="false">
      <c r="A444" s="7" t="n">
        <v>440</v>
      </c>
      <c r="B444" s="16" t="s">
        <v>5276</v>
      </c>
      <c r="C444" s="7" t="s">
        <v>5020</v>
      </c>
      <c r="D444" s="7" t="s">
        <v>21</v>
      </c>
      <c r="E444" s="7" t="s">
        <v>3217</v>
      </c>
      <c r="F444" s="7" t="s">
        <v>4108</v>
      </c>
      <c r="G444" s="7" t="n">
        <v>28</v>
      </c>
      <c r="H444" s="7" t="s">
        <v>18</v>
      </c>
      <c r="I444" s="7"/>
      <c r="J444" s="7" t="s">
        <v>5496</v>
      </c>
      <c r="K444" s="7" t="s">
        <v>5733</v>
      </c>
    </row>
    <row r="445" customFormat="false" ht="67.5" hidden="false" customHeight="true" outlineLevel="0" collapsed="false">
      <c r="A445" s="7" t="n">
        <v>441</v>
      </c>
      <c r="B445" s="16" t="s">
        <v>5271</v>
      </c>
      <c r="C445" s="7" t="s">
        <v>5025</v>
      </c>
      <c r="D445" s="7" t="s">
        <v>17</v>
      </c>
      <c r="E445" s="7" t="s">
        <v>4044</v>
      </c>
      <c r="F445" s="7" t="s">
        <v>4045</v>
      </c>
      <c r="G445" s="7" t="n">
        <v>105</v>
      </c>
      <c r="H445" s="7" t="s">
        <v>20</v>
      </c>
      <c r="I445" s="7" t="s">
        <v>5272</v>
      </c>
      <c r="J445" s="7" t="s">
        <v>5477</v>
      </c>
      <c r="K445" s="7" t="s">
        <v>5734</v>
      </c>
    </row>
    <row r="446" customFormat="false" ht="34.5" hidden="false" customHeight="true" outlineLevel="0" collapsed="false">
      <c r="A446" s="7" t="n">
        <v>442</v>
      </c>
      <c r="B446" s="16" t="s">
        <v>5271</v>
      </c>
      <c r="C446" s="7" t="s">
        <v>5029</v>
      </c>
      <c r="D446" s="7" t="s">
        <v>27</v>
      </c>
      <c r="E446" s="7" t="s">
        <v>4129</v>
      </c>
      <c r="F446" s="7" t="s">
        <v>4130</v>
      </c>
      <c r="G446" s="7" t="n">
        <v>99</v>
      </c>
      <c r="H446" s="7" t="s">
        <v>18</v>
      </c>
      <c r="I446" s="7"/>
      <c r="J446" s="7" t="s">
        <v>5502</v>
      </c>
      <c r="K446" s="7" t="s">
        <v>5735</v>
      </c>
    </row>
    <row r="447" customFormat="false" ht="42" hidden="false" customHeight="true" outlineLevel="0" collapsed="false">
      <c r="A447" s="7" t="n">
        <v>443</v>
      </c>
      <c r="B447" s="16" t="s">
        <v>5276</v>
      </c>
      <c r="C447" s="7" t="s">
        <v>5032</v>
      </c>
      <c r="D447" s="7" t="s">
        <v>15</v>
      </c>
      <c r="E447" s="7" t="s">
        <v>3217</v>
      </c>
      <c r="F447" s="7" t="s">
        <v>4143</v>
      </c>
      <c r="G447" s="7" t="n">
        <v>81</v>
      </c>
      <c r="H447" s="7" t="s">
        <v>20</v>
      </c>
      <c r="I447" s="7" t="s">
        <v>5495</v>
      </c>
      <c r="J447" s="7" t="s">
        <v>5507</v>
      </c>
      <c r="K447" s="7" t="s">
        <v>5736</v>
      </c>
    </row>
    <row r="448" customFormat="false" ht="42" hidden="false" customHeight="true" outlineLevel="0" collapsed="false">
      <c r="A448" s="7" t="n">
        <v>444</v>
      </c>
      <c r="B448" s="16" t="s">
        <v>5268</v>
      </c>
      <c r="C448" s="7" t="s">
        <v>5038</v>
      </c>
      <c r="D448" s="7" t="s">
        <v>21</v>
      </c>
      <c r="E448" s="7" t="s">
        <v>4058</v>
      </c>
      <c r="F448" s="7" t="s">
        <v>4059</v>
      </c>
      <c r="G448" s="7" t="n">
        <v>57</v>
      </c>
      <c r="H448" s="7" t="s">
        <v>18</v>
      </c>
      <c r="I448" s="7" t="s">
        <v>5272</v>
      </c>
      <c r="J448" s="7" t="s">
        <v>5481</v>
      </c>
      <c r="K448" s="7" t="s">
        <v>5737</v>
      </c>
    </row>
    <row r="449" customFormat="false" ht="34.5" hidden="false" customHeight="true" outlineLevel="0" collapsed="false">
      <c r="A449" s="7" t="n">
        <v>445</v>
      </c>
      <c r="B449" s="16" t="s">
        <v>5274</v>
      </c>
      <c r="C449" s="7" t="s">
        <v>5039</v>
      </c>
      <c r="D449" s="7" t="s">
        <v>31</v>
      </c>
      <c r="E449" s="7" t="s">
        <v>4003</v>
      </c>
      <c r="F449" s="7" t="s">
        <v>4010</v>
      </c>
      <c r="G449" s="7" t="n">
        <v>106</v>
      </c>
      <c r="H449" s="7" t="s">
        <v>18</v>
      </c>
      <c r="I449" s="7"/>
      <c r="J449" s="7" t="s">
        <v>5466</v>
      </c>
      <c r="K449" s="7" t="s">
        <v>5738</v>
      </c>
    </row>
    <row r="450" customFormat="false" ht="54.75" hidden="false" customHeight="true" outlineLevel="0" collapsed="false">
      <c r="A450" s="7" t="n">
        <v>446</v>
      </c>
      <c r="B450" s="16" t="s">
        <v>5276</v>
      </c>
      <c r="C450" s="7" t="s">
        <v>5044</v>
      </c>
      <c r="D450" s="7" t="s">
        <v>29</v>
      </c>
      <c r="E450" s="7" t="s">
        <v>3217</v>
      </c>
      <c r="F450" s="7" t="s">
        <v>3898</v>
      </c>
      <c r="G450" s="7" t="n">
        <v>1</v>
      </c>
      <c r="H450" s="7" t="s">
        <v>20</v>
      </c>
      <c r="I450" s="7"/>
      <c r="J450" s="7" t="s">
        <v>5440</v>
      </c>
      <c r="K450" s="7" t="s">
        <v>5739</v>
      </c>
    </row>
    <row r="451" customFormat="false" ht="34.5" hidden="false" customHeight="true" outlineLevel="0" collapsed="false">
      <c r="A451" s="7" t="n">
        <v>447</v>
      </c>
      <c r="B451" s="16" t="s">
        <v>5268</v>
      </c>
      <c r="C451" s="7" t="s">
        <v>5050</v>
      </c>
      <c r="D451" s="7" t="s">
        <v>19</v>
      </c>
      <c r="E451" s="7" t="s">
        <v>4003</v>
      </c>
      <c r="F451" s="7" t="s">
        <v>4004</v>
      </c>
      <c r="G451" s="7" t="n">
        <v>154</v>
      </c>
      <c r="H451" s="7" t="s">
        <v>20</v>
      </c>
      <c r="I451" s="7"/>
      <c r="J451" s="7" t="s">
        <v>5464</v>
      </c>
      <c r="K451" s="7" t="s">
        <v>5740</v>
      </c>
    </row>
    <row r="452" customFormat="false" ht="34.5" hidden="false" customHeight="true" outlineLevel="0" collapsed="false">
      <c r="A452" s="7" t="n">
        <v>448</v>
      </c>
      <c r="B452" s="16" t="s">
        <v>5274</v>
      </c>
      <c r="C452" s="7" t="s">
        <v>4687</v>
      </c>
      <c r="D452" s="7" t="s">
        <v>23</v>
      </c>
      <c r="E452" s="7" t="s">
        <v>3217</v>
      </c>
      <c r="F452" s="7" t="s">
        <v>4038</v>
      </c>
      <c r="G452" s="7" t="n">
        <v>80</v>
      </c>
      <c r="H452" s="7" t="s">
        <v>18</v>
      </c>
      <c r="I452" s="7"/>
      <c r="J452" s="7" t="s">
        <v>5475</v>
      </c>
      <c r="K452" s="7" t="s">
        <v>5741</v>
      </c>
    </row>
    <row r="453" customFormat="false" ht="54.75" hidden="false" customHeight="true" outlineLevel="0" collapsed="false">
      <c r="A453" s="7" t="n">
        <v>449</v>
      </c>
      <c r="B453" s="16" t="s">
        <v>5276</v>
      </c>
      <c r="C453" s="7" t="s">
        <v>5054</v>
      </c>
      <c r="D453" s="7" t="s">
        <v>27</v>
      </c>
      <c r="E453" s="7" t="s">
        <v>4129</v>
      </c>
      <c r="F453" s="7" t="s">
        <v>4130</v>
      </c>
      <c r="G453" s="7" t="n">
        <v>22</v>
      </c>
      <c r="H453" s="7" t="s">
        <v>18</v>
      </c>
      <c r="I453" s="7"/>
      <c r="J453" s="7" t="s">
        <v>5502</v>
      </c>
      <c r="K453" s="7" t="s">
        <v>5742</v>
      </c>
    </row>
    <row r="454" customFormat="false" ht="34.5" hidden="false" customHeight="true" outlineLevel="0" collapsed="false">
      <c r="A454" s="7" t="n">
        <v>450</v>
      </c>
      <c r="B454" s="16" t="s">
        <v>5271</v>
      </c>
      <c r="C454" s="7" t="s">
        <v>5059</v>
      </c>
      <c r="D454" s="7" t="s">
        <v>22</v>
      </c>
      <c r="E454" s="7" t="s">
        <v>3996</v>
      </c>
      <c r="F454" s="7" t="s">
        <v>3997</v>
      </c>
      <c r="G454" s="7" t="n">
        <v>101</v>
      </c>
      <c r="H454" s="7" t="s">
        <v>18</v>
      </c>
      <c r="I454" s="7"/>
      <c r="J454" s="7" t="s">
        <v>5462</v>
      </c>
      <c r="K454" s="7" t="s">
        <v>5743</v>
      </c>
    </row>
    <row r="455" customFormat="false" ht="34.5" hidden="false" customHeight="true" outlineLevel="0" collapsed="false">
      <c r="A455" s="7" t="n">
        <v>451</v>
      </c>
      <c r="B455" s="16" t="s">
        <v>5271</v>
      </c>
      <c r="C455" s="7" t="s">
        <v>5063</v>
      </c>
      <c r="D455" s="7" t="s">
        <v>15</v>
      </c>
      <c r="E455" s="7" t="s">
        <v>3217</v>
      </c>
      <c r="F455" s="7" t="s">
        <v>4143</v>
      </c>
      <c r="G455" s="7" t="n">
        <v>4</v>
      </c>
      <c r="H455" s="7" t="s">
        <v>20</v>
      </c>
      <c r="I455" s="7" t="s">
        <v>5272</v>
      </c>
      <c r="J455" s="7" t="s">
        <v>5507</v>
      </c>
      <c r="K455" s="7" t="s">
        <v>5744</v>
      </c>
    </row>
    <row r="456" customFormat="false" ht="34.5" hidden="false" customHeight="true" outlineLevel="0" collapsed="false">
      <c r="A456" s="7" t="n">
        <v>452</v>
      </c>
      <c r="B456" s="16" t="s">
        <v>5271</v>
      </c>
      <c r="C456" s="7" t="s">
        <v>5067</v>
      </c>
      <c r="D456" s="7" t="s">
        <v>25</v>
      </c>
      <c r="E456" s="7" t="s">
        <v>4019</v>
      </c>
      <c r="F456" s="7" t="s">
        <v>4020</v>
      </c>
      <c r="G456" s="7" t="n">
        <v>106</v>
      </c>
      <c r="H456" s="7" t="s">
        <v>20</v>
      </c>
      <c r="I456" s="7"/>
      <c r="J456" s="7" t="s">
        <v>5469</v>
      </c>
      <c r="K456" s="7" t="s">
        <v>5745</v>
      </c>
    </row>
    <row r="457" customFormat="false" ht="42" hidden="false" customHeight="true" outlineLevel="0" collapsed="false">
      <c r="A457" s="7" t="n">
        <v>453</v>
      </c>
      <c r="B457" s="16" t="s">
        <v>5274</v>
      </c>
      <c r="C457" s="7" t="s">
        <v>5069</v>
      </c>
      <c r="D457" s="7" t="s">
        <v>21</v>
      </c>
      <c r="E457" s="7" t="s">
        <v>3217</v>
      </c>
      <c r="F457" s="7" t="s">
        <v>4108</v>
      </c>
      <c r="G457" s="7" t="n">
        <v>35</v>
      </c>
      <c r="H457" s="7" t="s">
        <v>18</v>
      </c>
      <c r="I457" s="7" t="s">
        <v>5272</v>
      </c>
      <c r="J457" s="7" t="s">
        <v>5496</v>
      </c>
      <c r="K457" s="7" t="s">
        <v>5746</v>
      </c>
    </row>
    <row r="458" customFormat="false" ht="34.5" hidden="false" customHeight="true" outlineLevel="0" collapsed="false">
      <c r="A458" s="7" t="n">
        <v>454</v>
      </c>
      <c r="B458" s="16" t="s">
        <v>5274</v>
      </c>
      <c r="C458" s="7" t="s">
        <v>5073</v>
      </c>
      <c r="D458" s="7" t="s">
        <v>19</v>
      </c>
      <c r="E458" s="7" t="s">
        <v>4003</v>
      </c>
      <c r="F458" s="7" t="s">
        <v>4004</v>
      </c>
      <c r="G458" s="7" t="n">
        <v>152</v>
      </c>
      <c r="H458" s="7" t="s">
        <v>20</v>
      </c>
      <c r="I458" s="7"/>
      <c r="J458" s="7" t="s">
        <v>5464</v>
      </c>
      <c r="K458" s="7" t="s">
        <v>5747</v>
      </c>
    </row>
    <row r="459" customFormat="false" ht="34.5" hidden="false" customHeight="true" outlineLevel="0" collapsed="false">
      <c r="A459" s="7" t="n">
        <v>455</v>
      </c>
      <c r="B459" s="16" t="s">
        <v>5268</v>
      </c>
      <c r="C459" s="7" t="s">
        <v>5080</v>
      </c>
      <c r="D459" s="7" t="s">
        <v>17</v>
      </c>
      <c r="E459" s="7" t="s">
        <v>4058</v>
      </c>
      <c r="F459" s="7" t="s">
        <v>4084</v>
      </c>
      <c r="G459" s="7" t="n">
        <v>79</v>
      </c>
      <c r="H459" s="7" t="s">
        <v>18</v>
      </c>
      <c r="I459" s="7"/>
      <c r="J459" s="7" t="s">
        <v>5488</v>
      </c>
      <c r="K459" s="7" t="s">
        <v>5748</v>
      </c>
    </row>
    <row r="460" customFormat="false" ht="34.5" hidden="false" customHeight="true" outlineLevel="0" collapsed="false">
      <c r="A460" s="7" t="n">
        <v>456</v>
      </c>
      <c r="B460" s="16" t="s">
        <v>5276</v>
      </c>
      <c r="C460" s="7" t="s">
        <v>5082</v>
      </c>
      <c r="D460" s="7" t="s">
        <v>23</v>
      </c>
      <c r="E460" s="7" t="s">
        <v>3217</v>
      </c>
      <c r="F460" s="7" t="s">
        <v>4038</v>
      </c>
      <c r="G460" s="7" t="n">
        <v>14</v>
      </c>
      <c r="H460" s="7" t="s">
        <v>18</v>
      </c>
      <c r="I460" s="7"/>
      <c r="J460" s="7" t="s">
        <v>5475</v>
      </c>
      <c r="K460" s="7" t="s">
        <v>5749</v>
      </c>
    </row>
    <row r="461" customFormat="false" ht="34.5" hidden="false" customHeight="true" outlineLevel="0" collapsed="false">
      <c r="A461" s="7" t="n">
        <v>457</v>
      </c>
      <c r="B461" s="16" t="s">
        <v>5276</v>
      </c>
      <c r="C461" s="7" t="s">
        <v>4291</v>
      </c>
      <c r="D461" s="7" t="s">
        <v>22</v>
      </c>
      <c r="E461" s="7" t="s">
        <v>3996</v>
      </c>
      <c r="F461" s="7" t="s">
        <v>3997</v>
      </c>
      <c r="G461" s="7" t="n">
        <v>22</v>
      </c>
      <c r="H461" s="7" t="s">
        <v>18</v>
      </c>
      <c r="I461" s="7"/>
      <c r="J461" s="7" t="s">
        <v>5462</v>
      </c>
      <c r="K461" s="7" t="s">
        <v>5750</v>
      </c>
    </row>
    <row r="462" customFormat="false" ht="34.5" hidden="false" customHeight="true" outlineLevel="0" collapsed="false">
      <c r="A462" s="7" t="n">
        <v>458</v>
      </c>
      <c r="B462" s="16" t="s">
        <v>5268</v>
      </c>
      <c r="C462" s="7" t="s">
        <v>5090</v>
      </c>
      <c r="D462" s="7" t="s">
        <v>27</v>
      </c>
      <c r="E462" s="7" t="s">
        <v>4129</v>
      </c>
      <c r="F462" s="7" t="s">
        <v>4130</v>
      </c>
      <c r="G462" s="7" t="n">
        <v>59</v>
      </c>
      <c r="H462" s="7" t="s">
        <v>18</v>
      </c>
      <c r="I462" s="7"/>
      <c r="J462" s="7" t="s">
        <v>5502</v>
      </c>
      <c r="K462" s="7" t="s">
        <v>5751</v>
      </c>
    </row>
    <row r="463" customFormat="false" ht="42" hidden="false" customHeight="true" outlineLevel="0" collapsed="false">
      <c r="A463" s="7" t="n">
        <v>459</v>
      </c>
      <c r="B463" s="16" t="s">
        <v>5268</v>
      </c>
      <c r="C463" s="7" t="s">
        <v>5094</v>
      </c>
      <c r="D463" s="7" t="s">
        <v>25</v>
      </c>
      <c r="E463" s="7" t="s">
        <v>3217</v>
      </c>
      <c r="F463" s="7" t="s">
        <v>4320</v>
      </c>
      <c r="G463" s="7" t="n">
        <v>102</v>
      </c>
      <c r="H463" s="7" t="s">
        <v>20</v>
      </c>
      <c r="I463" s="7" t="s">
        <v>5272</v>
      </c>
      <c r="J463" s="7" t="s">
        <v>5552</v>
      </c>
      <c r="K463" s="7" t="s">
        <v>5752</v>
      </c>
    </row>
    <row r="464" customFormat="false" ht="34.5" hidden="false" customHeight="true" outlineLevel="0" collapsed="false">
      <c r="A464" s="7" t="n">
        <v>460</v>
      </c>
      <c r="B464" s="16" t="s">
        <v>5276</v>
      </c>
      <c r="C464" s="7" t="s">
        <v>5096</v>
      </c>
      <c r="D464" s="7" t="s">
        <v>27</v>
      </c>
      <c r="E464" s="7" t="s">
        <v>3996</v>
      </c>
      <c r="F464" s="7" t="s">
        <v>4070</v>
      </c>
      <c r="G464" s="7" t="n">
        <v>104</v>
      </c>
      <c r="H464" s="7" t="s">
        <v>20</v>
      </c>
      <c r="I464" s="7" t="s">
        <v>5495</v>
      </c>
      <c r="J464" s="7" t="s">
        <v>5484</v>
      </c>
      <c r="K464" s="7" t="s">
        <v>5753</v>
      </c>
    </row>
    <row r="465" customFormat="false" ht="34.5" hidden="false" customHeight="true" outlineLevel="0" collapsed="false">
      <c r="A465" s="7" t="n">
        <v>461</v>
      </c>
      <c r="B465" s="16" t="s">
        <v>5274</v>
      </c>
      <c r="C465" s="7" t="s">
        <v>5099</v>
      </c>
      <c r="D465" s="7" t="s">
        <v>15</v>
      </c>
      <c r="E465" s="7" t="s">
        <v>3996</v>
      </c>
      <c r="F465" s="7" t="s">
        <v>4030</v>
      </c>
      <c r="G465" s="7" t="n">
        <v>36</v>
      </c>
      <c r="H465" s="7" t="s">
        <v>20</v>
      </c>
      <c r="I465" s="7"/>
      <c r="J465" s="7" t="s">
        <v>5473</v>
      </c>
      <c r="K465" s="7" t="s">
        <v>5754</v>
      </c>
    </row>
    <row r="466" customFormat="false" ht="34.5" hidden="false" customHeight="true" outlineLevel="0" collapsed="false">
      <c r="A466" s="7" t="n">
        <v>462</v>
      </c>
      <c r="B466" s="16" t="s">
        <v>5268</v>
      </c>
      <c r="C466" s="7" t="s">
        <v>5106</v>
      </c>
      <c r="D466" s="7" t="s">
        <v>25</v>
      </c>
      <c r="E466" s="7" t="s">
        <v>3217</v>
      </c>
      <c r="F466" s="7" t="s">
        <v>4320</v>
      </c>
      <c r="G466" s="7" t="n">
        <v>109</v>
      </c>
      <c r="H466" s="7" t="s">
        <v>20</v>
      </c>
      <c r="I466" s="7" t="s">
        <v>5471</v>
      </c>
      <c r="J466" s="7" t="s">
        <v>5552</v>
      </c>
      <c r="K466" s="7" t="s">
        <v>5755</v>
      </c>
    </row>
    <row r="467" customFormat="false" ht="42" hidden="false" customHeight="true" outlineLevel="0" collapsed="false">
      <c r="A467" s="7" t="n">
        <v>463</v>
      </c>
      <c r="B467" s="16" t="s">
        <v>5274</v>
      </c>
      <c r="C467" s="7" t="s">
        <v>5107</v>
      </c>
      <c r="D467" s="7" t="s">
        <v>31</v>
      </c>
      <c r="E467" s="7" t="s">
        <v>4003</v>
      </c>
      <c r="F467" s="7" t="s">
        <v>4010</v>
      </c>
      <c r="G467" s="7" t="n">
        <v>143</v>
      </c>
      <c r="H467" s="7" t="s">
        <v>18</v>
      </c>
      <c r="I467" s="7"/>
      <c r="J467" s="7" t="s">
        <v>5466</v>
      </c>
      <c r="K467" s="7" t="s">
        <v>5756</v>
      </c>
    </row>
    <row r="468" customFormat="false" ht="42" hidden="false" customHeight="true" outlineLevel="0" collapsed="false">
      <c r="A468" s="7" t="n">
        <v>464</v>
      </c>
      <c r="B468" s="16" t="s">
        <v>5268</v>
      </c>
      <c r="C468" s="7" t="s">
        <v>5114</v>
      </c>
      <c r="D468" s="7" t="s">
        <v>31</v>
      </c>
      <c r="E468" s="7" t="s">
        <v>4003</v>
      </c>
      <c r="F468" s="7" t="s">
        <v>4010</v>
      </c>
      <c r="G468" s="7" t="n">
        <v>32</v>
      </c>
      <c r="H468" s="7" t="s">
        <v>18</v>
      </c>
      <c r="I468" s="7" t="s">
        <v>5272</v>
      </c>
      <c r="J468" s="7" t="s">
        <v>5466</v>
      </c>
      <c r="K468" s="7" t="s">
        <v>5757</v>
      </c>
    </row>
    <row r="469" customFormat="false" ht="34.5" hidden="false" customHeight="true" outlineLevel="0" collapsed="false">
      <c r="A469" s="7" t="n">
        <v>465</v>
      </c>
      <c r="B469" s="16" t="s">
        <v>5274</v>
      </c>
      <c r="C469" s="7" t="s">
        <v>5115</v>
      </c>
      <c r="D469" s="7" t="s">
        <v>23</v>
      </c>
      <c r="E469" s="7" t="s">
        <v>3217</v>
      </c>
      <c r="F469" s="7" t="s">
        <v>4038</v>
      </c>
      <c r="G469" s="7" t="n">
        <v>20</v>
      </c>
      <c r="H469" s="7" t="s">
        <v>18</v>
      </c>
      <c r="I469" s="7"/>
      <c r="J469" s="7" t="s">
        <v>5475</v>
      </c>
      <c r="K469" s="7" t="s">
        <v>5758</v>
      </c>
    </row>
    <row r="470" customFormat="false" ht="34.5" hidden="false" customHeight="true" outlineLevel="0" collapsed="false">
      <c r="A470" s="7" t="n">
        <v>466</v>
      </c>
      <c r="B470" s="16" t="s">
        <v>5274</v>
      </c>
      <c r="C470" s="7" t="s">
        <v>5119</v>
      </c>
      <c r="D470" s="7" t="s">
        <v>27</v>
      </c>
      <c r="E470" s="7" t="s">
        <v>4129</v>
      </c>
      <c r="F470" s="7" t="s">
        <v>4130</v>
      </c>
      <c r="G470" s="7" t="n">
        <v>64</v>
      </c>
      <c r="H470" s="7" t="s">
        <v>18</v>
      </c>
      <c r="I470" s="7"/>
      <c r="J470" s="7" t="s">
        <v>5502</v>
      </c>
      <c r="K470" s="7" t="s">
        <v>5759</v>
      </c>
    </row>
    <row r="471" customFormat="false" ht="34.5" hidden="false" customHeight="true" outlineLevel="0" collapsed="false">
      <c r="A471" s="7" t="n">
        <v>467</v>
      </c>
      <c r="B471" s="16" t="s">
        <v>5271</v>
      </c>
      <c r="C471" s="7" t="s">
        <v>5125</v>
      </c>
      <c r="D471" s="7" t="s">
        <v>17</v>
      </c>
      <c r="E471" s="7" t="s">
        <v>4058</v>
      </c>
      <c r="F471" s="7" t="s">
        <v>4084</v>
      </c>
      <c r="G471" s="7" t="n">
        <v>80</v>
      </c>
      <c r="H471" s="7" t="s">
        <v>18</v>
      </c>
      <c r="I471" s="7"/>
      <c r="J471" s="7" t="s">
        <v>5488</v>
      </c>
      <c r="K471" s="7" t="s">
        <v>5760</v>
      </c>
    </row>
    <row r="472" customFormat="false" ht="54.75" hidden="false" customHeight="true" outlineLevel="0" collapsed="false">
      <c r="A472" s="7" t="n">
        <v>468</v>
      </c>
      <c r="B472" s="16" t="s">
        <v>5274</v>
      </c>
      <c r="C472" s="7" t="s">
        <v>5127</v>
      </c>
      <c r="D472" s="7" t="s">
        <v>17</v>
      </c>
      <c r="E472" s="7" t="s">
        <v>4044</v>
      </c>
      <c r="F472" s="7" t="s">
        <v>4045</v>
      </c>
      <c r="G472" s="7" t="n">
        <v>109</v>
      </c>
      <c r="H472" s="7" t="s">
        <v>20</v>
      </c>
      <c r="I472" s="7"/>
      <c r="J472" s="7" t="s">
        <v>5477</v>
      </c>
      <c r="K472" s="7" t="s">
        <v>5761</v>
      </c>
    </row>
    <row r="473" customFormat="false" ht="67.5" hidden="false" customHeight="true" outlineLevel="0" collapsed="false">
      <c r="A473" s="7" t="n">
        <v>469</v>
      </c>
      <c r="B473" s="16" t="s">
        <v>5268</v>
      </c>
      <c r="C473" s="7" t="s">
        <v>5134</v>
      </c>
      <c r="D473" s="7" t="s">
        <v>17</v>
      </c>
      <c r="E473" s="7" t="s">
        <v>4058</v>
      </c>
      <c r="F473" s="7" t="s">
        <v>4084</v>
      </c>
      <c r="G473" s="7" t="n">
        <v>103</v>
      </c>
      <c r="H473" s="7" t="s">
        <v>20</v>
      </c>
      <c r="I473" s="7" t="s">
        <v>5272</v>
      </c>
      <c r="J473" s="7" t="s">
        <v>5488</v>
      </c>
      <c r="K473" s="7" t="s">
        <v>5762</v>
      </c>
    </row>
    <row r="474" customFormat="false" ht="42" hidden="false" customHeight="true" outlineLevel="0" collapsed="false">
      <c r="A474" s="7" t="n">
        <v>470</v>
      </c>
      <c r="B474" s="16" t="s">
        <v>5276</v>
      </c>
      <c r="C474" s="7" t="s">
        <v>5136</v>
      </c>
      <c r="D474" s="7" t="s">
        <v>17</v>
      </c>
      <c r="E474" s="7" t="s">
        <v>4058</v>
      </c>
      <c r="F474" s="7" t="s">
        <v>4084</v>
      </c>
      <c r="G474" s="7" t="n">
        <v>108</v>
      </c>
      <c r="H474" s="7" t="s">
        <v>20</v>
      </c>
      <c r="I474" s="7" t="s">
        <v>5471</v>
      </c>
      <c r="J474" s="7" t="s">
        <v>5488</v>
      </c>
      <c r="K474" s="7" t="s">
        <v>5763</v>
      </c>
    </row>
    <row r="475" customFormat="false" ht="42" hidden="false" customHeight="true" outlineLevel="0" collapsed="false">
      <c r="A475" s="7" t="n">
        <v>471</v>
      </c>
      <c r="B475" s="16" t="s">
        <v>5276</v>
      </c>
      <c r="C475" s="7" t="s">
        <v>5140</v>
      </c>
      <c r="D475" s="7" t="s">
        <v>22</v>
      </c>
      <c r="E475" s="7" t="s">
        <v>3996</v>
      </c>
      <c r="F475" s="7" t="s">
        <v>3997</v>
      </c>
      <c r="G475" s="7" t="n">
        <v>37</v>
      </c>
      <c r="H475" s="7" t="s">
        <v>18</v>
      </c>
      <c r="I475" s="7" t="s">
        <v>5272</v>
      </c>
      <c r="J475" s="7" t="s">
        <v>5462</v>
      </c>
      <c r="K475" s="7" t="s">
        <v>5764</v>
      </c>
    </row>
    <row r="476" customFormat="false" ht="34.5" hidden="false" customHeight="true" outlineLevel="0" collapsed="false">
      <c r="A476" s="7" t="n">
        <v>472</v>
      </c>
      <c r="B476" s="16" t="s">
        <v>5268</v>
      </c>
      <c r="C476" s="7" t="s">
        <v>5146</v>
      </c>
      <c r="D476" s="7" t="s">
        <v>25</v>
      </c>
      <c r="E476" s="7" t="s">
        <v>4003</v>
      </c>
      <c r="F476" s="7" t="s">
        <v>4224</v>
      </c>
      <c r="G476" s="7" t="n">
        <v>103</v>
      </c>
      <c r="H476" s="7" t="s">
        <v>20</v>
      </c>
      <c r="I476" s="7" t="s">
        <v>5272</v>
      </c>
      <c r="J476" s="7" t="s">
        <v>5527</v>
      </c>
      <c r="K476" s="7" t="s">
        <v>5765</v>
      </c>
    </row>
    <row r="477" customFormat="false" ht="42" hidden="false" customHeight="true" outlineLevel="0" collapsed="false">
      <c r="A477" s="7" t="n">
        <v>473</v>
      </c>
      <c r="B477" s="16" t="s">
        <v>5271</v>
      </c>
      <c r="C477" s="7" t="s">
        <v>5149</v>
      </c>
      <c r="D477" s="7" t="s">
        <v>15</v>
      </c>
      <c r="E477" s="7" t="s">
        <v>3217</v>
      </c>
      <c r="F477" s="7" t="s">
        <v>4143</v>
      </c>
      <c r="G477" s="7" t="n">
        <v>102</v>
      </c>
      <c r="H477" s="7" t="s">
        <v>20</v>
      </c>
      <c r="I477" s="7"/>
      <c r="J477" s="7" t="s">
        <v>5507</v>
      </c>
      <c r="K477" s="7" t="s">
        <v>5766</v>
      </c>
    </row>
    <row r="478" customFormat="false" ht="34.5" hidden="false" customHeight="true" outlineLevel="0" collapsed="false">
      <c r="A478" s="7" t="n">
        <v>474</v>
      </c>
      <c r="B478" s="16" t="s">
        <v>5276</v>
      </c>
      <c r="C478" s="7" t="s">
        <v>5152</v>
      </c>
      <c r="D478" s="7" t="s">
        <v>27</v>
      </c>
      <c r="E478" s="7" t="s">
        <v>3996</v>
      </c>
      <c r="F478" s="7" t="s">
        <v>4070</v>
      </c>
      <c r="G478" s="7" t="n">
        <v>105</v>
      </c>
      <c r="H478" s="7" t="s">
        <v>20</v>
      </c>
      <c r="I478" s="7"/>
      <c r="J478" s="7" t="s">
        <v>5484</v>
      </c>
      <c r="K478" s="7" t="s">
        <v>5767</v>
      </c>
    </row>
    <row r="479" customFormat="false" ht="54.75" hidden="false" customHeight="true" outlineLevel="0" collapsed="false">
      <c r="A479" s="7" t="n">
        <v>475</v>
      </c>
      <c r="B479" s="16" t="s">
        <v>5271</v>
      </c>
      <c r="C479" s="7" t="s">
        <v>5156</v>
      </c>
      <c r="D479" s="7" t="s">
        <v>19</v>
      </c>
      <c r="E479" s="7" t="s">
        <v>4003</v>
      </c>
      <c r="F479" s="7" t="s">
        <v>4004</v>
      </c>
      <c r="G479" s="7" t="n">
        <v>161</v>
      </c>
      <c r="H479" s="7" t="s">
        <v>20</v>
      </c>
      <c r="I479" s="7" t="s">
        <v>5272</v>
      </c>
      <c r="J479" s="7" t="s">
        <v>5464</v>
      </c>
      <c r="K479" s="7" t="s">
        <v>5768</v>
      </c>
    </row>
    <row r="480" customFormat="false" ht="42" hidden="false" customHeight="true" outlineLevel="0" collapsed="false">
      <c r="A480" s="7" t="n">
        <v>476</v>
      </c>
      <c r="B480" s="16" t="s">
        <v>5274</v>
      </c>
      <c r="C480" s="7" t="s">
        <v>5158</v>
      </c>
      <c r="D480" s="7" t="s">
        <v>31</v>
      </c>
      <c r="E480" s="7" t="s">
        <v>4003</v>
      </c>
      <c r="F480" s="7" t="s">
        <v>4010</v>
      </c>
      <c r="G480" s="7" t="n">
        <v>66</v>
      </c>
      <c r="H480" s="7" t="s">
        <v>18</v>
      </c>
      <c r="I480" s="7" t="s">
        <v>5272</v>
      </c>
      <c r="J480" s="7" t="s">
        <v>5466</v>
      </c>
      <c r="K480" s="7" t="s">
        <v>5769</v>
      </c>
    </row>
    <row r="481" customFormat="false" ht="42" hidden="false" customHeight="true" outlineLevel="0" collapsed="false">
      <c r="A481" s="7" t="n">
        <v>477</v>
      </c>
      <c r="B481" s="16" t="s">
        <v>5274</v>
      </c>
      <c r="C481" s="7" t="s">
        <v>5162</v>
      </c>
      <c r="D481" s="7" t="s">
        <v>17</v>
      </c>
      <c r="E481" s="7" t="s">
        <v>4044</v>
      </c>
      <c r="F481" s="7" t="s">
        <v>4045</v>
      </c>
      <c r="G481" s="7" t="n">
        <v>87</v>
      </c>
      <c r="H481" s="7" t="s">
        <v>18</v>
      </c>
      <c r="I481" s="7" t="s">
        <v>5272</v>
      </c>
      <c r="J481" s="7" t="s">
        <v>5477</v>
      </c>
      <c r="K481" s="7" t="s">
        <v>5770</v>
      </c>
    </row>
    <row r="482" customFormat="false" ht="81" hidden="false" customHeight="true" outlineLevel="0" collapsed="false">
      <c r="A482" s="7" t="n">
        <v>478</v>
      </c>
      <c r="B482" s="16" t="s">
        <v>5271</v>
      </c>
      <c r="C482" s="7" t="s">
        <v>5168</v>
      </c>
      <c r="D482" s="7" t="s">
        <v>27</v>
      </c>
      <c r="E482" s="7" t="s">
        <v>3996</v>
      </c>
      <c r="F482" s="7" t="s">
        <v>4070</v>
      </c>
      <c r="G482" s="7" t="n">
        <v>102</v>
      </c>
      <c r="H482" s="7" t="s">
        <v>20</v>
      </c>
      <c r="I482" s="7" t="s">
        <v>5272</v>
      </c>
      <c r="J482" s="7" t="s">
        <v>5484</v>
      </c>
      <c r="K482" s="7" t="s">
        <v>5771</v>
      </c>
    </row>
    <row r="483" customFormat="false" ht="42" hidden="false" customHeight="true" outlineLevel="0" collapsed="false">
      <c r="A483" s="7" t="n">
        <v>479</v>
      </c>
      <c r="B483" s="16" t="s">
        <v>5271</v>
      </c>
      <c r="C483" s="7" t="s">
        <v>5172</v>
      </c>
      <c r="D483" s="7" t="s">
        <v>21</v>
      </c>
      <c r="E483" s="7" t="s">
        <v>4058</v>
      </c>
      <c r="F483" s="7" t="s">
        <v>4059</v>
      </c>
      <c r="G483" s="7" t="n">
        <v>88</v>
      </c>
      <c r="H483" s="7" t="s">
        <v>18</v>
      </c>
      <c r="I483" s="7"/>
      <c r="J483" s="7" t="s">
        <v>5481</v>
      </c>
      <c r="K483" s="7" t="s">
        <v>5772</v>
      </c>
    </row>
    <row r="484" customFormat="false" ht="34.5" hidden="false" customHeight="true" outlineLevel="0" collapsed="false">
      <c r="A484" s="7" t="n">
        <v>480</v>
      </c>
      <c r="B484" s="16" t="s">
        <v>5276</v>
      </c>
      <c r="C484" s="7" t="s">
        <v>5175</v>
      </c>
      <c r="D484" s="7" t="s">
        <v>19</v>
      </c>
      <c r="E484" s="7" t="s">
        <v>4003</v>
      </c>
      <c r="F484" s="7" t="s">
        <v>4004</v>
      </c>
      <c r="G484" s="7" t="n">
        <v>66</v>
      </c>
      <c r="H484" s="7" t="s">
        <v>18</v>
      </c>
      <c r="I484" s="7"/>
      <c r="J484" s="7" t="s">
        <v>5464</v>
      </c>
      <c r="K484" s="7" t="s">
        <v>5773</v>
      </c>
    </row>
    <row r="485" customFormat="false" ht="42" hidden="false" customHeight="true" outlineLevel="0" collapsed="false">
      <c r="A485" s="7" t="n">
        <v>481</v>
      </c>
      <c r="B485" s="16" t="s">
        <v>5268</v>
      </c>
      <c r="C485" s="7" t="s">
        <v>5181</v>
      </c>
      <c r="D485" s="7" t="s">
        <v>25</v>
      </c>
      <c r="E485" s="7" t="s">
        <v>4019</v>
      </c>
      <c r="F485" s="7" t="s">
        <v>4020</v>
      </c>
      <c r="G485" s="7" t="n">
        <v>101</v>
      </c>
      <c r="H485" s="7" t="s">
        <v>20</v>
      </c>
      <c r="I485" s="7"/>
      <c r="J485" s="7" t="s">
        <v>5469</v>
      </c>
      <c r="K485" s="7" t="s">
        <v>5774</v>
      </c>
    </row>
    <row r="486" customFormat="false" ht="34.5" hidden="false" customHeight="true" outlineLevel="0" collapsed="false">
      <c r="A486" s="7" t="n">
        <v>482</v>
      </c>
      <c r="B486" s="16" t="s">
        <v>5274</v>
      </c>
      <c r="C486" s="7" t="s">
        <v>5182</v>
      </c>
      <c r="D486" s="7" t="s">
        <v>23</v>
      </c>
      <c r="E486" s="7" t="s">
        <v>3217</v>
      </c>
      <c r="F486" s="7" t="s">
        <v>4038</v>
      </c>
      <c r="G486" s="7" t="n">
        <v>51</v>
      </c>
      <c r="H486" s="7" t="s">
        <v>18</v>
      </c>
      <c r="I486" s="7"/>
      <c r="J486" s="7" t="s">
        <v>5475</v>
      </c>
      <c r="K486" s="7" t="s">
        <v>5775</v>
      </c>
    </row>
    <row r="487" customFormat="false" ht="34.5" hidden="false" customHeight="true" outlineLevel="0" collapsed="false">
      <c r="A487" s="7" t="n">
        <v>483</v>
      </c>
      <c r="B487" s="16" t="s">
        <v>5271</v>
      </c>
      <c r="C487" s="7" t="s">
        <v>5188</v>
      </c>
      <c r="D487" s="7" t="s">
        <v>21</v>
      </c>
      <c r="E487" s="7" t="s">
        <v>4058</v>
      </c>
      <c r="F487" s="7" t="s">
        <v>4059</v>
      </c>
      <c r="G487" s="7" t="n">
        <v>96</v>
      </c>
      <c r="H487" s="7" t="s">
        <v>18</v>
      </c>
      <c r="I487" s="7"/>
      <c r="J487" s="7" t="s">
        <v>5481</v>
      </c>
      <c r="K487" s="7" t="s">
        <v>5776</v>
      </c>
    </row>
    <row r="488" customFormat="false" ht="42" hidden="false" customHeight="true" outlineLevel="0" collapsed="false">
      <c r="A488" s="7" t="n">
        <v>484</v>
      </c>
      <c r="B488" s="16" t="s">
        <v>5271</v>
      </c>
      <c r="C488" s="7" t="s">
        <v>5193</v>
      </c>
      <c r="D488" s="7" t="s">
        <v>15</v>
      </c>
      <c r="E488" s="7" t="s">
        <v>3217</v>
      </c>
      <c r="F488" s="7" t="s">
        <v>4143</v>
      </c>
      <c r="G488" s="7" t="n">
        <v>150</v>
      </c>
      <c r="H488" s="7" t="s">
        <v>20</v>
      </c>
      <c r="I488" s="7"/>
      <c r="J488" s="7" t="s">
        <v>5507</v>
      </c>
      <c r="K488" s="7" t="s">
        <v>5777</v>
      </c>
    </row>
    <row r="489" customFormat="false" ht="54.75" hidden="false" customHeight="true" outlineLevel="0" collapsed="false">
      <c r="A489" s="7" t="n">
        <v>485</v>
      </c>
      <c r="B489" s="16" t="s">
        <v>5271</v>
      </c>
      <c r="C489" s="7" t="s">
        <v>5198</v>
      </c>
      <c r="D489" s="7" t="s">
        <v>21</v>
      </c>
      <c r="E489" s="7" t="s">
        <v>4058</v>
      </c>
      <c r="F489" s="7" t="s">
        <v>4059</v>
      </c>
      <c r="G489" s="7" t="n">
        <v>5</v>
      </c>
      <c r="H489" s="7" t="s">
        <v>18</v>
      </c>
      <c r="I489" s="7"/>
      <c r="J489" s="7" t="s">
        <v>5481</v>
      </c>
      <c r="K489" s="7" t="s">
        <v>5778</v>
      </c>
    </row>
    <row r="490" customFormat="false" ht="34.5" hidden="false" customHeight="true" outlineLevel="0" collapsed="false">
      <c r="A490" s="7" t="n">
        <v>486</v>
      </c>
      <c r="B490" s="16" t="s">
        <v>5276</v>
      </c>
      <c r="C490" s="7" t="s">
        <v>5201</v>
      </c>
      <c r="D490" s="7" t="s">
        <v>25</v>
      </c>
      <c r="E490" s="7" t="s">
        <v>4019</v>
      </c>
      <c r="F490" s="7" t="s">
        <v>4020</v>
      </c>
      <c r="G490" s="7" t="n">
        <v>104</v>
      </c>
      <c r="H490" s="7" t="s">
        <v>20</v>
      </c>
      <c r="I490" s="7"/>
      <c r="J490" s="7" t="s">
        <v>5469</v>
      </c>
      <c r="K490" s="7" t="s">
        <v>5779</v>
      </c>
    </row>
    <row r="491" customFormat="false" ht="42" hidden="false" customHeight="true" outlineLevel="0" collapsed="false">
      <c r="A491" s="7" t="n">
        <v>487</v>
      </c>
      <c r="B491" s="16" t="s">
        <v>5271</v>
      </c>
      <c r="C491" s="7" t="s">
        <v>5206</v>
      </c>
      <c r="D491" s="7" t="s">
        <v>17</v>
      </c>
      <c r="E491" s="7" t="s">
        <v>4058</v>
      </c>
      <c r="F491" s="7" t="s">
        <v>4084</v>
      </c>
      <c r="G491" s="7" t="n">
        <v>110</v>
      </c>
      <c r="H491" s="7" t="s">
        <v>20</v>
      </c>
      <c r="I491" s="7"/>
      <c r="J491" s="7" t="s">
        <v>5488</v>
      </c>
      <c r="K491" s="7" t="s">
        <v>5780</v>
      </c>
    </row>
    <row r="492" customFormat="false" ht="34.5" hidden="false" customHeight="true" outlineLevel="0" collapsed="false">
      <c r="A492" s="7" t="n">
        <v>488</v>
      </c>
      <c r="B492" s="16" t="s">
        <v>5274</v>
      </c>
      <c r="C492" s="7" t="s">
        <v>5208</v>
      </c>
      <c r="D492" s="7" t="s">
        <v>22</v>
      </c>
      <c r="E492" s="7" t="s">
        <v>3996</v>
      </c>
      <c r="F492" s="7" t="s">
        <v>3997</v>
      </c>
      <c r="G492" s="7" t="n">
        <v>72</v>
      </c>
      <c r="H492" s="7" t="s">
        <v>18</v>
      </c>
      <c r="I492" s="7"/>
      <c r="J492" s="7" t="s">
        <v>5462</v>
      </c>
      <c r="K492" s="7" t="s">
        <v>5781</v>
      </c>
    </row>
    <row r="493" customFormat="false" ht="42" hidden="false" customHeight="true" outlineLevel="0" collapsed="false">
      <c r="A493" s="7" t="n">
        <v>489</v>
      </c>
      <c r="B493" s="16" t="s">
        <v>5271</v>
      </c>
      <c r="C493" s="7" t="s">
        <v>5214</v>
      </c>
      <c r="D493" s="7" t="s">
        <v>17</v>
      </c>
      <c r="E493" s="7" t="s">
        <v>4058</v>
      </c>
      <c r="F493" s="7" t="s">
        <v>4084</v>
      </c>
      <c r="G493" s="7" t="n">
        <v>101</v>
      </c>
      <c r="H493" s="7" t="s">
        <v>20</v>
      </c>
      <c r="I493" s="7"/>
      <c r="J493" s="7" t="s">
        <v>5488</v>
      </c>
      <c r="K493" s="7" t="s">
        <v>5782</v>
      </c>
    </row>
    <row r="494" customFormat="false" ht="34.5" hidden="false" customHeight="true" outlineLevel="0" collapsed="false">
      <c r="A494" s="7" t="n">
        <v>490</v>
      </c>
      <c r="B494" s="16" t="s">
        <v>5271</v>
      </c>
      <c r="C494" s="7" t="s">
        <v>5218</v>
      </c>
      <c r="D494" s="7" t="s">
        <v>17</v>
      </c>
      <c r="E494" s="7" t="s">
        <v>4044</v>
      </c>
      <c r="F494" s="7" t="s">
        <v>4045</v>
      </c>
      <c r="G494" s="7" t="n">
        <v>90</v>
      </c>
      <c r="H494" s="7" t="s">
        <v>18</v>
      </c>
      <c r="I494" s="7"/>
      <c r="J494" s="7" t="s">
        <v>5477</v>
      </c>
      <c r="K494" s="7" t="s">
        <v>5783</v>
      </c>
    </row>
    <row r="495" customFormat="false" ht="34.5" hidden="false" customHeight="true" outlineLevel="0" collapsed="false">
      <c r="A495" s="7" t="n">
        <v>491</v>
      </c>
      <c r="B495" s="16" t="s">
        <v>5274</v>
      </c>
      <c r="C495" s="7" t="s">
        <v>5220</v>
      </c>
      <c r="D495" s="7" t="s">
        <v>29</v>
      </c>
      <c r="E495" s="7" t="s">
        <v>3217</v>
      </c>
      <c r="F495" s="7" t="s">
        <v>3898</v>
      </c>
      <c r="G495" s="7" t="n">
        <v>45</v>
      </c>
      <c r="H495" s="7" t="s">
        <v>20</v>
      </c>
      <c r="I495" s="7"/>
      <c r="J495" s="7" t="s">
        <v>5440</v>
      </c>
      <c r="K495" s="7" t="s">
        <v>5784</v>
      </c>
    </row>
    <row r="496" customFormat="false" ht="42" hidden="false" customHeight="true" outlineLevel="0" collapsed="false">
      <c r="A496" s="7" t="n">
        <v>492</v>
      </c>
      <c r="B496" s="16" t="s">
        <v>5274</v>
      </c>
      <c r="C496" s="7" t="s">
        <v>5224</v>
      </c>
      <c r="D496" s="7" t="s">
        <v>23</v>
      </c>
      <c r="E496" s="7" t="s">
        <v>3217</v>
      </c>
      <c r="F496" s="7" t="s">
        <v>4038</v>
      </c>
      <c r="G496" s="7" t="n">
        <v>21</v>
      </c>
      <c r="H496" s="7" t="s">
        <v>18</v>
      </c>
      <c r="I496" s="7"/>
      <c r="J496" s="7" t="s">
        <v>5475</v>
      </c>
      <c r="K496" s="7" t="s">
        <v>5785</v>
      </c>
    </row>
    <row r="497" customFormat="false" ht="34.5" hidden="false" customHeight="true" outlineLevel="0" collapsed="false">
      <c r="A497" s="7" t="n">
        <v>493</v>
      </c>
      <c r="B497" s="16" t="s">
        <v>5271</v>
      </c>
      <c r="C497" s="7" t="s">
        <v>5230</v>
      </c>
      <c r="D497" s="7" t="s">
        <v>17</v>
      </c>
      <c r="E497" s="7" t="s">
        <v>4044</v>
      </c>
      <c r="F497" s="7" t="s">
        <v>4045</v>
      </c>
      <c r="G497" s="7" t="n">
        <v>110</v>
      </c>
      <c r="H497" s="7" t="s">
        <v>20</v>
      </c>
      <c r="I497" s="7"/>
      <c r="J497" s="7" t="s">
        <v>5477</v>
      </c>
      <c r="K497" s="7" t="s">
        <v>5786</v>
      </c>
    </row>
    <row r="498" customFormat="false" ht="34.5" hidden="false" customHeight="true" outlineLevel="0" collapsed="false">
      <c r="A498" s="7" t="n">
        <v>494</v>
      </c>
      <c r="B498" s="16" t="s">
        <v>5271</v>
      </c>
      <c r="C498" s="7" t="s">
        <v>5235</v>
      </c>
      <c r="D498" s="7" t="s">
        <v>15</v>
      </c>
      <c r="E498" s="7" t="s">
        <v>3996</v>
      </c>
      <c r="F498" s="7" t="s">
        <v>4030</v>
      </c>
      <c r="G498" s="7" t="n">
        <v>144</v>
      </c>
      <c r="H498" s="7" t="s">
        <v>20</v>
      </c>
      <c r="I498" s="7"/>
      <c r="J498" s="7" t="s">
        <v>5473</v>
      </c>
      <c r="K498" s="7" t="s">
        <v>5787</v>
      </c>
    </row>
    <row r="499" customFormat="false" ht="34.5" hidden="false" customHeight="true" outlineLevel="0" collapsed="false">
      <c r="A499" s="7" t="n">
        <v>495</v>
      </c>
      <c r="B499" s="16" t="s">
        <v>5274</v>
      </c>
      <c r="C499" s="7" t="s">
        <v>5238</v>
      </c>
      <c r="D499" s="7" t="s">
        <v>27</v>
      </c>
      <c r="E499" s="7" t="s">
        <v>4129</v>
      </c>
      <c r="F499" s="7" t="s">
        <v>4130</v>
      </c>
      <c r="G499" s="7" t="n">
        <v>60</v>
      </c>
      <c r="H499" s="7" t="s">
        <v>18</v>
      </c>
      <c r="I499" s="7" t="s">
        <v>5272</v>
      </c>
      <c r="J499" s="7" t="s">
        <v>5502</v>
      </c>
      <c r="K499" s="7" t="s">
        <v>5788</v>
      </c>
    </row>
    <row r="500" customFormat="false" ht="34.5" hidden="false" customHeight="true" outlineLevel="0" collapsed="false">
      <c r="A500" s="7" t="n">
        <v>496</v>
      </c>
      <c r="B500" s="16" t="s">
        <v>5276</v>
      </c>
      <c r="C500" s="7" t="s">
        <v>5243</v>
      </c>
      <c r="D500" s="7" t="s">
        <v>23</v>
      </c>
      <c r="E500" s="7" t="s">
        <v>3217</v>
      </c>
      <c r="F500" s="7" t="s">
        <v>4038</v>
      </c>
      <c r="G500" s="7" t="n">
        <v>22</v>
      </c>
      <c r="H500" s="7" t="s">
        <v>18</v>
      </c>
      <c r="I500" s="7"/>
      <c r="J500" s="7" t="s">
        <v>5475</v>
      </c>
      <c r="K500" s="7" t="s">
        <v>5789</v>
      </c>
    </row>
    <row r="501" customFormat="false" ht="42" hidden="false" customHeight="true" outlineLevel="0" collapsed="false">
      <c r="A501" s="7" t="n">
        <v>497</v>
      </c>
      <c r="B501" s="16" t="s">
        <v>5268</v>
      </c>
      <c r="C501" s="7" t="s">
        <v>5249</v>
      </c>
      <c r="D501" s="7" t="s">
        <v>15</v>
      </c>
      <c r="E501" s="7" t="s">
        <v>3217</v>
      </c>
      <c r="F501" s="7" t="s">
        <v>4143</v>
      </c>
      <c r="G501" s="7" t="n">
        <v>137</v>
      </c>
      <c r="H501" s="7" t="s">
        <v>20</v>
      </c>
      <c r="I501" s="7"/>
      <c r="J501" s="7" t="s">
        <v>5507</v>
      </c>
      <c r="K501" s="7" t="s">
        <v>5790</v>
      </c>
    </row>
    <row r="502" customFormat="false" ht="42" hidden="false" customHeight="true" outlineLevel="0" collapsed="false">
      <c r="A502" s="7" t="n">
        <v>498</v>
      </c>
      <c r="B502" s="16" t="s">
        <v>5276</v>
      </c>
      <c r="C502" s="7" t="s">
        <v>5251</v>
      </c>
      <c r="D502" s="7" t="s">
        <v>21</v>
      </c>
      <c r="E502" s="7" t="s">
        <v>3217</v>
      </c>
      <c r="F502" s="7" t="s">
        <v>4108</v>
      </c>
      <c r="G502" s="7" t="n">
        <v>82</v>
      </c>
      <c r="H502" s="7" t="s">
        <v>18</v>
      </c>
      <c r="I502" s="7" t="s">
        <v>5272</v>
      </c>
      <c r="J502" s="7" t="s">
        <v>5496</v>
      </c>
      <c r="K502" s="7" t="s">
        <v>5791</v>
      </c>
    </row>
    <row r="503" customFormat="false" ht="42" hidden="false" customHeight="true" outlineLevel="0" collapsed="false">
      <c r="A503" s="7" t="n">
        <v>499</v>
      </c>
      <c r="B503" s="16" t="s">
        <v>5276</v>
      </c>
      <c r="C503" s="7" t="s">
        <v>5255</v>
      </c>
      <c r="D503" s="7" t="s">
        <v>17</v>
      </c>
      <c r="E503" s="7" t="s">
        <v>4044</v>
      </c>
      <c r="F503" s="7" t="s">
        <v>4045</v>
      </c>
      <c r="G503" s="7" t="n">
        <v>103</v>
      </c>
      <c r="H503" s="7" t="s">
        <v>20</v>
      </c>
      <c r="I503" s="7" t="s">
        <v>5272</v>
      </c>
      <c r="J503" s="7" t="s">
        <v>5477</v>
      </c>
      <c r="K503" s="7" t="s">
        <v>5792</v>
      </c>
    </row>
    <row r="504" customFormat="false" ht="34.5" hidden="false" customHeight="true" outlineLevel="0" collapsed="false">
      <c r="A504" s="7" t="n">
        <v>500</v>
      </c>
      <c r="B504" s="16" t="s">
        <v>5274</v>
      </c>
      <c r="C504" s="7" t="s">
        <v>5258</v>
      </c>
      <c r="D504" s="7" t="s">
        <v>19</v>
      </c>
      <c r="E504" s="7" t="s">
        <v>3217</v>
      </c>
      <c r="F504" s="7" t="s">
        <v>4139</v>
      </c>
      <c r="G504" s="7" t="n">
        <v>49</v>
      </c>
      <c r="H504" s="7" t="s">
        <v>18</v>
      </c>
      <c r="I504" s="7"/>
      <c r="J504" s="7" t="s">
        <v>5505</v>
      </c>
      <c r="K504" s="7" t="s">
        <v>5793</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8E73"/>
    <pageSetUpPr fitToPage="true"/>
  </sheetPr>
  <dimension ref="A1:I7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105"/>
    <col collapsed="false" customWidth="true" hidden="false" outlineLevel="0" max="4" min="4" style="0" width="24"/>
    <col collapsed="false" customWidth="true" hidden="false" outlineLevel="0" max="5" min="5" style="0" width="34"/>
    <col collapsed="false" customWidth="true" hidden="false" outlineLevel="0" max="6" min="6" style="0" width="24"/>
    <col collapsed="false" customWidth="true" hidden="false" outlineLevel="0" max="7" min="7" style="0" width="14"/>
    <col collapsed="false" customWidth="true" hidden="false" outlineLevel="0" max="8" min="8" style="0" width="70"/>
    <col collapsed="false" customWidth="true" hidden="false" outlineLevel="0" max="9" min="9" style="0" width="68"/>
  </cols>
  <sheetData>
    <row r="1" customFormat="false" ht="30" hidden="false" customHeight="true" outlineLevel="0" collapsed="false">
      <c r="A1" s="1" t="s">
        <v>5794</v>
      </c>
      <c r="B1" s="1"/>
    </row>
    <row r="2" customFormat="false" ht="31.5" hidden="false" customHeight="true" outlineLevel="0" collapsed="false">
      <c r="A2" s="2" t="s">
        <v>5795</v>
      </c>
      <c r="B2" s="2"/>
    </row>
    <row r="4" customFormat="false" ht="23.85" hidden="false" customHeight="false" outlineLevel="0" collapsed="false">
      <c r="A4" s="6" t="s">
        <v>5796</v>
      </c>
      <c r="B4" s="6" t="s">
        <v>5797</v>
      </c>
      <c r="C4" s="6" t="s">
        <v>3208</v>
      </c>
      <c r="D4" s="6" t="s">
        <v>5798</v>
      </c>
      <c r="E4" s="6" t="s">
        <v>5799</v>
      </c>
      <c r="F4" s="6" t="s">
        <v>5800</v>
      </c>
      <c r="G4" s="6" t="s">
        <v>5801</v>
      </c>
      <c r="H4" s="6" t="s">
        <v>5802</v>
      </c>
      <c r="I4" s="6" t="s">
        <v>5803</v>
      </c>
    </row>
    <row r="5" customFormat="false" ht="58.5" hidden="false" customHeight="true" outlineLevel="0" collapsed="false">
      <c r="A5" s="7" t="s">
        <v>3225</v>
      </c>
      <c r="B5" s="7" t="s">
        <v>5804</v>
      </c>
      <c r="C5" s="7" t="s">
        <v>5805</v>
      </c>
      <c r="D5" s="7" t="s">
        <v>5806</v>
      </c>
      <c r="E5" s="7" t="s">
        <v>3218</v>
      </c>
      <c r="F5" s="7" t="s">
        <v>5807</v>
      </c>
      <c r="G5" s="7" t="s">
        <v>4495</v>
      </c>
      <c r="H5" s="7" t="s">
        <v>5808</v>
      </c>
      <c r="I5" s="7" t="s">
        <v>5809</v>
      </c>
    </row>
    <row r="6" customFormat="false" ht="84.75" hidden="false" customHeight="true" outlineLevel="0" collapsed="false">
      <c r="A6" s="7" t="s">
        <v>3319</v>
      </c>
      <c r="B6" s="7" t="s">
        <v>5810</v>
      </c>
      <c r="C6" s="7" t="s">
        <v>5811</v>
      </c>
      <c r="D6" s="7" t="s">
        <v>5812</v>
      </c>
      <c r="E6" s="7" t="s">
        <v>3218</v>
      </c>
      <c r="F6" s="7" t="s">
        <v>5813</v>
      </c>
      <c r="G6" s="7" t="s">
        <v>5814</v>
      </c>
      <c r="H6" s="7" t="s">
        <v>5808</v>
      </c>
      <c r="I6" s="7" t="s">
        <v>5809</v>
      </c>
    </row>
    <row r="7" customFormat="false" ht="97.5" hidden="false" customHeight="true" outlineLevel="0" collapsed="false">
      <c r="A7" s="7" t="s">
        <v>3319</v>
      </c>
      <c r="B7" s="7" t="s">
        <v>5815</v>
      </c>
      <c r="C7" s="7" t="s">
        <v>5816</v>
      </c>
      <c r="D7" s="7" t="s">
        <v>5812</v>
      </c>
      <c r="E7" s="7" t="s">
        <v>3218</v>
      </c>
      <c r="F7" s="7" t="s">
        <v>5813</v>
      </c>
      <c r="G7" s="7" t="s">
        <v>5814</v>
      </c>
      <c r="H7" s="7" t="s">
        <v>5808</v>
      </c>
      <c r="I7" s="7" t="s">
        <v>5809</v>
      </c>
    </row>
    <row r="8" customFormat="false" ht="48" hidden="false" customHeight="true" outlineLevel="0" collapsed="false">
      <c r="A8" s="7" t="s">
        <v>3319</v>
      </c>
      <c r="B8" s="7" t="s">
        <v>5817</v>
      </c>
      <c r="C8" s="7" t="s">
        <v>5818</v>
      </c>
      <c r="D8" s="7" t="s">
        <v>5812</v>
      </c>
      <c r="E8" s="7" t="s">
        <v>3218</v>
      </c>
      <c r="F8" s="7" t="s">
        <v>5813</v>
      </c>
      <c r="G8" s="7" t="s">
        <v>5814</v>
      </c>
      <c r="H8" s="7" t="s">
        <v>5808</v>
      </c>
      <c r="I8" s="7" t="s">
        <v>5809</v>
      </c>
    </row>
    <row r="9" customFormat="false" ht="111" hidden="false" customHeight="true" outlineLevel="0" collapsed="false">
      <c r="A9" s="7" t="s">
        <v>3414</v>
      </c>
      <c r="B9" s="7" t="s">
        <v>5810</v>
      </c>
      <c r="C9" s="7" t="s">
        <v>5819</v>
      </c>
      <c r="D9" s="7" t="s">
        <v>5820</v>
      </c>
      <c r="E9" s="7" t="s">
        <v>3218</v>
      </c>
      <c r="F9" s="7" t="s">
        <v>5821</v>
      </c>
      <c r="G9" s="7" t="s">
        <v>5822</v>
      </c>
      <c r="H9" s="7" t="s">
        <v>5808</v>
      </c>
      <c r="I9" s="7" t="s">
        <v>5809</v>
      </c>
    </row>
    <row r="10" customFormat="false" ht="97.5" hidden="false" customHeight="true" outlineLevel="0" collapsed="false">
      <c r="A10" s="7" t="s">
        <v>3414</v>
      </c>
      <c r="B10" s="7" t="s">
        <v>5815</v>
      </c>
      <c r="C10" s="7" t="s">
        <v>5823</v>
      </c>
      <c r="D10" s="7" t="s">
        <v>5820</v>
      </c>
      <c r="E10" s="7" t="s">
        <v>3218</v>
      </c>
      <c r="F10" s="7" t="s">
        <v>5821</v>
      </c>
      <c r="G10" s="7" t="s">
        <v>5822</v>
      </c>
      <c r="H10" s="7" t="s">
        <v>5808</v>
      </c>
      <c r="I10" s="7" t="s">
        <v>5809</v>
      </c>
    </row>
    <row r="11" customFormat="false" ht="48" hidden="false" customHeight="true" outlineLevel="0" collapsed="false">
      <c r="A11" s="7" t="s">
        <v>3414</v>
      </c>
      <c r="B11" s="7" t="s">
        <v>5817</v>
      </c>
      <c r="C11" s="7" t="s">
        <v>5824</v>
      </c>
      <c r="D11" s="7" t="s">
        <v>5820</v>
      </c>
      <c r="E11" s="7" t="s">
        <v>3218</v>
      </c>
      <c r="F11" s="7" t="s">
        <v>5821</v>
      </c>
      <c r="G11" s="7" t="s">
        <v>5822</v>
      </c>
      <c r="H11" s="7" t="s">
        <v>5808</v>
      </c>
      <c r="I11" s="7" t="s">
        <v>5809</v>
      </c>
    </row>
    <row r="12" customFormat="false" ht="48" hidden="false" customHeight="true" outlineLevel="0" collapsed="false">
      <c r="A12" s="7" t="s">
        <v>5825</v>
      </c>
      <c r="B12" s="7" t="s">
        <v>5826</v>
      </c>
      <c r="C12" s="7" t="s">
        <v>5827</v>
      </c>
      <c r="D12" s="7" t="s">
        <v>5828</v>
      </c>
      <c r="E12" s="7" t="s">
        <v>3218</v>
      </c>
      <c r="F12" s="7" t="s">
        <v>5829</v>
      </c>
      <c r="G12" s="7" t="s">
        <v>5830</v>
      </c>
      <c r="H12" s="7" t="s">
        <v>5808</v>
      </c>
      <c r="I12" s="7" t="s">
        <v>5809</v>
      </c>
    </row>
    <row r="13" customFormat="false" ht="58.5" hidden="false" customHeight="true" outlineLevel="0" collapsed="false">
      <c r="A13" s="7" t="s">
        <v>5831</v>
      </c>
      <c r="B13" s="7" t="s">
        <v>5826</v>
      </c>
      <c r="C13" s="7" t="s">
        <v>5832</v>
      </c>
      <c r="D13" s="7" t="s">
        <v>5833</v>
      </c>
      <c r="E13" s="7" t="s">
        <v>3218</v>
      </c>
      <c r="F13" s="7" t="s">
        <v>5834</v>
      </c>
      <c r="G13" s="7" t="s">
        <v>4848</v>
      </c>
      <c r="H13" s="7" t="s">
        <v>5808</v>
      </c>
      <c r="I13" s="7" t="s">
        <v>5809</v>
      </c>
    </row>
    <row r="14" customFormat="false" ht="58.5" hidden="false" customHeight="true" outlineLevel="0" collapsed="false">
      <c r="A14" s="7" t="s">
        <v>5835</v>
      </c>
      <c r="B14" s="7" t="s">
        <v>5826</v>
      </c>
      <c r="C14" s="7" t="s">
        <v>5836</v>
      </c>
      <c r="D14" s="7" t="s">
        <v>5837</v>
      </c>
      <c r="E14" s="7" t="s">
        <v>3218</v>
      </c>
      <c r="F14" s="7" t="s">
        <v>5838</v>
      </c>
      <c r="G14" s="7" t="s">
        <v>5839</v>
      </c>
      <c r="H14" s="7" t="s">
        <v>5808</v>
      </c>
      <c r="I14" s="7" t="s">
        <v>5809</v>
      </c>
    </row>
    <row r="15" customFormat="false" ht="111" hidden="false" customHeight="true" outlineLevel="0" collapsed="false">
      <c r="A15" s="7" t="s">
        <v>3517</v>
      </c>
      <c r="B15" s="7" t="s">
        <v>5810</v>
      </c>
      <c r="C15" s="7" t="s">
        <v>5840</v>
      </c>
      <c r="D15" s="7" t="s">
        <v>5841</v>
      </c>
      <c r="E15" s="7" t="s">
        <v>3218</v>
      </c>
      <c r="F15" s="7" t="s">
        <v>5842</v>
      </c>
      <c r="G15" s="7" t="s">
        <v>5843</v>
      </c>
      <c r="H15" s="7" t="s">
        <v>5808</v>
      </c>
      <c r="I15" s="7" t="s">
        <v>5809</v>
      </c>
    </row>
    <row r="16" customFormat="false" ht="97.5" hidden="false" customHeight="true" outlineLevel="0" collapsed="false">
      <c r="A16" s="7" t="s">
        <v>3517</v>
      </c>
      <c r="B16" s="7" t="s">
        <v>5815</v>
      </c>
      <c r="C16" s="7" t="s">
        <v>5844</v>
      </c>
      <c r="D16" s="7" t="s">
        <v>5841</v>
      </c>
      <c r="E16" s="7" t="s">
        <v>3218</v>
      </c>
      <c r="F16" s="7" t="s">
        <v>5842</v>
      </c>
      <c r="G16" s="7" t="s">
        <v>5843</v>
      </c>
      <c r="H16" s="7" t="s">
        <v>5808</v>
      </c>
      <c r="I16" s="7" t="s">
        <v>5809</v>
      </c>
    </row>
    <row r="17" customFormat="false" ht="58.5" hidden="false" customHeight="true" outlineLevel="0" collapsed="false">
      <c r="A17" s="7" t="s">
        <v>3517</v>
      </c>
      <c r="B17" s="7" t="s">
        <v>5817</v>
      </c>
      <c r="C17" s="7" t="s">
        <v>5845</v>
      </c>
      <c r="D17" s="7" t="s">
        <v>5841</v>
      </c>
      <c r="E17" s="7" t="s">
        <v>3218</v>
      </c>
      <c r="F17" s="7" t="s">
        <v>5842</v>
      </c>
      <c r="G17" s="7" t="s">
        <v>5843</v>
      </c>
      <c r="H17" s="7" t="s">
        <v>5808</v>
      </c>
      <c r="I17" s="7" t="s">
        <v>5809</v>
      </c>
    </row>
    <row r="18" customFormat="false" ht="111" hidden="false" customHeight="true" outlineLevel="0" collapsed="false">
      <c r="A18" s="7" t="s">
        <v>3607</v>
      </c>
      <c r="B18" s="7" t="s">
        <v>5846</v>
      </c>
      <c r="C18" s="7" t="s">
        <v>5847</v>
      </c>
      <c r="D18" s="7" t="s">
        <v>5848</v>
      </c>
      <c r="E18" s="7" t="s">
        <v>3218</v>
      </c>
      <c r="F18" s="7" t="s">
        <v>5849</v>
      </c>
      <c r="G18" s="7" t="s">
        <v>5850</v>
      </c>
      <c r="H18" s="7" t="s">
        <v>5808</v>
      </c>
      <c r="I18" s="7" t="s">
        <v>5809</v>
      </c>
    </row>
    <row r="19" customFormat="false" ht="48" hidden="false" customHeight="true" outlineLevel="0" collapsed="false">
      <c r="A19" s="7" t="s">
        <v>3607</v>
      </c>
      <c r="B19" s="7" t="s">
        <v>5851</v>
      </c>
      <c r="C19" s="7" t="s">
        <v>5852</v>
      </c>
      <c r="D19" s="7" t="s">
        <v>5848</v>
      </c>
      <c r="E19" s="7" t="s">
        <v>3218</v>
      </c>
      <c r="F19" s="7" t="s">
        <v>5849</v>
      </c>
      <c r="G19" s="7" t="s">
        <v>5850</v>
      </c>
      <c r="H19" s="7" t="s">
        <v>5808</v>
      </c>
      <c r="I19" s="7" t="s">
        <v>5809</v>
      </c>
    </row>
    <row r="20" customFormat="false" ht="97.5" hidden="false" customHeight="true" outlineLevel="0" collapsed="false">
      <c r="A20" s="7" t="s">
        <v>5853</v>
      </c>
      <c r="B20" s="7" t="s">
        <v>5854</v>
      </c>
      <c r="C20" s="7" t="s">
        <v>5855</v>
      </c>
      <c r="D20" s="7" t="s">
        <v>5856</v>
      </c>
      <c r="E20" s="7" t="s">
        <v>3218</v>
      </c>
      <c r="F20" s="7" t="s">
        <v>5857</v>
      </c>
      <c r="G20" s="7" t="s">
        <v>5858</v>
      </c>
      <c r="H20" s="7" t="s">
        <v>5808</v>
      </c>
      <c r="I20" s="7" t="s">
        <v>5809</v>
      </c>
    </row>
    <row r="21" customFormat="false" ht="84.75" hidden="false" customHeight="true" outlineLevel="0" collapsed="false">
      <c r="A21" s="7" t="s">
        <v>5853</v>
      </c>
      <c r="B21" s="7" t="s">
        <v>5859</v>
      </c>
      <c r="C21" s="7" t="s">
        <v>5860</v>
      </c>
      <c r="D21" s="7" t="s">
        <v>5856</v>
      </c>
      <c r="E21" s="7" t="s">
        <v>3218</v>
      </c>
      <c r="F21" s="7" t="s">
        <v>5857</v>
      </c>
      <c r="G21" s="7" t="s">
        <v>5858</v>
      </c>
      <c r="H21" s="7" t="s">
        <v>5808</v>
      </c>
      <c r="I21" s="7" t="s">
        <v>5809</v>
      </c>
    </row>
    <row r="22" customFormat="false" ht="48" hidden="false" customHeight="true" outlineLevel="0" collapsed="false">
      <c r="A22" s="7" t="s">
        <v>5861</v>
      </c>
      <c r="B22" s="7" t="s">
        <v>5826</v>
      </c>
      <c r="C22" s="7" t="s">
        <v>5862</v>
      </c>
      <c r="D22" s="7" t="s">
        <v>5863</v>
      </c>
      <c r="E22" s="7" t="s">
        <v>3218</v>
      </c>
      <c r="F22" s="7" t="s">
        <v>5864</v>
      </c>
      <c r="G22" s="7" t="s">
        <v>5865</v>
      </c>
      <c r="H22" s="7" t="s">
        <v>5808</v>
      </c>
      <c r="I22" s="7" t="s">
        <v>5809</v>
      </c>
    </row>
    <row r="23" customFormat="false" ht="48" hidden="false" customHeight="true" outlineLevel="0" collapsed="false">
      <c r="A23" s="7" t="s">
        <v>5866</v>
      </c>
      <c r="B23" s="7" t="s">
        <v>5826</v>
      </c>
      <c r="C23" s="7" t="s">
        <v>5867</v>
      </c>
      <c r="D23" s="7" t="s">
        <v>5868</v>
      </c>
      <c r="E23" s="7" t="s">
        <v>3218</v>
      </c>
      <c r="F23" s="7" t="s">
        <v>5869</v>
      </c>
      <c r="G23" s="7" t="s">
        <v>5870</v>
      </c>
      <c r="H23" s="7" t="s">
        <v>5808</v>
      </c>
      <c r="I23" s="7" t="s">
        <v>5809</v>
      </c>
    </row>
    <row r="24" customFormat="false" ht="97.5" hidden="false" customHeight="true" outlineLevel="0" collapsed="false">
      <c r="A24" s="7" t="s">
        <v>5871</v>
      </c>
      <c r="B24" s="7" t="s">
        <v>5854</v>
      </c>
      <c r="C24" s="7" t="s">
        <v>5872</v>
      </c>
      <c r="D24" s="7" t="s">
        <v>5873</v>
      </c>
      <c r="E24" s="7" t="s">
        <v>3218</v>
      </c>
      <c r="F24" s="7" t="s">
        <v>5874</v>
      </c>
      <c r="G24" s="7" t="s">
        <v>5875</v>
      </c>
      <c r="H24" s="7" t="s">
        <v>5808</v>
      </c>
      <c r="I24" s="7" t="s">
        <v>5809</v>
      </c>
    </row>
    <row r="25" customFormat="false" ht="72" hidden="false" customHeight="true" outlineLevel="0" collapsed="false">
      <c r="A25" s="7" t="s">
        <v>5871</v>
      </c>
      <c r="B25" s="7" t="s">
        <v>5859</v>
      </c>
      <c r="C25" s="7" t="s">
        <v>5876</v>
      </c>
      <c r="D25" s="7" t="s">
        <v>5873</v>
      </c>
      <c r="E25" s="7" t="s">
        <v>3218</v>
      </c>
      <c r="F25" s="7" t="s">
        <v>5874</v>
      </c>
      <c r="G25" s="7" t="s">
        <v>5875</v>
      </c>
      <c r="H25" s="7" t="s">
        <v>5808</v>
      </c>
      <c r="I25" s="7" t="s">
        <v>5809</v>
      </c>
    </row>
    <row r="26" customFormat="false" ht="214.5" hidden="false" customHeight="true" outlineLevel="0" collapsed="false">
      <c r="A26" s="7" t="s">
        <v>3711</v>
      </c>
      <c r="B26" s="7" t="s">
        <v>5877</v>
      </c>
      <c r="C26" s="7" t="s">
        <v>5878</v>
      </c>
      <c r="D26" s="7" t="s">
        <v>5879</v>
      </c>
      <c r="E26" s="7" t="s">
        <v>3218</v>
      </c>
      <c r="F26" s="7" t="s">
        <v>5880</v>
      </c>
      <c r="G26" s="7" t="s">
        <v>5881</v>
      </c>
      <c r="H26" s="7" t="s">
        <v>5808</v>
      </c>
      <c r="I26" s="7" t="s">
        <v>5809</v>
      </c>
    </row>
    <row r="27" customFormat="false" ht="150" hidden="false" customHeight="true" outlineLevel="0" collapsed="false">
      <c r="A27" s="7" t="s">
        <v>3711</v>
      </c>
      <c r="B27" s="7" t="s">
        <v>5882</v>
      </c>
      <c r="C27" s="7" t="s">
        <v>5883</v>
      </c>
      <c r="D27" s="7" t="s">
        <v>5879</v>
      </c>
      <c r="E27" s="7" t="s">
        <v>3218</v>
      </c>
      <c r="F27" s="7" t="s">
        <v>5880</v>
      </c>
      <c r="G27" s="7" t="s">
        <v>5881</v>
      </c>
      <c r="H27" s="7" t="s">
        <v>5808</v>
      </c>
      <c r="I27" s="7" t="s">
        <v>5809</v>
      </c>
    </row>
    <row r="28" customFormat="false" ht="162.75" hidden="false" customHeight="true" outlineLevel="0" collapsed="false">
      <c r="A28" s="7" t="s">
        <v>3711</v>
      </c>
      <c r="B28" s="7" t="s">
        <v>5884</v>
      </c>
      <c r="C28" s="7" t="s">
        <v>5885</v>
      </c>
      <c r="D28" s="7" t="s">
        <v>5879</v>
      </c>
      <c r="E28" s="7" t="s">
        <v>3218</v>
      </c>
      <c r="F28" s="7" t="s">
        <v>5880</v>
      </c>
      <c r="G28" s="7" t="s">
        <v>5881</v>
      </c>
      <c r="H28" s="7" t="s">
        <v>5808</v>
      </c>
      <c r="I28" s="7" t="s">
        <v>5809</v>
      </c>
    </row>
    <row r="29" customFormat="false" ht="97.5" hidden="false" customHeight="true" outlineLevel="0" collapsed="false">
      <c r="A29" s="7" t="s">
        <v>3711</v>
      </c>
      <c r="B29" s="7" t="s">
        <v>5886</v>
      </c>
      <c r="C29" s="7" t="s">
        <v>5887</v>
      </c>
      <c r="D29" s="7" t="s">
        <v>5879</v>
      </c>
      <c r="E29" s="7" t="s">
        <v>3218</v>
      </c>
      <c r="F29" s="7" t="s">
        <v>5880</v>
      </c>
      <c r="G29" s="7" t="s">
        <v>5881</v>
      </c>
      <c r="H29" s="7" t="s">
        <v>5808</v>
      </c>
      <c r="I29" s="7" t="s">
        <v>5809</v>
      </c>
    </row>
    <row r="30" customFormat="false" ht="111" hidden="false" customHeight="true" outlineLevel="0" collapsed="false">
      <c r="A30" s="7" t="s">
        <v>3711</v>
      </c>
      <c r="B30" s="7" t="s">
        <v>5888</v>
      </c>
      <c r="C30" s="7" t="s">
        <v>5889</v>
      </c>
      <c r="D30" s="7" t="s">
        <v>5879</v>
      </c>
      <c r="E30" s="7" t="s">
        <v>3218</v>
      </c>
      <c r="F30" s="7" t="s">
        <v>5880</v>
      </c>
      <c r="G30" s="7" t="s">
        <v>5881</v>
      </c>
      <c r="H30" s="7" t="s">
        <v>5808</v>
      </c>
      <c r="I30" s="7" t="s">
        <v>5809</v>
      </c>
    </row>
    <row r="31" customFormat="false" ht="136.5" hidden="false" customHeight="true" outlineLevel="0" collapsed="false">
      <c r="A31" s="7" t="s">
        <v>5890</v>
      </c>
      <c r="B31" s="7" t="s">
        <v>5826</v>
      </c>
      <c r="C31" s="7" t="s">
        <v>5891</v>
      </c>
      <c r="D31" s="7" t="s">
        <v>5892</v>
      </c>
      <c r="E31" s="7" t="s">
        <v>3218</v>
      </c>
      <c r="F31" s="7" t="s">
        <v>5893</v>
      </c>
      <c r="G31" s="7" t="s">
        <v>5894</v>
      </c>
      <c r="H31" s="7" t="s">
        <v>5808</v>
      </c>
      <c r="I31" s="7" t="s">
        <v>5809</v>
      </c>
    </row>
    <row r="32" customFormat="false" ht="48" hidden="false" customHeight="true" outlineLevel="0" collapsed="false">
      <c r="A32" s="7" t="s">
        <v>5895</v>
      </c>
      <c r="B32" s="7" t="s">
        <v>5826</v>
      </c>
      <c r="C32" s="7" t="s">
        <v>5896</v>
      </c>
      <c r="D32" s="7" t="s">
        <v>5897</v>
      </c>
      <c r="E32" s="7" t="s">
        <v>3218</v>
      </c>
      <c r="F32" s="7" t="s">
        <v>5898</v>
      </c>
      <c r="G32" s="7" t="s">
        <v>5899</v>
      </c>
      <c r="H32" s="7" t="s">
        <v>5808</v>
      </c>
      <c r="I32" s="7" t="s">
        <v>5809</v>
      </c>
    </row>
    <row r="33" customFormat="false" ht="175.5" hidden="false" customHeight="true" outlineLevel="0" collapsed="false">
      <c r="A33" s="7" t="s">
        <v>5900</v>
      </c>
      <c r="B33" s="7" t="s">
        <v>5854</v>
      </c>
      <c r="C33" s="7" t="s">
        <v>5901</v>
      </c>
      <c r="D33" s="7" t="s">
        <v>5902</v>
      </c>
      <c r="E33" s="7" t="s">
        <v>3218</v>
      </c>
      <c r="F33" s="7" t="s">
        <v>5903</v>
      </c>
      <c r="G33" s="7" t="s">
        <v>5904</v>
      </c>
      <c r="H33" s="7" t="s">
        <v>5808</v>
      </c>
      <c r="I33" s="7" t="s">
        <v>5809</v>
      </c>
    </row>
    <row r="34" customFormat="false" ht="72" hidden="false" customHeight="true" outlineLevel="0" collapsed="false">
      <c r="A34" s="7" t="s">
        <v>5900</v>
      </c>
      <c r="B34" s="7" t="s">
        <v>5859</v>
      </c>
      <c r="C34" s="7" t="s">
        <v>5905</v>
      </c>
      <c r="D34" s="7" t="s">
        <v>5902</v>
      </c>
      <c r="E34" s="7" t="s">
        <v>3218</v>
      </c>
      <c r="F34" s="7" t="s">
        <v>5903</v>
      </c>
      <c r="G34" s="7" t="s">
        <v>5904</v>
      </c>
      <c r="H34" s="7" t="s">
        <v>5808</v>
      </c>
      <c r="I34" s="7" t="s">
        <v>5809</v>
      </c>
    </row>
    <row r="35" customFormat="false" ht="150" hidden="false" customHeight="true" outlineLevel="0" collapsed="false">
      <c r="A35" s="7" t="s">
        <v>5906</v>
      </c>
      <c r="B35" s="7" t="s">
        <v>5907</v>
      </c>
      <c r="C35" s="7" t="s">
        <v>5908</v>
      </c>
      <c r="D35" s="7" t="s">
        <v>5909</v>
      </c>
      <c r="E35" s="7" t="s">
        <v>3218</v>
      </c>
      <c r="F35" s="7" t="s">
        <v>5910</v>
      </c>
      <c r="G35" s="7" t="s">
        <v>5911</v>
      </c>
      <c r="H35" s="7" t="s">
        <v>5808</v>
      </c>
      <c r="I35" s="7" t="s">
        <v>5809</v>
      </c>
    </row>
    <row r="36" customFormat="false" ht="162.75" hidden="false" customHeight="true" outlineLevel="0" collapsed="false">
      <c r="A36" s="7" t="s">
        <v>5906</v>
      </c>
      <c r="B36" s="7" t="s">
        <v>5912</v>
      </c>
      <c r="C36" s="7" t="s">
        <v>5913</v>
      </c>
      <c r="D36" s="7" t="s">
        <v>5909</v>
      </c>
      <c r="E36" s="7" t="s">
        <v>3218</v>
      </c>
      <c r="F36" s="7" t="s">
        <v>5910</v>
      </c>
      <c r="G36" s="7" t="s">
        <v>5911</v>
      </c>
      <c r="H36" s="7" t="s">
        <v>5808</v>
      </c>
      <c r="I36" s="7" t="s">
        <v>5809</v>
      </c>
    </row>
    <row r="37" customFormat="false" ht="48" hidden="false" customHeight="true" outlineLevel="0" collapsed="false">
      <c r="A37" s="7" t="s">
        <v>5906</v>
      </c>
      <c r="B37" s="7" t="s">
        <v>5914</v>
      </c>
      <c r="C37" s="7" t="s">
        <v>5915</v>
      </c>
      <c r="D37" s="7" t="s">
        <v>5909</v>
      </c>
      <c r="E37" s="7" t="s">
        <v>3218</v>
      </c>
      <c r="F37" s="7" t="s">
        <v>5910</v>
      </c>
      <c r="G37" s="7" t="s">
        <v>5911</v>
      </c>
      <c r="H37" s="7" t="s">
        <v>5808</v>
      </c>
      <c r="I37" s="7" t="s">
        <v>5809</v>
      </c>
    </row>
    <row r="38" customFormat="false" ht="150" hidden="false" customHeight="true" outlineLevel="0" collapsed="false">
      <c r="A38" s="7" t="s">
        <v>3810</v>
      </c>
      <c r="B38" s="7" t="s">
        <v>5916</v>
      </c>
      <c r="C38" s="7" t="s">
        <v>5917</v>
      </c>
      <c r="D38" s="7" t="s">
        <v>5918</v>
      </c>
      <c r="E38" s="7" t="s">
        <v>3218</v>
      </c>
      <c r="F38" s="7" t="s">
        <v>5919</v>
      </c>
      <c r="G38" s="7" t="s">
        <v>5920</v>
      </c>
      <c r="H38" s="7" t="s">
        <v>5808</v>
      </c>
      <c r="I38" s="7" t="s">
        <v>5809</v>
      </c>
    </row>
    <row r="39" customFormat="false" ht="189" hidden="false" customHeight="true" outlineLevel="0" collapsed="false">
      <c r="A39" s="7" t="s">
        <v>3810</v>
      </c>
      <c r="B39" s="7" t="s">
        <v>5921</v>
      </c>
      <c r="C39" s="7" t="s">
        <v>5922</v>
      </c>
      <c r="D39" s="7" t="s">
        <v>5918</v>
      </c>
      <c r="E39" s="7" t="s">
        <v>3218</v>
      </c>
      <c r="F39" s="7" t="s">
        <v>5919</v>
      </c>
      <c r="G39" s="7" t="s">
        <v>5920</v>
      </c>
      <c r="H39" s="7" t="s">
        <v>5808</v>
      </c>
      <c r="I39" s="7" t="s">
        <v>5809</v>
      </c>
    </row>
    <row r="40" customFormat="false" ht="214.5" hidden="false" customHeight="true" outlineLevel="0" collapsed="false">
      <c r="A40" s="7" t="s">
        <v>3810</v>
      </c>
      <c r="B40" s="7" t="s">
        <v>5923</v>
      </c>
      <c r="C40" s="7" t="s">
        <v>5924</v>
      </c>
      <c r="D40" s="7" t="s">
        <v>5918</v>
      </c>
      <c r="E40" s="7" t="s">
        <v>3218</v>
      </c>
      <c r="F40" s="7" t="s">
        <v>5919</v>
      </c>
      <c r="G40" s="7" t="s">
        <v>5920</v>
      </c>
      <c r="H40" s="7" t="s">
        <v>5808</v>
      </c>
      <c r="I40" s="7" t="s">
        <v>5809</v>
      </c>
    </row>
    <row r="41" customFormat="false" ht="201.75" hidden="false" customHeight="true" outlineLevel="0" collapsed="false">
      <c r="A41" s="7" t="s">
        <v>3810</v>
      </c>
      <c r="B41" s="7" t="s">
        <v>5925</v>
      </c>
      <c r="C41" s="7" t="s">
        <v>5926</v>
      </c>
      <c r="D41" s="7" t="s">
        <v>5918</v>
      </c>
      <c r="E41" s="7" t="s">
        <v>3218</v>
      </c>
      <c r="F41" s="7" t="s">
        <v>5919</v>
      </c>
      <c r="G41" s="7" t="s">
        <v>5920</v>
      </c>
      <c r="H41" s="7" t="s">
        <v>5808</v>
      </c>
      <c r="I41" s="7" t="s">
        <v>5809</v>
      </c>
    </row>
    <row r="42" customFormat="false" ht="162.75" hidden="false" customHeight="true" outlineLevel="0" collapsed="false">
      <c r="A42" s="7" t="s">
        <v>3810</v>
      </c>
      <c r="B42" s="7" t="s">
        <v>5927</v>
      </c>
      <c r="C42" s="7" t="s">
        <v>5928</v>
      </c>
      <c r="D42" s="7" t="s">
        <v>5918</v>
      </c>
      <c r="E42" s="7" t="s">
        <v>3218</v>
      </c>
      <c r="F42" s="7" t="s">
        <v>5919</v>
      </c>
      <c r="G42" s="7" t="s">
        <v>5920</v>
      </c>
      <c r="H42" s="7" t="s">
        <v>5808</v>
      </c>
      <c r="I42" s="7" t="s">
        <v>5809</v>
      </c>
    </row>
    <row r="43" customFormat="false" ht="58.5" hidden="false" customHeight="true" outlineLevel="0" collapsed="false">
      <c r="A43" s="7" t="s">
        <v>3810</v>
      </c>
      <c r="B43" s="7" t="s">
        <v>5929</v>
      </c>
      <c r="C43" s="7" t="s">
        <v>5930</v>
      </c>
      <c r="D43" s="7" t="s">
        <v>5918</v>
      </c>
      <c r="E43" s="7" t="s">
        <v>3218</v>
      </c>
      <c r="F43" s="7" t="s">
        <v>5919</v>
      </c>
      <c r="G43" s="7" t="s">
        <v>5920</v>
      </c>
      <c r="H43" s="7" t="s">
        <v>5808</v>
      </c>
      <c r="I43" s="7" t="s">
        <v>5809</v>
      </c>
    </row>
    <row r="44" customFormat="false" ht="84.75" hidden="false" customHeight="true" outlineLevel="0" collapsed="false">
      <c r="A44" s="7" t="s">
        <v>3810</v>
      </c>
      <c r="B44" s="7" t="s">
        <v>5931</v>
      </c>
      <c r="C44" s="7" t="s">
        <v>5932</v>
      </c>
      <c r="D44" s="7" t="s">
        <v>5918</v>
      </c>
      <c r="E44" s="7" t="s">
        <v>3218</v>
      </c>
      <c r="F44" s="7" t="s">
        <v>5919</v>
      </c>
      <c r="G44" s="7" t="s">
        <v>5920</v>
      </c>
      <c r="H44" s="7" t="s">
        <v>5808</v>
      </c>
      <c r="I44" s="7" t="s">
        <v>5809</v>
      </c>
    </row>
    <row r="45" customFormat="false" ht="214.5" hidden="false" customHeight="true" outlineLevel="0" collapsed="false">
      <c r="A45" s="7" t="s">
        <v>3810</v>
      </c>
      <c r="B45" s="7" t="s">
        <v>5933</v>
      </c>
      <c r="C45" s="7" t="s">
        <v>5934</v>
      </c>
      <c r="D45" s="7" t="s">
        <v>5918</v>
      </c>
      <c r="E45" s="7" t="s">
        <v>3218</v>
      </c>
      <c r="F45" s="7" t="s">
        <v>5919</v>
      </c>
      <c r="G45" s="7" t="s">
        <v>5920</v>
      </c>
      <c r="H45" s="7" t="s">
        <v>5808</v>
      </c>
      <c r="I45" s="7" t="s">
        <v>5809</v>
      </c>
    </row>
    <row r="46" customFormat="false" ht="162.75" hidden="false" customHeight="true" outlineLevel="0" collapsed="false">
      <c r="A46" s="7" t="s">
        <v>3810</v>
      </c>
      <c r="B46" s="7" t="s">
        <v>5935</v>
      </c>
      <c r="C46" s="7" t="s">
        <v>5936</v>
      </c>
      <c r="D46" s="7" t="s">
        <v>5918</v>
      </c>
      <c r="E46" s="7" t="s">
        <v>3218</v>
      </c>
      <c r="F46" s="7" t="s">
        <v>5919</v>
      </c>
      <c r="G46" s="7" t="s">
        <v>5920</v>
      </c>
      <c r="H46" s="7" t="s">
        <v>5808</v>
      </c>
      <c r="I46" s="7" t="s">
        <v>5809</v>
      </c>
    </row>
    <row r="47" customFormat="false" ht="58.5" hidden="false" customHeight="true" outlineLevel="0" collapsed="false">
      <c r="A47" s="7" t="s">
        <v>3810</v>
      </c>
      <c r="B47" s="7" t="s">
        <v>5937</v>
      </c>
      <c r="C47" s="7" t="s">
        <v>5938</v>
      </c>
      <c r="D47" s="7" t="s">
        <v>5918</v>
      </c>
      <c r="E47" s="7" t="s">
        <v>3218</v>
      </c>
      <c r="F47" s="7" t="s">
        <v>5919</v>
      </c>
      <c r="G47" s="7" t="s">
        <v>5920</v>
      </c>
      <c r="H47" s="7" t="s">
        <v>5808</v>
      </c>
      <c r="I47" s="7" t="s">
        <v>5809</v>
      </c>
    </row>
    <row r="48" customFormat="false" ht="72" hidden="false" customHeight="true" outlineLevel="0" collapsed="false">
      <c r="A48" s="7" t="s">
        <v>3810</v>
      </c>
      <c r="B48" s="7" t="s">
        <v>5939</v>
      </c>
      <c r="C48" s="7" t="s">
        <v>5940</v>
      </c>
      <c r="D48" s="7" t="s">
        <v>5918</v>
      </c>
      <c r="E48" s="7" t="s">
        <v>3218</v>
      </c>
      <c r="F48" s="7" t="s">
        <v>5919</v>
      </c>
      <c r="G48" s="7" t="s">
        <v>5920</v>
      </c>
      <c r="H48" s="7" t="s">
        <v>5808</v>
      </c>
      <c r="I48" s="7" t="s">
        <v>5809</v>
      </c>
    </row>
    <row r="49" customFormat="false" ht="58.5" hidden="false" customHeight="true" outlineLevel="0" collapsed="false">
      <c r="A49" s="7" t="s">
        <v>3810</v>
      </c>
      <c r="B49" s="7" t="s">
        <v>5941</v>
      </c>
      <c r="C49" s="7" t="s">
        <v>5942</v>
      </c>
      <c r="D49" s="7" t="s">
        <v>5918</v>
      </c>
      <c r="E49" s="7" t="s">
        <v>3218</v>
      </c>
      <c r="F49" s="7" t="s">
        <v>5919</v>
      </c>
      <c r="G49" s="7" t="s">
        <v>5920</v>
      </c>
      <c r="H49" s="7" t="s">
        <v>5808</v>
      </c>
      <c r="I49" s="7" t="s">
        <v>5809</v>
      </c>
    </row>
    <row r="50" customFormat="false" ht="111" hidden="false" customHeight="true" outlineLevel="0" collapsed="false">
      <c r="A50" s="7" t="s">
        <v>3905</v>
      </c>
      <c r="B50" s="7" t="s">
        <v>5854</v>
      </c>
      <c r="C50" s="7" t="s">
        <v>5943</v>
      </c>
      <c r="D50" s="7" t="s">
        <v>5944</v>
      </c>
      <c r="E50" s="7" t="s">
        <v>3898</v>
      </c>
      <c r="F50" s="7" t="s">
        <v>5945</v>
      </c>
      <c r="G50" s="7" t="s">
        <v>5946</v>
      </c>
      <c r="H50" s="7" t="s">
        <v>5947</v>
      </c>
      <c r="I50" s="7" t="s">
        <v>5948</v>
      </c>
    </row>
    <row r="51" customFormat="false" ht="58.5" hidden="false" customHeight="true" outlineLevel="0" collapsed="false">
      <c r="A51" s="7" t="s">
        <v>3905</v>
      </c>
      <c r="B51" s="7" t="s">
        <v>5859</v>
      </c>
      <c r="C51" s="7" t="s">
        <v>5949</v>
      </c>
      <c r="D51" s="7" t="s">
        <v>5944</v>
      </c>
      <c r="E51" s="7" t="s">
        <v>3898</v>
      </c>
      <c r="F51" s="7" t="s">
        <v>5945</v>
      </c>
      <c r="G51" s="7" t="s">
        <v>5946</v>
      </c>
      <c r="H51" s="7" t="s">
        <v>5947</v>
      </c>
      <c r="I51" s="7" t="s">
        <v>5948</v>
      </c>
    </row>
    <row r="52" customFormat="false" ht="48" hidden="false" customHeight="true" outlineLevel="0" collapsed="false">
      <c r="A52" s="7" t="s">
        <v>3933</v>
      </c>
      <c r="B52" s="7" t="s">
        <v>5826</v>
      </c>
      <c r="C52" s="7" t="s">
        <v>5950</v>
      </c>
      <c r="D52" s="7" t="s">
        <v>5951</v>
      </c>
      <c r="E52" s="7" t="s">
        <v>3898</v>
      </c>
      <c r="F52" s="7" t="s">
        <v>5952</v>
      </c>
      <c r="G52" s="7" t="s">
        <v>5953</v>
      </c>
      <c r="H52" s="7" t="s">
        <v>5947</v>
      </c>
      <c r="I52" s="7" t="s">
        <v>5948</v>
      </c>
    </row>
    <row r="53" customFormat="false" ht="72" hidden="false" customHeight="true" outlineLevel="0" collapsed="false">
      <c r="A53" s="7" t="s">
        <v>3961</v>
      </c>
      <c r="B53" s="7" t="s">
        <v>5907</v>
      </c>
      <c r="C53" s="7" t="s">
        <v>5954</v>
      </c>
      <c r="D53" s="7" t="s">
        <v>5955</v>
      </c>
      <c r="E53" s="7" t="s">
        <v>3898</v>
      </c>
      <c r="F53" s="7" t="s">
        <v>5956</v>
      </c>
      <c r="G53" s="7" t="s">
        <v>5957</v>
      </c>
      <c r="H53" s="7" t="s">
        <v>5947</v>
      </c>
      <c r="I53" s="7" t="s">
        <v>5948</v>
      </c>
    </row>
    <row r="54" customFormat="false" ht="58.5" hidden="false" customHeight="true" outlineLevel="0" collapsed="false">
      <c r="A54" s="7" t="s">
        <v>3961</v>
      </c>
      <c r="B54" s="7" t="s">
        <v>5912</v>
      </c>
      <c r="C54" s="7" t="s">
        <v>5958</v>
      </c>
      <c r="D54" s="7" t="s">
        <v>5955</v>
      </c>
      <c r="E54" s="7" t="s">
        <v>3898</v>
      </c>
      <c r="F54" s="7" t="s">
        <v>5956</v>
      </c>
      <c r="G54" s="7" t="s">
        <v>5957</v>
      </c>
      <c r="H54" s="7" t="s">
        <v>5947</v>
      </c>
      <c r="I54" s="7" t="s">
        <v>5948</v>
      </c>
    </row>
    <row r="55" customFormat="false" ht="58.5" hidden="false" customHeight="true" outlineLevel="0" collapsed="false">
      <c r="A55" s="7" t="s">
        <v>3961</v>
      </c>
      <c r="B55" s="7" t="s">
        <v>5914</v>
      </c>
      <c r="C55" s="7" t="s">
        <v>5959</v>
      </c>
      <c r="D55" s="7" t="s">
        <v>5955</v>
      </c>
      <c r="E55" s="7" t="s">
        <v>3898</v>
      </c>
      <c r="F55" s="7" t="s">
        <v>5956</v>
      </c>
      <c r="G55" s="7" t="s">
        <v>5957</v>
      </c>
      <c r="H55" s="7" t="s">
        <v>5947</v>
      </c>
      <c r="I55" s="7" t="s">
        <v>5948</v>
      </c>
    </row>
    <row r="56" customFormat="false" ht="97.5" hidden="false" customHeight="true" outlineLevel="0" collapsed="false">
      <c r="A56" s="7" t="s">
        <v>4037</v>
      </c>
      <c r="B56" s="7" t="s">
        <v>5854</v>
      </c>
      <c r="C56" s="7" t="s">
        <v>5960</v>
      </c>
      <c r="D56" s="7" t="s">
        <v>5961</v>
      </c>
      <c r="E56" s="7" t="s">
        <v>4030</v>
      </c>
      <c r="F56" s="7" t="s">
        <v>5962</v>
      </c>
      <c r="G56" s="7" t="s">
        <v>5963</v>
      </c>
      <c r="H56" s="7" t="s">
        <v>5964</v>
      </c>
      <c r="I56" s="7" t="s">
        <v>5965</v>
      </c>
    </row>
    <row r="57" customFormat="false" ht="48" hidden="false" customHeight="true" outlineLevel="0" collapsed="false">
      <c r="A57" s="7" t="s">
        <v>4037</v>
      </c>
      <c r="B57" s="7" t="s">
        <v>5859</v>
      </c>
      <c r="C57" s="7" t="s">
        <v>5966</v>
      </c>
      <c r="D57" s="7" t="s">
        <v>5961</v>
      </c>
      <c r="E57" s="7" t="s">
        <v>4030</v>
      </c>
      <c r="F57" s="7" t="s">
        <v>5962</v>
      </c>
      <c r="G57" s="7" t="s">
        <v>5963</v>
      </c>
      <c r="H57" s="7" t="s">
        <v>5964</v>
      </c>
      <c r="I57" s="7" t="s">
        <v>5965</v>
      </c>
    </row>
    <row r="58" customFormat="false" ht="84.75" hidden="false" customHeight="true" outlineLevel="0" collapsed="false">
      <c r="A58" s="7" t="s">
        <v>4069</v>
      </c>
      <c r="B58" s="7" t="s">
        <v>5907</v>
      </c>
      <c r="C58" s="7" t="s">
        <v>5967</v>
      </c>
      <c r="D58" s="7" t="s">
        <v>5968</v>
      </c>
      <c r="E58" s="7" t="s">
        <v>4030</v>
      </c>
      <c r="F58" s="7" t="s">
        <v>5969</v>
      </c>
      <c r="G58" s="7" t="s">
        <v>5865</v>
      </c>
      <c r="H58" s="7" t="s">
        <v>5964</v>
      </c>
      <c r="I58" s="7" t="s">
        <v>5965</v>
      </c>
    </row>
    <row r="59" customFormat="false" ht="97.5" hidden="false" customHeight="true" outlineLevel="0" collapsed="false">
      <c r="A59" s="7" t="s">
        <v>4069</v>
      </c>
      <c r="B59" s="7" t="s">
        <v>5912</v>
      </c>
      <c r="C59" s="7" t="s">
        <v>5970</v>
      </c>
      <c r="D59" s="7" t="s">
        <v>5968</v>
      </c>
      <c r="E59" s="7" t="s">
        <v>4030</v>
      </c>
      <c r="F59" s="7" t="s">
        <v>5969</v>
      </c>
      <c r="G59" s="7" t="s">
        <v>5865</v>
      </c>
      <c r="H59" s="7" t="s">
        <v>5964</v>
      </c>
      <c r="I59" s="7" t="s">
        <v>5965</v>
      </c>
    </row>
    <row r="60" customFormat="false" ht="48" hidden="false" customHeight="true" outlineLevel="0" collapsed="false">
      <c r="A60" s="7" t="s">
        <v>4069</v>
      </c>
      <c r="B60" s="7" t="s">
        <v>5914</v>
      </c>
      <c r="C60" s="7" t="s">
        <v>5971</v>
      </c>
      <c r="D60" s="7" t="s">
        <v>5968</v>
      </c>
      <c r="E60" s="7" t="s">
        <v>4030</v>
      </c>
      <c r="F60" s="7" t="s">
        <v>5969</v>
      </c>
      <c r="G60" s="7" t="s">
        <v>5865</v>
      </c>
      <c r="H60" s="7" t="s">
        <v>5964</v>
      </c>
      <c r="I60" s="7" t="s">
        <v>5965</v>
      </c>
    </row>
    <row r="61" customFormat="false" ht="97.5" hidden="false" customHeight="true" outlineLevel="0" collapsed="false">
      <c r="A61" s="7" t="s">
        <v>4149</v>
      </c>
      <c r="B61" s="7" t="s">
        <v>5854</v>
      </c>
      <c r="C61" s="7" t="s">
        <v>5972</v>
      </c>
      <c r="D61" s="7" t="s">
        <v>5973</v>
      </c>
      <c r="E61" s="7" t="s">
        <v>4143</v>
      </c>
      <c r="F61" s="7" t="s">
        <v>5974</v>
      </c>
      <c r="G61" s="7" t="s">
        <v>5975</v>
      </c>
      <c r="H61" s="7" t="s">
        <v>5976</v>
      </c>
      <c r="I61" s="7" t="s">
        <v>5977</v>
      </c>
    </row>
    <row r="62" customFormat="false" ht="48" hidden="false" customHeight="true" outlineLevel="0" collapsed="false">
      <c r="A62" s="7" t="s">
        <v>4149</v>
      </c>
      <c r="B62" s="7" t="s">
        <v>5859</v>
      </c>
      <c r="C62" s="7" t="s">
        <v>5978</v>
      </c>
      <c r="D62" s="7" t="s">
        <v>5973</v>
      </c>
      <c r="E62" s="7" t="s">
        <v>4143</v>
      </c>
      <c r="F62" s="7" t="s">
        <v>5974</v>
      </c>
      <c r="G62" s="7" t="s">
        <v>5975</v>
      </c>
      <c r="H62" s="7" t="s">
        <v>5976</v>
      </c>
      <c r="I62" s="7" t="s">
        <v>5977</v>
      </c>
    </row>
    <row r="63" customFormat="false" ht="97.5" hidden="false" customHeight="true" outlineLevel="0" collapsed="false">
      <c r="A63" s="7" t="s">
        <v>4195</v>
      </c>
      <c r="B63" s="7" t="s">
        <v>5854</v>
      </c>
      <c r="C63" s="7" t="s">
        <v>5979</v>
      </c>
      <c r="D63" s="7" t="s">
        <v>5980</v>
      </c>
      <c r="E63" s="7" t="s">
        <v>4143</v>
      </c>
      <c r="F63" s="7" t="s">
        <v>5981</v>
      </c>
      <c r="G63" s="7" t="s">
        <v>5982</v>
      </c>
      <c r="H63" s="7" t="s">
        <v>5976</v>
      </c>
      <c r="I63" s="7" t="s">
        <v>5977</v>
      </c>
    </row>
    <row r="64" customFormat="false" ht="97.5" hidden="false" customHeight="true" outlineLevel="0" collapsed="false">
      <c r="A64" s="7" t="s">
        <v>4195</v>
      </c>
      <c r="B64" s="7" t="s">
        <v>5859</v>
      </c>
      <c r="C64" s="7" t="s">
        <v>5983</v>
      </c>
      <c r="D64" s="7" t="s">
        <v>5980</v>
      </c>
      <c r="E64" s="7" t="s">
        <v>4143</v>
      </c>
      <c r="F64" s="7" t="s">
        <v>5981</v>
      </c>
      <c r="G64" s="7" t="s">
        <v>5982</v>
      </c>
      <c r="H64" s="7" t="s">
        <v>5976</v>
      </c>
      <c r="I64" s="7" t="s">
        <v>5977</v>
      </c>
    </row>
    <row r="65" customFormat="false" ht="72" hidden="false" customHeight="true" outlineLevel="0" collapsed="false">
      <c r="A65" s="7" t="s">
        <v>4245</v>
      </c>
      <c r="B65" s="7" t="s">
        <v>5826</v>
      </c>
      <c r="C65" s="7" t="s">
        <v>5984</v>
      </c>
      <c r="D65" s="7" t="s">
        <v>5985</v>
      </c>
      <c r="E65" s="7" t="s">
        <v>4143</v>
      </c>
      <c r="F65" s="7" t="s">
        <v>5986</v>
      </c>
      <c r="G65" s="7" t="s">
        <v>5865</v>
      </c>
      <c r="H65" s="7" t="s">
        <v>5976</v>
      </c>
      <c r="I65" s="7" t="s">
        <v>5977</v>
      </c>
    </row>
    <row r="66" customFormat="false" ht="97.5" hidden="false" customHeight="true" outlineLevel="0" collapsed="false">
      <c r="A66" s="7" t="s">
        <v>4316</v>
      </c>
      <c r="B66" s="7" t="s">
        <v>5854</v>
      </c>
      <c r="C66" s="7" t="s">
        <v>5987</v>
      </c>
      <c r="D66" s="7" t="s">
        <v>5988</v>
      </c>
      <c r="E66" s="7" t="s">
        <v>4143</v>
      </c>
      <c r="F66" s="7" t="s">
        <v>5989</v>
      </c>
      <c r="G66" s="7" t="s">
        <v>5990</v>
      </c>
      <c r="H66" s="7" t="s">
        <v>5976</v>
      </c>
      <c r="I66" s="7" t="s">
        <v>5977</v>
      </c>
    </row>
    <row r="67" customFormat="false" ht="84.75" hidden="false" customHeight="true" outlineLevel="0" collapsed="false">
      <c r="A67" s="7" t="s">
        <v>4316</v>
      </c>
      <c r="B67" s="7" t="s">
        <v>5859</v>
      </c>
      <c r="C67" s="7" t="s">
        <v>5991</v>
      </c>
      <c r="D67" s="7" t="s">
        <v>5988</v>
      </c>
      <c r="E67" s="7" t="s">
        <v>4143</v>
      </c>
      <c r="F67" s="7" t="s">
        <v>5989</v>
      </c>
      <c r="G67" s="7" t="s">
        <v>5990</v>
      </c>
      <c r="H67" s="7" t="s">
        <v>5976</v>
      </c>
      <c r="I67" s="7" t="s">
        <v>5977</v>
      </c>
    </row>
    <row r="68" customFormat="false" ht="97.5" hidden="false" customHeight="true" outlineLevel="0" collapsed="false">
      <c r="A68" s="7" t="s">
        <v>4369</v>
      </c>
      <c r="B68" s="7" t="s">
        <v>5854</v>
      </c>
      <c r="C68" s="7" t="s">
        <v>5992</v>
      </c>
      <c r="D68" s="7" t="s">
        <v>5993</v>
      </c>
      <c r="E68" s="7" t="s">
        <v>4143</v>
      </c>
      <c r="F68" s="7" t="s">
        <v>5994</v>
      </c>
      <c r="G68" s="7" t="s">
        <v>5865</v>
      </c>
      <c r="H68" s="7" t="s">
        <v>5976</v>
      </c>
      <c r="I68" s="7" t="s">
        <v>5977</v>
      </c>
    </row>
    <row r="69" customFormat="false" ht="72" hidden="false" customHeight="true" outlineLevel="0" collapsed="false">
      <c r="A69" s="7" t="s">
        <v>4369</v>
      </c>
      <c r="B69" s="7" t="s">
        <v>5859</v>
      </c>
      <c r="C69" s="7" t="s">
        <v>5995</v>
      </c>
      <c r="D69" s="7" t="s">
        <v>5993</v>
      </c>
      <c r="E69" s="7" t="s">
        <v>4143</v>
      </c>
      <c r="F69" s="7" t="s">
        <v>5994</v>
      </c>
      <c r="G69" s="7" t="s">
        <v>5865</v>
      </c>
      <c r="H69" s="7" t="s">
        <v>5976</v>
      </c>
      <c r="I69" s="7" t="s">
        <v>5977</v>
      </c>
    </row>
    <row r="70" customFormat="false" ht="97.5" hidden="false" customHeight="true" outlineLevel="0" collapsed="false">
      <c r="A70" s="7" t="s">
        <v>4588</v>
      </c>
      <c r="B70" s="7" t="s">
        <v>5854</v>
      </c>
      <c r="C70" s="7" t="s">
        <v>5996</v>
      </c>
      <c r="D70" s="7" t="s">
        <v>5997</v>
      </c>
      <c r="E70" s="7" t="s">
        <v>4030</v>
      </c>
      <c r="F70" s="7" t="s">
        <v>5998</v>
      </c>
      <c r="G70" s="7" t="s">
        <v>5990</v>
      </c>
      <c r="H70" s="7" t="s">
        <v>5964</v>
      </c>
      <c r="I70" s="7" t="s">
        <v>5965</v>
      </c>
    </row>
    <row r="71" customFormat="false" ht="84.75" hidden="false" customHeight="true" outlineLevel="0" collapsed="false">
      <c r="A71" s="7" t="s">
        <v>4588</v>
      </c>
      <c r="B71" s="7" t="s">
        <v>5859</v>
      </c>
      <c r="C71" s="7" t="s">
        <v>5999</v>
      </c>
      <c r="D71" s="7" t="s">
        <v>5997</v>
      </c>
      <c r="E71" s="7" t="s">
        <v>4030</v>
      </c>
      <c r="F71" s="7" t="s">
        <v>5998</v>
      </c>
      <c r="G71" s="7" t="s">
        <v>5990</v>
      </c>
      <c r="H71" s="7" t="s">
        <v>5964</v>
      </c>
      <c r="I71" s="7" t="s">
        <v>5965</v>
      </c>
    </row>
    <row r="72" customFormat="false" ht="97.5" hidden="false" customHeight="true" outlineLevel="0" collapsed="false">
      <c r="A72" s="7" t="s">
        <v>4598</v>
      </c>
      <c r="B72" s="7" t="s">
        <v>6000</v>
      </c>
      <c r="C72" s="7" t="s">
        <v>6001</v>
      </c>
      <c r="D72" s="7" t="s">
        <v>6002</v>
      </c>
      <c r="E72" s="7" t="s">
        <v>4143</v>
      </c>
      <c r="F72" s="7" t="s">
        <v>6003</v>
      </c>
      <c r="G72" s="7" t="s">
        <v>6004</v>
      </c>
      <c r="H72" s="7" t="s">
        <v>5976</v>
      </c>
      <c r="I72" s="7" t="s">
        <v>5977</v>
      </c>
    </row>
    <row r="73" customFormat="false" ht="97.5" hidden="false" customHeight="true" outlineLevel="0" collapsed="false">
      <c r="A73" s="7" t="s">
        <v>4598</v>
      </c>
      <c r="B73" s="7" t="s">
        <v>6005</v>
      </c>
      <c r="C73" s="7" t="s">
        <v>6006</v>
      </c>
      <c r="D73" s="7" t="s">
        <v>6002</v>
      </c>
      <c r="E73" s="7" t="s">
        <v>4143</v>
      </c>
      <c r="F73" s="7" t="s">
        <v>6003</v>
      </c>
      <c r="G73" s="7" t="s">
        <v>6004</v>
      </c>
      <c r="H73" s="7" t="s">
        <v>5976</v>
      </c>
      <c r="I73" s="7" t="s">
        <v>5977</v>
      </c>
    </row>
    <row r="74" customFormat="false" ht="97.5" hidden="false" customHeight="true" outlineLevel="0" collapsed="false">
      <c r="A74" s="7" t="s">
        <v>4598</v>
      </c>
      <c r="B74" s="7" t="s">
        <v>6007</v>
      </c>
      <c r="C74" s="7" t="s">
        <v>6008</v>
      </c>
      <c r="D74" s="7" t="s">
        <v>6002</v>
      </c>
      <c r="E74" s="7" t="s">
        <v>4143</v>
      </c>
      <c r="F74" s="7" t="s">
        <v>6003</v>
      </c>
      <c r="G74" s="7" t="s">
        <v>6004</v>
      </c>
      <c r="H74" s="7" t="s">
        <v>5976</v>
      </c>
      <c r="I74" s="7" t="s">
        <v>5977</v>
      </c>
    </row>
    <row r="75" customFormat="false" ht="72" hidden="false" customHeight="true" outlineLevel="0" collapsed="false">
      <c r="A75" s="7" t="s">
        <v>4598</v>
      </c>
      <c r="B75" s="7" t="s">
        <v>6009</v>
      </c>
      <c r="C75" s="7" t="s">
        <v>6010</v>
      </c>
      <c r="D75" s="7" t="s">
        <v>6002</v>
      </c>
      <c r="E75" s="7" t="s">
        <v>4143</v>
      </c>
      <c r="F75" s="7" t="s">
        <v>6003</v>
      </c>
      <c r="G75" s="7" t="s">
        <v>6004</v>
      </c>
      <c r="H75" s="7" t="s">
        <v>5976</v>
      </c>
      <c r="I75" s="7" t="s">
        <v>5977</v>
      </c>
    </row>
    <row r="76" customFormat="false" ht="97.5" hidden="false" customHeight="true" outlineLevel="0" collapsed="false">
      <c r="A76" s="7" t="s">
        <v>4623</v>
      </c>
      <c r="B76" s="7" t="s">
        <v>5854</v>
      </c>
      <c r="C76" s="7" t="s">
        <v>6011</v>
      </c>
      <c r="D76" s="7" t="s">
        <v>6012</v>
      </c>
      <c r="E76" s="7" t="s">
        <v>4030</v>
      </c>
      <c r="F76" s="7" t="s">
        <v>6013</v>
      </c>
      <c r="G76" s="7" t="s">
        <v>5975</v>
      </c>
      <c r="H76" s="7" t="s">
        <v>5964</v>
      </c>
      <c r="I76" s="7" t="s">
        <v>5965</v>
      </c>
    </row>
    <row r="77" customFormat="false" ht="97.5" hidden="false" customHeight="true" outlineLevel="0" collapsed="false">
      <c r="A77" s="7" t="s">
        <v>4623</v>
      </c>
      <c r="B77" s="7" t="s">
        <v>5859</v>
      </c>
      <c r="C77" s="7" t="s">
        <v>6014</v>
      </c>
      <c r="D77" s="7" t="s">
        <v>6012</v>
      </c>
      <c r="E77" s="7" t="s">
        <v>4030</v>
      </c>
      <c r="F77" s="7" t="s">
        <v>6013</v>
      </c>
      <c r="G77" s="7" t="s">
        <v>5975</v>
      </c>
      <c r="H77" s="7" t="s">
        <v>5964</v>
      </c>
      <c r="I77" s="7" t="s">
        <v>5965</v>
      </c>
    </row>
    <row r="78" customFormat="false" ht="58.5" hidden="false" customHeight="true" outlineLevel="0" collapsed="false">
      <c r="A78" s="7" t="s">
        <v>5195</v>
      </c>
      <c r="B78" s="7" t="s">
        <v>5826</v>
      </c>
      <c r="C78" s="7" t="s">
        <v>6015</v>
      </c>
      <c r="D78" s="7" t="s">
        <v>6016</v>
      </c>
      <c r="E78" s="7" t="s">
        <v>4143</v>
      </c>
      <c r="F78" s="7" t="s">
        <v>6017</v>
      </c>
      <c r="G78" s="7" t="s">
        <v>6018</v>
      </c>
      <c r="H78" s="7" t="s">
        <v>5976</v>
      </c>
      <c r="I78" s="7" t="s">
        <v>5977</v>
      </c>
    </row>
    <row r="79" customFormat="false" ht="72" hidden="false" customHeight="true" outlineLevel="0" collapsed="false">
      <c r="A79" s="7" t="s">
        <v>5237</v>
      </c>
      <c r="B79" s="7" t="s">
        <v>5826</v>
      </c>
      <c r="C79" s="7" t="s">
        <v>6019</v>
      </c>
      <c r="D79" s="7" t="s">
        <v>6020</v>
      </c>
      <c r="E79" s="7" t="s">
        <v>4030</v>
      </c>
      <c r="F79" s="7" t="s">
        <v>6021</v>
      </c>
      <c r="G79" s="7" t="s">
        <v>5875</v>
      </c>
      <c r="H79" s="7" t="s">
        <v>5964</v>
      </c>
      <c r="I79" s="7" t="s">
        <v>5965</v>
      </c>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6D3B"/>
    <pageSetUpPr fitToPage="true"/>
  </sheetPr>
  <dimension ref="A1:I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42"/>
    <col collapsed="false" customWidth="true" hidden="false" outlineLevel="0" max="2" min="2" style="0" width="24"/>
    <col collapsed="false" customWidth="true" hidden="false" outlineLevel="0" max="3" min="3" style="0" width="34"/>
    <col collapsed="false" customWidth="true" hidden="false" outlineLevel="0" max="4" min="4" style="0" width="22"/>
    <col collapsed="false" customWidth="true" hidden="false" outlineLevel="0" max="5" min="5" style="0" width="12"/>
    <col collapsed="false" customWidth="true" hidden="false" outlineLevel="0" max="6" min="6" style="0" width="72"/>
    <col collapsed="false" customWidth="true" hidden="false" outlineLevel="0" max="7" min="7" style="0" width="70"/>
    <col collapsed="false" customWidth="true" hidden="false" outlineLevel="0" max="9" min="8" style="0" width="68"/>
  </cols>
  <sheetData>
    <row r="1" customFormat="false" ht="30" hidden="false" customHeight="true" outlineLevel="0" collapsed="false">
      <c r="A1" s="1" t="s">
        <v>6022</v>
      </c>
      <c r="B1" s="1"/>
      <c r="C1" s="1"/>
      <c r="D1" s="1"/>
    </row>
    <row r="2" customFormat="false" ht="31.5" hidden="false" customHeight="true" outlineLevel="0" collapsed="false">
      <c r="A2" s="2" t="s">
        <v>6023</v>
      </c>
      <c r="B2" s="2"/>
      <c r="C2" s="2"/>
      <c r="D2" s="2"/>
    </row>
    <row r="4" customFormat="false" ht="23.85" hidden="false" customHeight="false" outlineLevel="0" collapsed="false">
      <c r="A4" s="6" t="s">
        <v>3215</v>
      </c>
      <c r="B4" s="6" t="s">
        <v>5798</v>
      </c>
      <c r="C4" s="6" t="s">
        <v>5799</v>
      </c>
      <c r="D4" s="6" t="s">
        <v>5800</v>
      </c>
      <c r="E4" s="6" t="s">
        <v>3216</v>
      </c>
      <c r="F4" s="6" t="s">
        <v>6024</v>
      </c>
      <c r="G4" s="6" t="s">
        <v>5802</v>
      </c>
      <c r="H4" s="6" t="s">
        <v>6025</v>
      </c>
      <c r="I4" s="6" t="s">
        <v>5803</v>
      </c>
    </row>
    <row r="5" customFormat="false" ht="18" hidden="false" customHeight="true" outlineLevel="0" collapsed="false">
      <c r="A5" s="17" t="s">
        <v>6026</v>
      </c>
      <c r="B5" s="17"/>
      <c r="C5" s="17"/>
      <c r="D5" s="17"/>
    </row>
    <row r="6" customFormat="false" ht="18" hidden="false" customHeight="false" outlineLevel="0" collapsed="false">
      <c r="A6" s="17"/>
      <c r="B6" s="17"/>
      <c r="C6" s="17"/>
      <c r="D6" s="17"/>
    </row>
  </sheetData>
  <mergeCells count="3">
    <mergeCell ref="A1:D1"/>
    <mergeCell ref="A2:D2"/>
    <mergeCell ref="A5:D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24D"/>
    <pageSetUpPr fitToPage="true"/>
  </sheetPr>
  <dimension ref="A1:AB5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8"/>
    <col collapsed="false" customWidth="true" hidden="false" outlineLevel="0" max="3" min="3" style="0" width="56"/>
    <col collapsed="false" customWidth="true" hidden="false" outlineLevel="0" max="4" min="4" style="0" width="24"/>
    <col collapsed="false" customWidth="true" hidden="false" outlineLevel="0" max="5" min="5" style="0" width="8"/>
    <col collapsed="false" customWidth="true" hidden="false" outlineLevel="0" max="6" min="6" style="0" width="34"/>
    <col collapsed="false" customWidth="true" hidden="false" outlineLevel="0" max="7" min="7" style="0" width="24"/>
    <col collapsed="false" customWidth="true" hidden="false" outlineLevel="0" max="8" min="8" style="0" width="10"/>
    <col collapsed="false" customWidth="true" hidden="false" outlineLevel="0" max="9" min="9" style="0" width="28"/>
    <col collapsed="false" customWidth="true" hidden="false" outlineLevel="0" max="10" min="10" style="0" width="30"/>
    <col collapsed="false" customWidth="true" hidden="false" outlineLevel="0" max="11" min="11" style="0" width="46"/>
    <col collapsed="false" customWidth="true" hidden="false" outlineLevel="0" max="12" min="12" style="0" width="12"/>
    <col collapsed="false" customWidth="true" hidden="false" outlineLevel="0" max="13" min="13" style="0" width="22"/>
    <col collapsed="false" customWidth="true" hidden="false" outlineLevel="0" max="14" min="14" style="0" width="32"/>
    <col collapsed="false" customWidth="true" hidden="false" outlineLevel="0" max="15" min="15" style="0" width="24"/>
    <col collapsed="false" customWidth="true" hidden="false" outlineLevel="0" max="16" min="16" style="0" width="14"/>
    <col collapsed="false" customWidth="true" hidden="false" outlineLevel="0" max="17" min="17" style="0" width="65"/>
    <col collapsed="false" customWidth="true" hidden="false" outlineLevel="0" max="19" min="18" style="0" width="36"/>
    <col collapsed="false" customWidth="true" hidden="false" outlineLevel="0" max="22" min="21" style="0" width="70"/>
    <col collapsed="false" customWidth="true" hidden="false" outlineLevel="0" max="24" min="23" style="0" width="68"/>
    <col collapsed="false" customWidth="true" hidden="false" outlineLevel="0" max="25" min="25" style="0" width="80"/>
    <col collapsed="false" customWidth="true" hidden="false" outlineLevel="0" max="26" min="26" style="0" width="36"/>
    <col collapsed="false" customWidth="true" hidden="false" outlineLevel="0" max="27" min="27" style="0" width="30"/>
    <col collapsed="false" customWidth="true" hidden="false" outlineLevel="0" max="28" min="28" style="0" width="10"/>
  </cols>
  <sheetData>
    <row r="1" customFormat="false" ht="30" hidden="false" customHeight="true" outlineLevel="0" collapsed="false">
      <c r="A1" s="1" t="s">
        <v>6027</v>
      </c>
      <c r="B1" s="1"/>
      <c r="C1" s="1"/>
      <c r="D1" s="1"/>
    </row>
    <row r="2" customFormat="false" ht="31.5" hidden="false" customHeight="true" outlineLevel="0" collapsed="false">
      <c r="A2" s="2" t="s">
        <v>6028</v>
      </c>
      <c r="B2" s="2"/>
      <c r="C2" s="2"/>
      <c r="D2" s="2"/>
    </row>
    <row r="3" customFormat="false" ht="23.85" hidden="false" customHeight="false" outlineLevel="0" collapsed="false">
      <c r="A3" s="6" t="s">
        <v>3203</v>
      </c>
      <c r="B3" s="6" t="s">
        <v>6029</v>
      </c>
      <c r="C3" s="6" t="s">
        <v>5267</v>
      </c>
      <c r="D3" s="6" t="s">
        <v>7</v>
      </c>
      <c r="E3" s="6" t="s">
        <v>3204</v>
      </c>
      <c r="F3" s="6" t="s">
        <v>5799</v>
      </c>
      <c r="G3" s="6" t="s">
        <v>3206</v>
      </c>
      <c r="H3" s="6" t="s">
        <v>3207</v>
      </c>
      <c r="I3" s="6" t="s">
        <v>13</v>
      </c>
      <c r="J3" s="6" t="s">
        <v>24</v>
      </c>
      <c r="K3" s="6" t="s">
        <v>6030</v>
      </c>
      <c r="L3" s="6" t="s">
        <v>10</v>
      </c>
      <c r="M3" s="6" t="s">
        <v>6031</v>
      </c>
      <c r="N3" s="6" t="s">
        <v>5265</v>
      </c>
      <c r="O3" s="6" t="s">
        <v>6032</v>
      </c>
      <c r="P3" s="6" t="s">
        <v>5263</v>
      </c>
      <c r="Q3" s="6" t="s">
        <v>5264</v>
      </c>
      <c r="R3" s="6" t="s">
        <v>6033</v>
      </c>
      <c r="S3" s="6" t="s">
        <v>3215</v>
      </c>
      <c r="T3" s="6" t="s">
        <v>3216</v>
      </c>
      <c r="U3" s="6" t="s">
        <v>5802</v>
      </c>
      <c r="V3" s="6" t="s">
        <v>5266</v>
      </c>
      <c r="W3" s="6" t="s">
        <v>6034</v>
      </c>
      <c r="X3" s="6" t="s">
        <v>6035</v>
      </c>
      <c r="Y3" s="6" t="s">
        <v>6036</v>
      </c>
      <c r="Z3" s="6" t="s">
        <v>6037</v>
      </c>
      <c r="AA3" s="6" t="s">
        <v>6038</v>
      </c>
      <c r="AB3" s="6" t="s">
        <v>6039</v>
      </c>
    </row>
    <row r="4" customFormat="false" ht="48" hidden="false" customHeight="true" outlineLevel="0" collapsed="false">
      <c r="A4" s="7" t="n">
        <v>1</v>
      </c>
      <c r="B4" s="7" t="n">
        <v>2272</v>
      </c>
      <c r="C4" s="7" t="s">
        <v>5270</v>
      </c>
      <c r="D4" s="7" t="s">
        <v>26</v>
      </c>
      <c r="E4" s="7" t="s">
        <v>3217</v>
      </c>
      <c r="F4" s="7" t="s">
        <v>3218</v>
      </c>
      <c r="G4" s="7" t="s">
        <v>3219</v>
      </c>
      <c r="H4" s="7" t="n">
        <v>1</v>
      </c>
      <c r="I4" s="7" t="s">
        <v>16</v>
      </c>
      <c r="J4" s="7" t="s">
        <v>16</v>
      </c>
      <c r="K4" s="7" t="s">
        <v>6040</v>
      </c>
      <c r="L4" s="7" t="s">
        <v>6041</v>
      </c>
      <c r="M4" s="7" t="s">
        <v>6042</v>
      </c>
      <c r="N4" s="7"/>
      <c r="O4" s="7"/>
      <c r="P4" s="7" t="s">
        <v>5268</v>
      </c>
      <c r="Q4" s="7" t="s">
        <v>3224</v>
      </c>
      <c r="R4" s="7" t="s">
        <v>3225</v>
      </c>
      <c r="S4" s="7"/>
      <c r="T4" s="7" t="n">
        <v>3</v>
      </c>
      <c r="U4" s="7" t="s">
        <v>6043</v>
      </c>
      <c r="V4" s="7" t="s">
        <v>5269</v>
      </c>
      <c r="W4" s="7" t="s">
        <v>6044</v>
      </c>
      <c r="X4" s="7" t="s">
        <v>6045</v>
      </c>
      <c r="Y4" s="7"/>
      <c r="Z4" s="7"/>
      <c r="AA4" s="7" t="s">
        <v>6046</v>
      </c>
      <c r="AB4" s="7" t="s">
        <v>6041</v>
      </c>
    </row>
    <row r="5" customFormat="false" ht="48" hidden="false" customHeight="true" outlineLevel="0" collapsed="false">
      <c r="A5" s="7" t="n">
        <v>2</v>
      </c>
      <c r="B5" s="7" t="n">
        <v>2273</v>
      </c>
      <c r="C5" s="7" t="s">
        <v>5273</v>
      </c>
      <c r="D5" s="7" t="s">
        <v>26</v>
      </c>
      <c r="E5" s="7" t="s">
        <v>3217</v>
      </c>
      <c r="F5" s="7" t="s">
        <v>3218</v>
      </c>
      <c r="G5" s="7" t="s">
        <v>3219</v>
      </c>
      <c r="H5" s="7" t="n">
        <v>2</v>
      </c>
      <c r="I5" s="7" t="s">
        <v>16</v>
      </c>
      <c r="J5" s="7" t="s">
        <v>16</v>
      </c>
      <c r="K5" s="7" t="s">
        <v>6040</v>
      </c>
      <c r="L5" s="7" t="s">
        <v>6041</v>
      </c>
      <c r="M5" s="7" t="s">
        <v>6047</v>
      </c>
      <c r="N5" s="7" t="s">
        <v>5272</v>
      </c>
      <c r="O5" s="7"/>
      <c r="P5" s="7" t="s">
        <v>5271</v>
      </c>
      <c r="Q5" s="7" t="s">
        <v>3229</v>
      </c>
      <c r="R5" s="7" t="s">
        <v>3225</v>
      </c>
      <c r="S5" s="7"/>
      <c r="T5" s="7" t="n">
        <v>3</v>
      </c>
      <c r="U5" s="7" t="s">
        <v>6043</v>
      </c>
      <c r="V5" s="7" t="s">
        <v>5269</v>
      </c>
      <c r="W5" s="7" t="s">
        <v>6048</v>
      </c>
      <c r="X5" s="7" t="s">
        <v>6049</v>
      </c>
      <c r="Y5" s="7"/>
      <c r="Z5" s="7"/>
      <c r="AA5" s="7" t="s">
        <v>6046</v>
      </c>
      <c r="AB5" s="7" t="s">
        <v>6041</v>
      </c>
    </row>
    <row r="6" customFormat="false" ht="48" hidden="false" customHeight="true" outlineLevel="0" collapsed="false">
      <c r="A6" s="7" t="n">
        <v>3</v>
      </c>
      <c r="B6" s="7" t="n">
        <v>2274</v>
      </c>
      <c r="C6" s="7" t="s">
        <v>5275</v>
      </c>
      <c r="D6" s="7" t="s">
        <v>26</v>
      </c>
      <c r="E6" s="7" t="s">
        <v>3217</v>
      </c>
      <c r="F6" s="7" t="s">
        <v>3218</v>
      </c>
      <c r="G6" s="7" t="s">
        <v>3219</v>
      </c>
      <c r="H6" s="7" t="n">
        <v>3</v>
      </c>
      <c r="I6" s="7" t="s">
        <v>16</v>
      </c>
      <c r="J6" s="7" t="s">
        <v>16</v>
      </c>
      <c r="K6" s="7" t="s">
        <v>6040</v>
      </c>
      <c r="L6" s="7" t="s">
        <v>6041</v>
      </c>
      <c r="M6" s="7" t="s">
        <v>6042</v>
      </c>
      <c r="N6" s="7"/>
      <c r="O6" s="7"/>
      <c r="P6" s="7" t="s">
        <v>5274</v>
      </c>
      <c r="Q6" s="7" t="s">
        <v>3231</v>
      </c>
      <c r="R6" s="7" t="s">
        <v>3225</v>
      </c>
      <c r="S6" s="7"/>
      <c r="T6" s="7" t="n">
        <v>3</v>
      </c>
      <c r="U6" s="7" t="s">
        <v>6043</v>
      </c>
      <c r="V6" s="7" t="s">
        <v>5269</v>
      </c>
      <c r="W6" s="7" t="s">
        <v>6050</v>
      </c>
      <c r="X6" s="7" t="s">
        <v>6051</v>
      </c>
      <c r="Y6" s="7"/>
      <c r="Z6" s="7"/>
      <c r="AA6" s="7" t="s">
        <v>6046</v>
      </c>
      <c r="AB6" s="7" t="s">
        <v>6041</v>
      </c>
    </row>
    <row r="7" customFormat="false" ht="48" hidden="false" customHeight="true" outlineLevel="0" collapsed="false">
      <c r="A7" s="7" t="n">
        <v>4</v>
      </c>
      <c r="B7" s="7" t="n">
        <v>2275</v>
      </c>
      <c r="C7" s="7" t="s">
        <v>5277</v>
      </c>
      <c r="D7" s="7" t="s">
        <v>26</v>
      </c>
      <c r="E7" s="7" t="s">
        <v>3217</v>
      </c>
      <c r="F7" s="7" t="s">
        <v>3218</v>
      </c>
      <c r="G7" s="7" t="s">
        <v>3219</v>
      </c>
      <c r="H7" s="7" t="n">
        <v>4</v>
      </c>
      <c r="I7" s="7" t="s">
        <v>16</v>
      </c>
      <c r="J7" s="7" t="s">
        <v>16</v>
      </c>
      <c r="K7" s="7" t="s">
        <v>6040</v>
      </c>
      <c r="L7" s="7" t="s">
        <v>6041</v>
      </c>
      <c r="M7" s="7" t="s">
        <v>6042</v>
      </c>
      <c r="N7" s="7"/>
      <c r="O7" s="7"/>
      <c r="P7" s="7" t="s">
        <v>5276</v>
      </c>
      <c r="Q7" s="7" t="s">
        <v>3236</v>
      </c>
      <c r="R7" s="7" t="s">
        <v>3225</v>
      </c>
      <c r="S7" s="7"/>
      <c r="T7" s="7" t="n">
        <v>4</v>
      </c>
      <c r="U7" s="7" t="s">
        <v>6043</v>
      </c>
      <c r="V7" s="7" t="s">
        <v>5269</v>
      </c>
      <c r="W7" s="7" t="s">
        <v>6052</v>
      </c>
      <c r="X7" s="7" t="s">
        <v>6053</v>
      </c>
      <c r="Y7" s="7"/>
      <c r="Z7" s="7"/>
      <c r="AA7" s="7" t="s">
        <v>6046</v>
      </c>
      <c r="AB7" s="7" t="s">
        <v>6041</v>
      </c>
    </row>
    <row r="8" customFormat="false" ht="48" hidden="false" customHeight="true" outlineLevel="0" collapsed="false">
      <c r="A8" s="7" t="n">
        <v>5</v>
      </c>
      <c r="B8" s="7" t="n">
        <v>2276</v>
      </c>
      <c r="C8" s="7" t="s">
        <v>5278</v>
      </c>
      <c r="D8" s="7" t="s">
        <v>26</v>
      </c>
      <c r="E8" s="7" t="s">
        <v>3217</v>
      </c>
      <c r="F8" s="7" t="s">
        <v>3218</v>
      </c>
      <c r="G8" s="7" t="s">
        <v>3219</v>
      </c>
      <c r="H8" s="7" t="n">
        <v>5</v>
      </c>
      <c r="I8" s="7" t="s">
        <v>16</v>
      </c>
      <c r="J8" s="7" t="s">
        <v>16</v>
      </c>
      <c r="K8" s="7" t="s">
        <v>6040</v>
      </c>
      <c r="L8" s="7" t="s">
        <v>6041</v>
      </c>
      <c r="M8" s="7" t="s">
        <v>6042</v>
      </c>
      <c r="N8" s="7"/>
      <c r="O8" s="7"/>
      <c r="P8" s="7" t="s">
        <v>5276</v>
      </c>
      <c r="Q8" s="7" t="s">
        <v>3240</v>
      </c>
      <c r="R8" s="7" t="s">
        <v>3225</v>
      </c>
      <c r="S8" s="7"/>
      <c r="T8" s="7" t="n">
        <v>4</v>
      </c>
      <c r="U8" s="7" t="s">
        <v>6043</v>
      </c>
      <c r="V8" s="7" t="s">
        <v>5269</v>
      </c>
      <c r="W8" s="7" t="s">
        <v>6054</v>
      </c>
      <c r="X8" s="7" t="s">
        <v>6055</v>
      </c>
      <c r="Y8" s="7"/>
      <c r="Z8" s="7"/>
      <c r="AA8" s="7" t="s">
        <v>6046</v>
      </c>
      <c r="AB8" s="7" t="s">
        <v>6041</v>
      </c>
    </row>
    <row r="9" customFormat="false" ht="48" hidden="false" customHeight="true" outlineLevel="0" collapsed="false">
      <c r="A9" s="7" t="n">
        <v>6</v>
      </c>
      <c r="B9" s="7" t="n">
        <v>2277</v>
      </c>
      <c r="C9" s="7" t="s">
        <v>5279</v>
      </c>
      <c r="D9" s="7" t="s">
        <v>26</v>
      </c>
      <c r="E9" s="7" t="s">
        <v>3217</v>
      </c>
      <c r="F9" s="7" t="s">
        <v>3218</v>
      </c>
      <c r="G9" s="7" t="s">
        <v>3219</v>
      </c>
      <c r="H9" s="7" t="n">
        <v>6</v>
      </c>
      <c r="I9" s="7" t="s">
        <v>16</v>
      </c>
      <c r="J9" s="7" t="s">
        <v>16</v>
      </c>
      <c r="K9" s="7" t="s">
        <v>6040</v>
      </c>
      <c r="L9" s="7" t="s">
        <v>6041</v>
      </c>
      <c r="M9" s="7" t="s">
        <v>6042</v>
      </c>
      <c r="N9" s="7"/>
      <c r="O9" s="7"/>
      <c r="P9" s="7" t="s">
        <v>5271</v>
      </c>
      <c r="Q9" s="7" t="s">
        <v>3245</v>
      </c>
      <c r="R9" s="7" t="s">
        <v>3225</v>
      </c>
      <c r="S9" s="7"/>
      <c r="T9" s="7" t="n">
        <v>4</v>
      </c>
      <c r="U9" s="7" t="s">
        <v>6043</v>
      </c>
      <c r="V9" s="7" t="s">
        <v>5269</v>
      </c>
      <c r="W9" s="7" t="s">
        <v>6056</v>
      </c>
      <c r="X9" s="7" t="s">
        <v>6057</v>
      </c>
      <c r="Y9" s="7"/>
      <c r="Z9" s="7"/>
      <c r="AA9" s="7" t="s">
        <v>6046</v>
      </c>
      <c r="AB9" s="7" t="s">
        <v>6041</v>
      </c>
    </row>
    <row r="10" customFormat="false" ht="48" hidden="false" customHeight="true" outlineLevel="0" collapsed="false">
      <c r="A10" s="7" t="n">
        <v>7</v>
      </c>
      <c r="B10" s="7" t="n">
        <v>2278</v>
      </c>
      <c r="C10" s="7" t="s">
        <v>5280</v>
      </c>
      <c r="D10" s="7" t="s">
        <v>26</v>
      </c>
      <c r="E10" s="7" t="s">
        <v>3217</v>
      </c>
      <c r="F10" s="7" t="s">
        <v>3218</v>
      </c>
      <c r="G10" s="7" t="s">
        <v>3219</v>
      </c>
      <c r="H10" s="7" t="n">
        <v>7</v>
      </c>
      <c r="I10" s="7" t="s">
        <v>16</v>
      </c>
      <c r="J10" s="7" t="s">
        <v>16</v>
      </c>
      <c r="K10" s="7" t="s">
        <v>6040</v>
      </c>
      <c r="L10" s="7" t="s">
        <v>6041</v>
      </c>
      <c r="M10" s="7" t="s">
        <v>6047</v>
      </c>
      <c r="N10" s="7" t="s">
        <v>5272</v>
      </c>
      <c r="O10" s="7"/>
      <c r="P10" s="7" t="s">
        <v>5268</v>
      </c>
      <c r="Q10" s="7" t="s">
        <v>3250</v>
      </c>
      <c r="R10" s="7" t="s">
        <v>3225</v>
      </c>
      <c r="S10" s="7"/>
      <c r="T10" s="7" t="n">
        <v>5</v>
      </c>
      <c r="U10" s="7" t="s">
        <v>6043</v>
      </c>
      <c r="V10" s="7" t="s">
        <v>5269</v>
      </c>
      <c r="W10" s="7" t="s">
        <v>6058</v>
      </c>
      <c r="X10" s="7" t="s">
        <v>6059</v>
      </c>
      <c r="Y10" s="7"/>
      <c r="Z10" s="7"/>
      <c r="AA10" s="7" t="s">
        <v>6046</v>
      </c>
      <c r="AB10" s="7" t="s">
        <v>6041</v>
      </c>
    </row>
    <row r="11" customFormat="false" ht="48" hidden="false" customHeight="true" outlineLevel="0" collapsed="false">
      <c r="A11" s="7" t="n">
        <v>8</v>
      </c>
      <c r="B11" s="7" t="n">
        <v>2279</v>
      </c>
      <c r="C11" s="7" t="s">
        <v>5281</v>
      </c>
      <c r="D11" s="7" t="s">
        <v>26</v>
      </c>
      <c r="E11" s="7" t="s">
        <v>3217</v>
      </c>
      <c r="F11" s="7" t="s">
        <v>3218</v>
      </c>
      <c r="G11" s="7" t="s">
        <v>3219</v>
      </c>
      <c r="H11" s="7" t="n">
        <v>8</v>
      </c>
      <c r="I11" s="7" t="s">
        <v>16</v>
      </c>
      <c r="J11" s="7" t="s">
        <v>16</v>
      </c>
      <c r="K11" s="7" t="s">
        <v>6040</v>
      </c>
      <c r="L11" s="7" t="s">
        <v>6041</v>
      </c>
      <c r="M11" s="7" t="s">
        <v>6042</v>
      </c>
      <c r="N11" s="7"/>
      <c r="O11" s="7"/>
      <c r="P11" s="7" t="s">
        <v>5274</v>
      </c>
      <c r="Q11" s="7" t="s">
        <v>3251</v>
      </c>
      <c r="R11" s="7" t="s">
        <v>3225</v>
      </c>
      <c r="S11" s="7"/>
      <c r="T11" s="7" t="n">
        <v>5</v>
      </c>
      <c r="U11" s="7" t="s">
        <v>6043</v>
      </c>
      <c r="V11" s="7" t="s">
        <v>5269</v>
      </c>
      <c r="W11" s="7" t="s">
        <v>6060</v>
      </c>
      <c r="X11" s="7" t="s">
        <v>6061</v>
      </c>
      <c r="Y11" s="7"/>
      <c r="Z11" s="7"/>
      <c r="AA11" s="7" t="s">
        <v>6046</v>
      </c>
      <c r="AB11" s="7" t="s">
        <v>6041</v>
      </c>
    </row>
    <row r="12" customFormat="false" ht="48" hidden="false" customHeight="true" outlineLevel="0" collapsed="false">
      <c r="A12" s="7" t="n">
        <v>9</v>
      </c>
      <c r="B12" s="7" t="n">
        <v>2280</v>
      </c>
      <c r="C12" s="7" t="s">
        <v>5282</v>
      </c>
      <c r="D12" s="7" t="s">
        <v>26</v>
      </c>
      <c r="E12" s="7" t="s">
        <v>3217</v>
      </c>
      <c r="F12" s="7" t="s">
        <v>3218</v>
      </c>
      <c r="G12" s="7" t="s">
        <v>3219</v>
      </c>
      <c r="H12" s="7" t="n">
        <v>9</v>
      </c>
      <c r="I12" s="7" t="s">
        <v>16</v>
      </c>
      <c r="J12" s="7" t="s">
        <v>16</v>
      </c>
      <c r="K12" s="7" t="s">
        <v>6040</v>
      </c>
      <c r="L12" s="7" t="s">
        <v>6041</v>
      </c>
      <c r="M12" s="7" t="s">
        <v>6042</v>
      </c>
      <c r="N12" s="7"/>
      <c r="O12" s="7"/>
      <c r="P12" s="7" t="s">
        <v>5276</v>
      </c>
      <c r="Q12" s="7" t="s">
        <v>3256</v>
      </c>
      <c r="R12" s="7" t="s">
        <v>3225</v>
      </c>
      <c r="S12" s="7"/>
      <c r="T12" s="7" t="n">
        <v>6</v>
      </c>
      <c r="U12" s="7" t="s">
        <v>6043</v>
      </c>
      <c r="V12" s="7" t="s">
        <v>5269</v>
      </c>
      <c r="W12" s="7" t="s">
        <v>6062</v>
      </c>
      <c r="X12" s="7" t="s">
        <v>6063</v>
      </c>
      <c r="Y12" s="7"/>
      <c r="Z12" s="7"/>
      <c r="AA12" s="7" t="s">
        <v>6046</v>
      </c>
      <c r="AB12" s="7" t="s">
        <v>6041</v>
      </c>
    </row>
    <row r="13" customFormat="false" ht="48" hidden="false" customHeight="true" outlineLevel="0" collapsed="false">
      <c r="A13" s="7" t="n">
        <v>10</v>
      </c>
      <c r="B13" s="7" t="n">
        <v>2281</v>
      </c>
      <c r="C13" s="7" t="s">
        <v>5283</v>
      </c>
      <c r="D13" s="7" t="s">
        <v>26</v>
      </c>
      <c r="E13" s="7" t="s">
        <v>3217</v>
      </c>
      <c r="F13" s="7" t="s">
        <v>3218</v>
      </c>
      <c r="G13" s="7" t="s">
        <v>3219</v>
      </c>
      <c r="H13" s="7" t="n">
        <v>10</v>
      </c>
      <c r="I13" s="7" t="s">
        <v>16</v>
      </c>
      <c r="J13" s="7" t="s">
        <v>16</v>
      </c>
      <c r="K13" s="7" t="s">
        <v>6040</v>
      </c>
      <c r="L13" s="7" t="s">
        <v>6041</v>
      </c>
      <c r="M13" s="7" t="s">
        <v>6042</v>
      </c>
      <c r="N13" s="7"/>
      <c r="O13" s="7"/>
      <c r="P13" s="7" t="s">
        <v>5268</v>
      </c>
      <c r="Q13" s="7" t="s">
        <v>3262</v>
      </c>
      <c r="R13" s="7" t="s">
        <v>3225</v>
      </c>
      <c r="S13" s="7"/>
      <c r="T13" s="7" t="n">
        <v>6</v>
      </c>
      <c r="U13" s="7" t="s">
        <v>6043</v>
      </c>
      <c r="V13" s="7" t="s">
        <v>5269</v>
      </c>
      <c r="W13" s="7" t="s">
        <v>6064</v>
      </c>
      <c r="X13" s="7" t="s">
        <v>6065</v>
      </c>
      <c r="Y13" s="7"/>
      <c r="Z13" s="7"/>
      <c r="AA13" s="7" t="s">
        <v>6046</v>
      </c>
      <c r="AB13" s="7" t="s">
        <v>6041</v>
      </c>
    </row>
    <row r="14" customFormat="false" ht="48" hidden="false" customHeight="true" outlineLevel="0" collapsed="false">
      <c r="A14" s="7" t="n">
        <v>11</v>
      </c>
      <c r="B14" s="7" t="n">
        <v>2282</v>
      </c>
      <c r="C14" s="7" t="s">
        <v>5284</v>
      </c>
      <c r="D14" s="7" t="s">
        <v>26</v>
      </c>
      <c r="E14" s="7" t="s">
        <v>3217</v>
      </c>
      <c r="F14" s="7" t="s">
        <v>3218</v>
      </c>
      <c r="G14" s="7" t="s">
        <v>3219</v>
      </c>
      <c r="H14" s="7" t="n">
        <v>11</v>
      </c>
      <c r="I14" s="7" t="s">
        <v>16</v>
      </c>
      <c r="J14" s="7" t="s">
        <v>16</v>
      </c>
      <c r="K14" s="7" t="s">
        <v>6040</v>
      </c>
      <c r="L14" s="7" t="s">
        <v>6041</v>
      </c>
      <c r="M14" s="7" t="s">
        <v>6042</v>
      </c>
      <c r="N14" s="7"/>
      <c r="O14" s="7"/>
      <c r="P14" s="7" t="s">
        <v>5271</v>
      </c>
      <c r="Q14" s="7" t="s">
        <v>3265</v>
      </c>
      <c r="R14" s="7" t="s">
        <v>3225</v>
      </c>
      <c r="S14" s="7"/>
      <c r="T14" s="7" t="n">
        <v>6</v>
      </c>
      <c r="U14" s="7" t="s">
        <v>6043</v>
      </c>
      <c r="V14" s="7" t="s">
        <v>5269</v>
      </c>
      <c r="W14" s="7" t="s">
        <v>6066</v>
      </c>
      <c r="X14" s="7" t="s">
        <v>6067</v>
      </c>
      <c r="Y14" s="7"/>
      <c r="Z14" s="7"/>
      <c r="AA14" s="7" t="s">
        <v>6046</v>
      </c>
      <c r="AB14" s="7" t="s">
        <v>6041</v>
      </c>
    </row>
    <row r="15" customFormat="false" ht="48" hidden="false" customHeight="true" outlineLevel="0" collapsed="false">
      <c r="A15" s="7" t="n">
        <v>12</v>
      </c>
      <c r="B15" s="7" t="n">
        <v>2283</v>
      </c>
      <c r="C15" s="7" t="s">
        <v>5285</v>
      </c>
      <c r="D15" s="7" t="s">
        <v>26</v>
      </c>
      <c r="E15" s="7" t="s">
        <v>3217</v>
      </c>
      <c r="F15" s="7" t="s">
        <v>3218</v>
      </c>
      <c r="G15" s="7" t="s">
        <v>3219</v>
      </c>
      <c r="H15" s="7" t="n">
        <v>12</v>
      </c>
      <c r="I15" s="7" t="s">
        <v>16</v>
      </c>
      <c r="J15" s="7" t="s">
        <v>16</v>
      </c>
      <c r="K15" s="7" t="s">
        <v>6040</v>
      </c>
      <c r="L15" s="7" t="s">
        <v>6041</v>
      </c>
      <c r="M15" s="7" t="s">
        <v>6042</v>
      </c>
      <c r="N15" s="7"/>
      <c r="O15" s="7"/>
      <c r="P15" s="7" t="s">
        <v>5276</v>
      </c>
      <c r="Q15" s="7" t="s">
        <v>3268</v>
      </c>
      <c r="R15" s="7" t="s">
        <v>3225</v>
      </c>
      <c r="S15" s="7"/>
      <c r="T15" s="7" t="n">
        <v>7</v>
      </c>
      <c r="U15" s="7" t="s">
        <v>6043</v>
      </c>
      <c r="V15" s="7" t="s">
        <v>5269</v>
      </c>
      <c r="W15" s="7" t="s">
        <v>6068</v>
      </c>
      <c r="X15" s="7" t="s">
        <v>6069</v>
      </c>
      <c r="Y15" s="7"/>
      <c r="Z15" s="7"/>
      <c r="AA15" s="7" t="s">
        <v>6046</v>
      </c>
      <c r="AB15" s="7" t="s">
        <v>6041</v>
      </c>
    </row>
    <row r="16" customFormat="false" ht="48" hidden="false" customHeight="true" outlineLevel="0" collapsed="false">
      <c r="A16" s="7" t="n">
        <v>13</v>
      </c>
      <c r="B16" s="7" t="n">
        <v>2285</v>
      </c>
      <c r="C16" s="7" t="s">
        <v>5286</v>
      </c>
      <c r="D16" s="7" t="s">
        <v>26</v>
      </c>
      <c r="E16" s="7" t="s">
        <v>3217</v>
      </c>
      <c r="F16" s="7" t="s">
        <v>3218</v>
      </c>
      <c r="G16" s="7" t="s">
        <v>3219</v>
      </c>
      <c r="H16" s="7" t="n">
        <v>14</v>
      </c>
      <c r="I16" s="7" t="s">
        <v>16</v>
      </c>
      <c r="J16" s="7" t="s">
        <v>16</v>
      </c>
      <c r="K16" s="7" t="s">
        <v>6040</v>
      </c>
      <c r="L16" s="7" t="s">
        <v>6041</v>
      </c>
      <c r="M16" s="7" t="s">
        <v>6042</v>
      </c>
      <c r="N16" s="7"/>
      <c r="O16" s="7"/>
      <c r="P16" s="7" t="s">
        <v>5271</v>
      </c>
      <c r="Q16" s="7" t="s">
        <v>3273</v>
      </c>
      <c r="R16" s="7" t="s">
        <v>3225</v>
      </c>
      <c r="S16" s="7"/>
      <c r="T16" s="7" t="n">
        <v>7</v>
      </c>
      <c r="U16" s="7" t="s">
        <v>6043</v>
      </c>
      <c r="V16" s="7" t="s">
        <v>5269</v>
      </c>
      <c r="W16" s="7" t="s">
        <v>6070</v>
      </c>
      <c r="X16" s="7" t="s">
        <v>6071</v>
      </c>
      <c r="Y16" s="7"/>
      <c r="Z16" s="7"/>
      <c r="AA16" s="7" t="s">
        <v>6046</v>
      </c>
      <c r="AB16" s="7" t="s">
        <v>6041</v>
      </c>
    </row>
    <row r="17" customFormat="false" ht="48" hidden="false" customHeight="true" outlineLevel="0" collapsed="false">
      <c r="A17" s="7" t="n">
        <v>14</v>
      </c>
      <c r="B17" s="7" t="n">
        <v>2286</v>
      </c>
      <c r="C17" s="7" t="s">
        <v>5287</v>
      </c>
      <c r="D17" s="7" t="s">
        <v>26</v>
      </c>
      <c r="E17" s="7" t="s">
        <v>3217</v>
      </c>
      <c r="F17" s="7" t="s">
        <v>3218</v>
      </c>
      <c r="G17" s="7" t="s">
        <v>3219</v>
      </c>
      <c r="H17" s="7" t="n">
        <v>15</v>
      </c>
      <c r="I17" s="7" t="s">
        <v>16</v>
      </c>
      <c r="J17" s="7" t="s">
        <v>16</v>
      </c>
      <c r="K17" s="7" t="s">
        <v>6040</v>
      </c>
      <c r="L17" s="7" t="s">
        <v>6041</v>
      </c>
      <c r="M17" s="7" t="s">
        <v>6042</v>
      </c>
      <c r="N17" s="7"/>
      <c r="O17" s="7"/>
      <c r="P17" s="7" t="s">
        <v>5271</v>
      </c>
      <c r="Q17" s="7" t="s">
        <v>3277</v>
      </c>
      <c r="R17" s="7" t="s">
        <v>3225</v>
      </c>
      <c r="S17" s="7"/>
      <c r="T17" s="7" t="n">
        <v>8</v>
      </c>
      <c r="U17" s="7" t="s">
        <v>6043</v>
      </c>
      <c r="V17" s="7" t="s">
        <v>5269</v>
      </c>
      <c r="W17" s="7" t="s">
        <v>6072</v>
      </c>
      <c r="X17" s="7" t="s">
        <v>6073</v>
      </c>
      <c r="Y17" s="7"/>
      <c r="Z17" s="7"/>
      <c r="AA17" s="7" t="s">
        <v>6046</v>
      </c>
      <c r="AB17" s="7" t="s">
        <v>6041</v>
      </c>
    </row>
    <row r="18" customFormat="false" ht="48" hidden="false" customHeight="true" outlineLevel="0" collapsed="false">
      <c r="A18" s="7" t="n">
        <v>15</v>
      </c>
      <c r="B18" s="7" t="n">
        <v>2287</v>
      </c>
      <c r="C18" s="7" t="s">
        <v>5288</v>
      </c>
      <c r="D18" s="7" t="s">
        <v>26</v>
      </c>
      <c r="E18" s="7" t="s">
        <v>3217</v>
      </c>
      <c r="F18" s="7" t="s">
        <v>3218</v>
      </c>
      <c r="G18" s="7" t="s">
        <v>3219</v>
      </c>
      <c r="H18" s="7" t="n">
        <v>16</v>
      </c>
      <c r="I18" s="7" t="s">
        <v>16</v>
      </c>
      <c r="J18" s="7" t="s">
        <v>16</v>
      </c>
      <c r="K18" s="7" t="s">
        <v>6040</v>
      </c>
      <c r="L18" s="7" t="s">
        <v>6041</v>
      </c>
      <c r="M18" s="7" t="s">
        <v>6042</v>
      </c>
      <c r="N18" s="7"/>
      <c r="O18" s="7"/>
      <c r="P18" s="7" t="s">
        <v>5274</v>
      </c>
      <c r="Q18" s="7" t="s">
        <v>3279</v>
      </c>
      <c r="R18" s="7" t="s">
        <v>3225</v>
      </c>
      <c r="S18" s="7"/>
      <c r="T18" s="7" t="n">
        <v>8</v>
      </c>
      <c r="U18" s="7" t="s">
        <v>6043</v>
      </c>
      <c r="V18" s="7" t="s">
        <v>5269</v>
      </c>
      <c r="W18" s="7" t="s">
        <v>6074</v>
      </c>
      <c r="X18" s="7" t="s">
        <v>6075</v>
      </c>
      <c r="Y18" s="7"/>
      <c r="Z18" s="7"/>
      <c r="AA18" s="7" t="s">
        <v>6046</v>
      </c>
      <c r="AB18" s="7" t="s">
        <v>6041</v>
      </c>
    </row>
    <row r="19" customFormat="false" ht="48" hidden="false" customHeight="true" outlineLevel="0" collapsed="false">
      <c r="A19" s="7" t="n">
        <v>16</v>
      </c>
      <c r="B19" s="7" t="n">
        <v>2288</v>
      </c>
      <c r="C19" s="7" t="s">
        <v>5289</v>
      </c>
      <c r="D19" s="7" t="s">
        <v>26</v>
      </c>
      <c r="E19" s="7" t="s">
        <v>3217</v>
      </c>
      <c r="F19" s="7" t="s">
        <v>3218</v>
      </c>
      <c r="G19" s="7" t="s">
        <v>3219</v>
      </c>
      <c r="H19" s="7" t="n">
        <v>17</v>
      </c>
      <c r="I19" s="7" t="s">
        <v>16</v>
      </c>
      <c r="J19" s="7" t="s">
        <v>16</v>
      </c>
      <c r="K19" s="7" t="s">
        <v>6040</v>
      </c>
      <c r="L19" s="7" t="s">
        <v>6041</v>
      </c>
      <c r="M19" s="7" t="s">
        <v>6042</v>
      </c>
      <c r="N19" s="7"/>
      <c r="O19" s="7"/>
      <c r="P19" s="7" t="s">
        <v>5271</v>
      </c>
      <c r="Q19" s="7" t="s">
        <v>3285</v>
      </c>
      <c r="R19" s="7" t="s">
        <v>3225</v>
      </c>
      <c r="S19" s="7"/>
      <c r="T19" s="7" t="n">
        <v>8</v>
      </c>
      <c r="U19" s="7" t="s">
        <v>6043</v>
      </c>
      <c r="V19" s="7" t="s">
        <v>5269</v>
      </c>
      <c r="W19" s="7" t="s">
        <v>6076</v>
      </c>
      <c r="X19" s="7" t="s">
        <v>6077</v>
      </c>
      <c r="Y19" s="7"/>
      <c r="Z19" s="7"/>
      <c r="AA19" s="7" t="s">
        <v>6046</v>
      </c>
      <c r="AB19" s="7" t="s">
        <v>6041</v>
      </c>
    </row>
    <row r="20" customFormat="false" ht="48" hidden="false" customHeight="true" outlineLevel="0" collapsed="false">
      <c r="A20" s="7" t="n">
        <v>17</v>
      </c>
      <c r="B20" s="7" t="n">
        <v>2289</v>
      </c>
      <c r="C20" s="7" t="s">
        <v>5290</v>
      </c>
      <c r="D20" s="7" t="s">
        <v>26</v>
      </c>
      <c r="E20" s="7" t="s">
        <v>3217</v>
      </c>
      <c r="F20" s="7" t="s">
        <v>3218</v>
      </c>
      <c r="G20" s="7" t="s">
        <v>3219</v>
      </c>
      <c r="H20" s="7" t="n">
        <v>18</v>
      </c>
      <c r="I20" s="7" t="s">
        <v>16</v>
      </c>
      <c r="J20" s="7" t="s">
        <v>16</v>
      </c>
      <c r="K20" s="7" t="s">
        <v>6040</v>
      </c>
      <c r="L20" s="7" t="s">
        <v>6041</v>
      </c>
      <c r="M20" s="7" t="s">
        <v>6042</v>
      </c>
      <c r="N20" s="7"/>
      <c r="O20" s="7"/>
      <c r="P20" s="7" t="s">
        <v>5274</v>
      </c>
      <c r="Q20" s="7" t="s">
        <v>3287</v>
      </c>
      <c r="R20" s="7" t="s">
        <v>3225</v>
      </c>
      <c r="S20" s="7"/>
      <c r="T20" s="7" t="n">
        <v>9</v>
      </c>
      <c r="U20" s="7" t="s">
        <v>6043</v>
      </c>
      <c r="V20" s="7" t="s">
        <v>5269</v>
      </c>
      <c r="W20" s="7" t="s">
        <v>6078</v>
      </c>
      <c r="X20" s="7" t="s">
        <v>6079</v>
      </c>
      <c r="Y20" s="7"/>
      <c r="Z20" s="7"/>
      <c r="AA20" s="7" t="s">
        <v>6046</v>
      </c>
      <c r="AB20" s="7" t="s">
        <v>6041</v>
      </c>
    </row>
    <row r="21" customFormat="false" ht="48" hidden="false" customHeight="true" outlineLevel="0" collapsed="false">
      <c r="A21" s="7" t="n">
        <v>18</v>
      </c>
      <c r="B21" s="7" t="n">
        <v>2290</v>
      </c>
      <c r="C21" s="7" t="s">
        <v>5291</v>
      </c>
      <c r="D21" s="7" t="s">
        <v>26</v>
      </c>
      <c r="E21" s="7" t="s">
        <v>3217</v>
      </c>
      <c r="F21" s="7" t="s">
        <v>3218</v>
      </c>
      <c r="G21" s="7" t="s">
        <v>3219</v>
      </c>
      <c r="H21" s="7" t="n">
        <v>19</v>
      </c>
      <c r="I21" s="7" t="s">
        <v>16</v>
      </c>
      <c r="J21" s="7" t="s">
        <v>16</v>
      </c>
      <c r="K21" s="7" t="s">
        <v>6040</v>
      </c>
      <c r="L21" s="7" t="s">
        <v>6041</v>
      </c>
      <c r="M21" s="7" t="s">
        <v>6042</v>
      </c>
      <c r="N21" s="7"/>
      <c r="O21" s="7"/>
      <c r="P21" s="7" t="s">
        <v>5276</v>
      </c>
      <c r="Q21" s="7" t="s">
        <v>3292</v>
      </c>
      <c r="R21" s="7" t="s">
        <v>3225</v>
      </c>
      <c r="S21" s="7"/>
      <c r="T21" s="7" t="n">
        <v>9</v>
      </c>
      <c r="U21" s="7" t="s">
        <v>6043</v>
      </c>
      <c r="V21" s="7" t="s">
        <v>5269</v>
      </c>
      <c r="W21" s="7" t="s">
        <v>6080</v>
      </c>
      <c r="X21" s="7" t="s">
        <v>6081</v>
      </c>
      <c r="Y21" s="7"/>
      <c r="Z21" s="7"/>
      <c r="AA21" s="7" t="s">
        <v>6046</v>
      </c>
      <c r="AB21" s="7" t="s">
        <v>6041</v>
      </c>
    </row>
    <row r="22" customFormat="false" ht="48" hidden="false" customHeight="true" outlineLevel="0" collapsed="false">
      <c r="A22" s="7" t="n">
        <v>19</v>
      </c>
      <c r="B22" s="7" t="n">
        <v>2291</v>
      </c>
      <c r="C22" s="7" t="s">
        <v>5292</v>
      </c>
      <c r="D22" s="7" t="s">
        <v>26</v>
      </c>
      <c r="E22" s="7" t="s">
        <v>3217</v>
      </c>
      <c r="F22" s="7" t="s">
        <v>3218</v>
      </c>
      <c r="G22" s="7" t="s">
        <v>3219</v>
      </c>
      <c r="H22" s="7" t="n">
        <v>20</v>
      </c>
      <c r="I22" s="7" t="s">
        <v>16</v>
      </c>
      <c r="J22" s="7" t="s">
        <v>16</v>
      </c>
      <c r="K22" s="7" t="s">
        <v>6040</v>
      </c>
      <c r="L22" s="7" t="s">
        <v>6041</v>
      </c>
      <c r="M22" s="7" t="s">
        <v>6042</v>
      </c>
      <c r="N22" s="7"/>
      <c r="O22" s="7"/>
      <c r="P22" s="7" t="s">
        <v>5274</v>
      </c>
      <c r="Q22" s="7" t="s">
        <v>3295</v>
      </c>
      <c r="R22" s="7" t="s">
        <v>3225</v>
      </c>
      <c r="S22" s="7"/>
      <c r="T22" s="7" t="n">
        <v>9</v>
      </c>
      <c r="U22" s="7" t="s">
        <v>6043</v>
      </c>
      <c r="V22" s="7" t="s">
        <v>5269</v>
      </c>
      <c r="W22" s="7" t="s">
        <v>6082</v>
      </c>
      <c r="X22" s="7" t="s">
        <v>6083</v>
      </c>
      <c r="Y22" s="7"/>
      <c r="Z22" s="7"/>
      <c r="AA22" s="7" t="s">
        <v>6046</v>
      </c>
      <c r="AB22" s="7" t="s">
        <v>6041</v>
      </c>
    </row>
    <row r="23" customFormat="false" ht="48" hidden="false" customHeight="true" outlineLevel="0" collapsed="false">
      <c r="A23" s="7" t="n">
        <v>20</v>
      </c>
      <c r="B23" s="7" t="n">
        <v>2292</v>
      </c>
      <c r="C23" s="7" t="s">
        <v>5293</v>
      </c>
      <c r="D23" s="7" t="s">
        <v>26</v>
      </c>
      <c r="E23" s="7" t="s">
        <v>3217</v>
      </c>
      <c r="F23" s="7" t="s">
        <v>3218</v>
      </c>
      <c r="G23" s="7" t="s">
        <v>3219</v>
      </c>
      <c r="H23" s="7" t="n">
        <v>21</v>
      </c>
      <c r="I23" s="7" t="s">
        <v>16</v>
      </c>
      <c r="J23" s="7" t="s">
        <v>16</v>
      </c>
      <c r="K23" s="7" t="s">
        <v>6040</v>
      </c>
      <c r="L23" s="7" t="s">
        <v>6041</v>
      </c>
      <c r="M23" s="7" t="s">
        <v>6042</v>
      </c>
      <c r="N23" s="7"/>
      <c r="O23" s="7"/>
      <c r="P23" s="7" t="s">
        <v>5268</v>
      </c>
      <c r="Q23" s="7" t="s">
        <v>3302</v>
      </c>
      <c r="R23" s="7" t="s">
        <v>3225</v>
      </c>
      <c r="S23" s="7"/>
      <c r="T23" s="7" t="n">
        <v>9</v>
      </c>
      <c r="U23" s="7" t="s">
        <v>6043</v>
      </c>
      <c r="V23" s="7" t="s">
        <v>5269</v>
      </c>
      <c r="W23" s="7" t="s">
        <v>6084</v>
      </c>
      <c r="X23" s="7" t="s">
        <v>6085</v>
      </c>
      <c r="Y23" s="7"/>
      <c r="Z23" s="7"/>
      <c r="AA23" s="7" t="s">
        <v>6046</v>
      </c>
      <c r="AB23" s="7" t="s">
        <v>6041</v>
      </c>
    </row>
    <row r="24" customFormat="false" ht="48" hidden="false" customHeight="true" outlineLevel="0" collapsed="false">
      <c r="A24" s="7" t="n">
        <v>21</v>
      </c>
      <c r="B24" s="7" t="n">
        <v>2293</v>
      </c>
      <c r="C24" s="7" t="s">
        <v>5294</v>
      </c>
      <c r="D24" s="7" t="s">
        <v>26</v>
      </c>
      <c r="E24" s="7" t="s">
        <v>3217</v>
      </c>
      <c r="F24" s="7" t="s">
        <v>3218</v>
      </c>
      <c r="G24" s="7" t="s">
        <v>3219</v>
      </c>
      <c r="H24" s="7" t="n">
        <v>22</v>
      </c>
      <c r="I24" s="7" t="s">
        <v>16</v>
      </c>
      <c r="J24" s="7" t="s">
        <v>16</v>
      </c>
      <c r="K24" s="7" t="s">
        <v>6040</v>
      </c>
      <c r="L24" s="7" t="s">
        <v>6041</v>
      </c>
      <c r="M24" s="7" t="s">
        <v>6042</v>
      </c>
      <c r="N24" s="7"/>
      <c r="O24" s="7"/>
      <c r="P24" s="7" t="s">
        <v>5276</v>
      </c>
      <c r="Q24" s="7" t="s">
        <v>3304</v>
      </c>
      <c r="R24" s="7" t="s">
        <v>3225</v>
      </c>
      <c r="S24" s="7"/>
      <c r="T24" s="7" t="n">
        <v>10</v>
      </c>
      <c r="U24" s="7" t="s">
        <v>6043</v>
      </c>
      <c r="V24" s="7" t="s">
        <v>5269</v>
      </c>
      <c r="W24" s="7" t="s">
        <v>6086</v>
      </c>
      <c r="X24" s="7" t="s">
        <v>6087</v>
      </c>
      <c r="Y24" s="7"/>
      <c r="Z24" s="7"/>
      <c r="AA24" s="7" t="s">
        <v>6046</v>
      </c>
      <c r="AB24" s="7" t="s">
        <v>6041</v>
      </c>
    </row>
    <row r="25" customFormat="false" ht="48" hidden="false" customHeight="true" outlineLevel="0" collapsed="false">
      <c r="A25" s="7" t="n">
        <v>22</v>
      </c>
      <c r="B25" s="7" t="n">
        <v>2294</v>
      </c>
      <c r="C25" s="7" t="s">
        <v>5295</v>
      </c>
      <c r="D25" s="7" t="s">
        <v>26</v>
      </c>
      <c r="E25" s="7" t="s">
        <v>3217</v>
      </c>
      <c r="F25" s="7" t="s">
        <v>3218</v>
      </c>
      <c r="G25" s="7" t="s">
        <v>3219</v>
      </c>
      <c r="H25" s="7" t="n">
        <v>23</v>
      </c>
      <c r="I25" s="7" t="s">
        <v>16</v>
      </c>
      <c r="J25" s="7" t="s">
        <v>16</v>
      </c>
      <c r="K25" s="7" t="s">
        <v>6040</v>
      </c>
      <c r="L25" s="7" t="s">
        <v>6041</v>
      </c>
      <c r="M25" s="7" t="s">
        <v>6042</v>
      </c>
      <c r="N25" s="7"/>
      <c r="O25" s="7"/>
      <c r="P25" s="7" t="s">
        <v>5268</v>
      </c>
      <c r="Q25" s="7" t="s">
        <v>3298</v>
      </c>
      <c r="R25" s="7" t="s">
        <v>3225</v>
      </c>
      <c r="S25" s="7"/>
      <c r="T25" s="7" t="n">
        <v>10</v>
      </c>
      <c r="U25" s="7" t="s">
        <v>6043</v>
      </c>
      <c r="V25" s="7" t="s">
        <v>5269</v>
      </c>
      <c r="W25" s="7" t="s">
        <v>6088</v>
      </c>
      <c r="X25" s="7" t="s">
        <v>6089</v>
      </c>
      <c r="Y25" s="7"/>
      <c r="Z25" s="7"/>
      <c r="AA25" s="7" t="s">
        <v>6046</v>
      </c>
      <c r="AB25" s="7" t="s">
        <v>6041</v>
      </c>
    </row>
    <row r="26" customFormat="false" ht="48" hidden="false" customHeight="true" outlineLevel="0" collapsed="false">
      <c r="A26" s="7" t="n">
        <v>23</v>
      </c>
      <c r="B26" s="7" t="n">
        <v>2295</v>
      </c>
      <c r="C26" s="7" t="s">
        <v>5296</v>
      </c>
      <c r="D26" s="7" t="s">
        <v>26</v>
      </c>
      <c r="E26" s="7" t="s">
        <v>3217</v>
      </c>
      <c r="F26" s="7" t="s">
        <v>3218</v>
      </c>
      <c r="G26" s="7" t="s">
        <v>3219</v>
      </c>
      <c r="H26" s="7" t="n">
        <v>24</v>
      </c>
      <c r="I26" s="7" t="s">
        <v>16</v>
      </c>
      <c r="J26" s="7" t="s">
        <v>16</v>
      </c>
      <c r="K26" s="7" t="s">
        <v>6040</v>
      </c>
      <c r="L26" s="7" t="s">
        <v>6041</v>
      </c>
      <c r="M26" s="7" t="s">
        <v>6042</v>
      </c>
      <c r="N26" s="7"/>
      <c r="O26" s="7"/>
      <c r="P26" s="7" t="s">
        <v>5268</v>
      </c>
      <c r="Q26" s="7" t="s">
        <v>3312</v>
      </c>
      <c r="R26" s="7" t="s">
        <v>3225</v>
      </c>
      <c r="S26" s="7"/>
      <c r="T26" s="7" t="n">
        <v>10</v>
      </c>
      <c r="U26" s="7" t="s">
        <v>6043</v>
      </c>
      <c r="V26" s="7" t="s">
        <v>5269</v>
      </c>
      <c r="W26" s="7" t="s">
        <v>6090</v>
      </c>
      <c r="X26" s="7" t="s">
        <v>6091</v>
      </c>
      <c r="Y26" s="7"/>
      <c r="Z26" s="7"/>
      <c r="AA26" s="7" t="s">
        <v>6046</v>
      </c>
      <c r="AB26" s="7" t="s">
        <v>6041</v>
      </c>
    </row>
    <row r="27" customFormat="false" ht="48" hidden="false" customHeight="true" outlineLevel="0" collapsed="false">
      <c r="A27" s="7" t="n">
        <v>24</v>
      </c>
      <c r="B27" s="7" t="n">
        <v>2296</v>
      </c>
      <c r="C27" s="7" t="s">
        <v>5298</v>
      </c>
      <c r="D27" s="7" t="s">
        <v>26</v>
      </c>
      <c r="E27" s="7" t="s">
        <v>3217</v>
      </c>
      <c r="F27" s="7" t="s">
        <v>3218</v>
      </c>
      <c r="G27" s="7" t="s">
        <v>3313</v>
      </c>
      <c r="H27" s="7" t="n">
        <v>25</v>
      </c>
      <c r="I27" s="7" t="s">
        <v>16</v>
      </c>
      <c r="J27" s="7" t="s">
        <v>16</v>
      </c>
      <c r="K27" s="7" t="s">
        <v>6040</v>
      </c>
      <c r="L27" s="7" t="s">
        <v>6041</v>
      </c>
      <c r="M27" s="7" t="s">
        <v>6047</v>
      </c>
      <c r="N27" s="7" t="s">
        <v>5272</v>
      </c>
      <c r="O27" s="7"/>
      <c r="P27" s="7" t="s">
        <v>5276</v>
      </c>
      <c r="Q27" s="7" t="s">
        <v>3316</v>
      </c>
      <c r="R27" s="7" t="s">
        <v>3319</v>
      </c>
      <c r="S27" s="7"/>
      <c r="T27" s="7" t="n">
        <v>11</v>
      </c>
      <c r="U27" s="7" t="s">
        <v>6043</v>
      </c>
      <c r="V27" s="7" t="s">
        <v>5297</v>
      </c>
      <c r="W27" s="7" t="s">
        <v>6092</v>
      </c>
      <c r="X27" s="7" t="s">
        <v>6093</v>
      </c>
      <c r="Y27" s="7" t="s">
        <v>6094</v>
      </c>
      <c r="Z27" s="7"/>
      <c r="AA27" s="7" t="s">
        <v>6046</v>
      </c>
      <c r="AB27" s="7" t="s">
        <v>6041</v>
      </c>
    </row>
    <row r="28" customFormat="false" ht="48" hidden="false" customHeight="true" outlineLevel="0" collapsed="false">
      <c r="A28" s="7" t="n">
        <v>25</v>
      </c>
      <c r="B28" s="7" t="n">
        <v>2297</v>
      </c>
      <c r="C28" s="7" t="s">
        <v>5299</v>
      </c>
      <c r="D28" s="7" t="s">
        <v>26</v>
      </c>
      <c r="E28" s="7" t="s">
        <v>3217</v>
      </c>
      <c r="F28" s="7" t="s">
        <v>3218</v>
      </c>
      <c r="G28" s="7" t="s">
        <v>3313</v>
      </c>
      <c r="H28" s="7" t="n">
        <v>26</v>
      </c>
      <c r="I28" s="7" t="s">
        <v>16</v>
      </c>
      <c r="J28" s="7" t="s">
        <v>16</v>
      </c>
      <c r="K28" s="7" t="s">
        <v>6040</v>
      </c>
      <c r="L28" s="7" t="s">
        <v>6041</v>
      </c>
      <c r="M28" s="7" t="s">
        <v>6047</v>
      </c>
      <c r="N28" s="7" t="s">
        <v>5272</v>
      </c>
      <c r="O28" s="7"/>
      <c r="P28" s="7" t="s">
        <v>5268</v>
      </c>
      <c r="Q28" s="7" t="s">
        <v>3324</v>
      </c>
      <c r="R28" s="7" t="s">
        <v>3319</v>
      </c>
      <c r="S28" s="7"/>
      <c r="T28" s="7" t="n">
        <v>12</v>
      </c>
      <c r="U28" s="7" t="s">
        <v>6043</v>
      </c>
      <c r="V28" s="7" t="s">
        <v>5297</v>
      </c>
      <c r="W28" s="7" t="s">
        <v>6095</v>
      </c>
      <c r="X28" s="7" t="s">
        <v>6096</v>
      </c>
      <c r="Y28" s="7" t="s">
        <v>6094</v>
      </c>
      <c r="Z28" s="7"/>
      <c r="AA28" s="7" t="s">
        <v>6046</v>
      </c>
      <c r="AB28" s="7" t="s">
        <v>6041</v>
      </c>
    </row>
    <row r="29" customFormat="false" ht="48" hidden="false" customHeight="true" outlineLevel="0" collapsed="false">
      <c r="A29" s="7" t="n">
        <v>26</v>
      </c>
      <c r="B29" s="7" t="n">
        <v>2298</v>
      </c>
      <c r="C29" s="7" t="s">
        <v>5300</v>
      </c>
      <c r="D29" s="7" t="s">
        <v>26</v>
      </c>
      <c r="E29" s="7" t="s">
        <v>3217</v>
      </c>
      <c r="F29" s="7" t="s">
        <v>3218</v>
      </c>
      <c r="G29" s="7" t="s">
        <v>3313</v>
      </c>
      <c r="H29" s="7" t="n">
        <v>27</v>
      </c>
      <c r="I29" s="7" t="s">
        <v>16</v>
      </c>
      <c r="J29" s="7" t="s">
        <v>16</v>
      </c>
      <c r="K29" s="7" t="s">
        <v>6040</v>
      </c>
      <c r="L29" s="7" t="s">
        <v>6041</v>
      </c>
      <c r="M29" s="7" t="s">
        <v>6047</v>
      </c>
      <c r="N29" s="7" t="s">
        <v>5272</v>
      </c>
      <c r="O29" s="7"/>
      <c r="P29" s="7" t="s">
        <v>5271</v>
      </c>
      <c r="Q29" s="7" t="s">
        <v>3327</v>
      </c>
      <c r="R29" s="7" t="s">
        <v>3319</v>
      </c>
      <c r="S29" s="7"/>
      <c r="T29" s="7" t="n">
        <v>12</v>
      </c>
      <c r="U29" s="7" t="s">
        <v>6043</v>
      </c>
      <c r="V29" s="7" t="s">
        <v>5297</v>
      </c>
      <c r="W29" s="7" t="s">
        <v>6097</v>
      </c>
      <c r="X29" s="7" t="s">
        <v>6098</v>
      </c>
      <c r="Y29" s="7" t="s">
        <v>6094</v>
      </c>
      <c r="Z29" s="7"/>
      <c r="AA29" s="7" t="s">
        <v>6046</v>
      </c>
      <c r="AB29" s="7" t="s">
        <v>6041</v>
      </c>
    </row>
    <row r="30" customFormat="false" ht="48" hidden="false" customHeight="true" outlineLevel="0" collapsed="false">
      <c r="A30" s="7" t="n">
        <v>27</v>
      </c>
      <c r="B30" s="7" t="n">
        <v>2299</v>
      </c>
      <c r="C30" s="7" t="s">
        <v>5301</v>
      </c>
      <c r="D30" s="7" t="s">
        <v>26</v>
      </c>
      <c r="E30" s="7" t="s">
        <v>3217</v>
      </c>
      <c r="F30" s="7" t="s">
        <v>3218</v>
      </c>
      <c r="G30" s="7" t="s">
        <v>3313</v>
      </c>
      <c r="H30" s="7" t="n">
        <v>28</v>
      </c>
      <c r="I30" s="7" t="s">
        <v>16</v>
      </c>
      <c r="J30" s="7" t="s">
        <v>16</v>
      </c>
      <c r="K30" s="7" t="s">
        <v>6040</v>
      </c>
      <c r="L30" s="7" t="s">
        <v>6041</v>
      </c>
      <c r="M30" s="7" t="s">
        <v>6042</v>
      </c>
      <c r="N30" s="7"/>
      <c r="O30" s="7"/>
      <c r="P30" s="7" t="s">
        <v>5276</v>
      </c>
      <c r="Q30" s="7" t="s">
        <v>3330</v>
      </c>
      <c r="R30" s="7" t="s">
        <v>3319</v>
      </c>
      <c r="S30" s="7"/>
      <c r="T30" s="7" t="n">
        <v>12</v>
      </c>
      <c r="U30" s="7" t="s">
        <v>6043</v>
      </c>
      <c r="V30" s="7" t="s">
        <v>5297</v>
      </c>
      <c r="W30" s="7" t="s">
        <v>6099</v>
      </c>
      <c r="X30" s="7" t="s">
        <v>6100</v>
      </c>
      <c r="Y30" s="7" t="s">
        <v>6094</v>
      </c>
      <c r="Z30" s="7"/>
      <c r="AA30" s="7" t="s">
        <v>6046</v>
      </c>
      <c r="AB30" s="7" t="s">
        <v>6041</v>
      </c>
    </row>
    <row r="31" customFormat="false" ht="48" hidden="false" customHeight="true" outlineLevel="0" collapsed="false">
      <c r="A31" s="7" t="n">
        <v>28</v>
      </c>
      <c r="B31" s="7" t="n">
        <v>2300</v>
      </c>
      <c r="C31" s="7" t="s">
        <v>5302</v>
      </c>
      <c r="D31" s="7" t="s">
        <v>26</v>
      </c>
      <c r="E31" s="7" t="s">
        <v>3217</v>
      </c>
      <c r="F31" s="7" t="s">
        <v>3218</v>
      </c>
      <c r="G31" s="7" t="s">
        <v>3313</v>
      </c>
      <c r="H31" s="7" t="n">
        <v>29</v>
      </c>
      <c r="I31" s="7" t="s">
        <v>16</v>
      </c>
      <c r="J31" s="7" t="s">
        <v>16</v>
      </c>
      <c r="K31" s="7" t="s">
        <v>6040</v>
      </c>
      <c r="L31" s="7" t="s">
        <v>6041</v>
      </c>
      <c r="M31" s="7" t="s">
        <v>6047</v>
      </c>
      <c r="N31" s="7" t="s">
        <v>5272</v>
      </c>
      <c r="O31" s="7"/>
      <c r="P31" s="7" t="s">
        <v>5276</v>
      </c>
      <c r="Q31" s="7" t="s">
        <v>3334</v>
      </c>
      <c r="R31" s="7" t="s">
        <v>3319</v>
      </c>
      <c r="S31" s="7"/>
      <c r="T31" s="7" t="n">
        <v>13</v>
      </c>
      <c r="U31" s="7" t="s">
        <v>6043</v>
      </c>
      <c r="V31" s="7" t="s">
        <v>5297</v>
      </c>
      <c r="W31" s="7" t="s">
        <v>6101</v>
      </c>
      <c r="X31" s="7" t="s">
        <v>6102</v>
      </c>
      <c r="Y31" s="7" t="s">
        <v>6094</v>
      </c>
      <c r="Z31" s="7"/>
      <c r="AA31" s="7" t="s">
        <v>6046</v>
      </c>
      <c r="AB31" s="7" t="s">
        <v>6041</v>
      </c>
    </row>
    <row r="32" customFormat="false" ht="48" hidden="false" customHeight="true" outlineLevel="0" collapsed="false">
      <c r="A32" s="7" t="n">
        <v>29</v>
      </c>
      <c r="B32" s="7" t="n">
        <v>2301</v>
      </c>
      <c r="C32" s="7" t="s">
        <v>5303</v>
      </c>
      <c r="D32" s="7" t="s">
        <v>26</v>
      </c>
      <c r="E32" s="7" t="s">
        <v>3217</v>
      </c>
      <c r="F32" s="7" t="s">
        <v>3218</v>
      </c>
      <c r="G32" s="7" t="s">
        <v>3313</v>
      </c>
      <c r="H32" s="7" t="n">
        <v>30</v>
      </c>
      <c r="I32" s="7" t="s">
        <v>16</v>
      </c>
      <c r="J32" s="7" t="s">
        <v>16</v>
      </c>
      <c r="K32" s="7" t="s">
        <v>6040</v>
      </c>
      <c r="L32" s="7" t="s">
        <v>6041</v>
      </c>
      <c r="M32" s="7" t="s">
        <v>6042</v>
      </c>
      <c r="N32" s="7"/>
      <c r="O32" s="7"/>
      <c r="P32" s="7" t="s">
        <v>5271</v>
      </c>
      <c r="Q32" s="7" t="s">
        <v>3339</v>
      </c>
      <c r="R32" s="7" t="s">
        <v>3319</v>
      </c>
      <c r="S32" s="7"/>
      <c r="T32" s="7" t="n">
        <v>13</v>
      </c>
      <c r="U32" s="7" t="s">
        <v>6043</v>
      </c>
      <c r="V32" s="7" t="s">
        <v>5297</v>
      </c>
      <c r="W32" s="7" t="s">
        <v>6103</v>
      </c>
      <c r="X32" s="7" t="s">
        <v>6104</v>
      </c>
      <c r="Y32" s="7" t="s">
        <v>6094</v>
      </c>
      <c r="Z32" s="7"/>
      <c r="AA32" s="7" t="s">
        <v>6046</v>
      </c>
      <c r="AB32" s="7" t="s">
        <v>6041</v>
      </c>
    </row>
    <row r="33" customFormat="false" ht="48" hidden="false" customHeight="true" outlineLevel="0" collapsed="false">
      <c r="A33" s="7" t="n">
        <v>30</v>
      </c>
      <c r="B33" s="7" t="n">
        <v>2302</v>
      </c>
      <c r="C33" s="7" t="s">
        <v>5304</v>
      </c>
      <c r="D33" s="7" t="s">
        <v>26</v>
      </c>
      <c r="E33" s="7" t="s">
        <v>3217</v>
      </c>
      <c r="F33" s="7" t="s">
        <v>3218</v>
      </c>
      <c r="G33" s="7" t="s">
        <v>3313</v>
      </c>
      <c r="H33" s="7" t="n">
        <v>31</v>
      </c>
      <c r="I33" s="7" t="s">
        <v>16</v>
      </c>
      <c r="J33" s="7" t="s">
        <v>16</v>
      </c>
      <c r="K33" s="7" t="s">
        <v>6040</v>
      </c>
      <c r="L33" s="7" t="s">
        <v>6041</v>
      </c>
      <c r="M33" s="7" t="s">
        <v>6042</v>
      </c>
      <c r="N33" s="7"/>
      <c r="O33" s="7"/>
      <c r="P33" s="7" t="s">
        <v>5271</v>
      </c>
      <c r="Q33" s="7" t="s">
        <v>3343</v>
      </c>
      <c r="R33" s="7" t="s">
        <v>3319</v>
      </c>
      <c r="S33" s="7"/>
      <c r="T33" s="7" t="n">
        <v>13</v>
      </c>
      <c r="U33" s="7" t="s">
        <v>6043</v>
      </c>
      <c r="V33" s="7" t="s">
        <v>5297</v>
      </c>
      <c r="W33" s="7" t="s">
        <v>6105</v>
      </c>
      <c r="X33" s="7" t="s">
        <v>6106</v>
      </c>
      <c r="Y33" s="7" t="s">
        <v>6094</v>
      </c>
      <c r="Z33" s="7"/>
      <c r="AA33" s="7" t="s">
        <v>6046</v>
      </c>
      <c r="AB33" s="7" t="s">
        <v>6041</v>
      </c>
    </row>
    <row r="34" customFormat="false" ht="48" hidden="false" customHeight="true" outlineLevel="0" collapsed="false">
      <c r="A34" s="7" t="n">
        <v>31</v>
      </c>
      <c r="B34" s="7" t="n">
        <v>2303</v>
      </c>
      <c r="C34" s="7" t="s">
        <v>5305</v>
      </c>
      <c r="D34" s="7" t="s">
        <v>26</v>
      </c>
      <c r="E34" s="7" t="s">
        <v>3217</v>
      </c>
      <c r="F34" s="7" t="s">
        <v>3218</v>
      </c>
      <c r="G34" s="7" t="s">
        <v>3313</v>
      </c>
      <c r="H34" s="7" t="n">
        <v>32</v>
      </c>
      <c r="I34" s="7" t="s">
        <v>16</v>
      </c>
      <c r="J34" s="7" t="s">
        <v>16</v>
      </c>
      <c r="K34" s="7" t="s">
        <v>6040</v>
      </c>
      <c r="L34" s="7" t="s">
        <v>6041</v>
      </c>
      <c r="M34" s="7" t="s">
        <v>6047</v>
      </c>
      <c r="N34" s="7" t="s">
        <v>5272</v>
      </c>
      <c r="O34" s="7"/>
      <c r="P34" s="7" t="s">
        <v>5271</v>
      </c>
      <c r="Q34" s="7" t="s">
        <v>3347</v>
      </c>
      <c r="R34" s="7" t="s">
        <v>3319</v>
      </c>
      <c r="S34" s="7"/>
      <c r="T34" s="7" t="n">
        <v>14</v>
      </c>
      <c r="U34" s="7" t="s">
        <v>6043</v>
      </c>
      <c r="V34" s="7" t="s">
        <v>5297</v>
      </c>
      <c r="W34" s="7" t="s">
        <v>6107</v>
      </c>
      <c r="X34" s="7" t="s">
        <v>6108</v>
      </c>
      <c r="Y34" s="7" t="s">
        <v>6094</v>
      </c>
      <c r="Z34" s="7"/>
      <c r="AA34" s="7" t="s">
        <v>6046</v>
      </c>
      <c r="AB34" s="7" t="s">
        <v>6041</v>
      </c>
    </row>
    <row r="35" customFormat="false" ht="48" hidden="false" customHeight="true" outlineLevel="0" collapsed="false">
      <c r="A35" s="7" t="n">
        <v>32</v>
      </c>
      <c r="B35" s="7" t="n">
        <v>2304</v>
      </c>
      <c r="C35" s="7" t="s">
        <v>5306</v>
      </c>
      <c r="D35" s="7" t="s">
        <v>26</v>
      </c>
      <c r="E35" s="7" t="s">
        <v>3217</v>
      </c>
      <c r="F35" s="7" t="s">
        <v>3218</v>
      </c>
      <c r="G35" s="7" t="s">
        <v>3313</v>
      </c>
      <c r="H35" s="7" t="n">
        <v>33</v>
      </c>
      <c r="I35" s="7" t="s">
        <v>16</v>
      </c>
      <c r="J35" s="7" t="s">
        <v>16</v>
      </c>
      <c r="K35" s="7" t="s">
        <v>6040</v>
      </c>
      <c r="L35" s="7" t="s">
        <v>6041</v>
      </c>
      <c r="M35" s="7" t="s">
        <v>6047</v>
      </c>
      <c r="N35" s="7" t="s">
        <v>5272</v>
      </c>
      <c r="O35" s="7"/>
      <c r="P35" s="7" t="s">
        <v>5268</v>
      </c>
      <c r="Q35" s="7" t="s">
        <v>3352</v>
      </c>
      <c r="R35" s="7" t="s">
        <v>3319</v>
      </c>
      <c r="S35" s="7"/>
      <c r="T35" s="7" t="n">
        <v>14</v>
      </c>
      <c r="U35" s="7" t="s">
        <v>6043</v>
      </c>
      <c r="V35" s="7" t="s">
        <v>5297</v>
      </c>
      <c r="W35" s="7" t="s">
        <v>6109</v>
      </c>
      <c r="X35" s="7" t="s">
        <v>6110</v>
      </c>
      <c r="Y35" s="7" t="s">
        <v>6094</v>
      </c>
      <c r="Z35" s="7"/>
      <c r="AA35" s="7" t="s">
        <v>6046</v>
      </c>
      <c r="AB35" s="7" t="s">
        <v>6041</v>
      </c>
    </row>
    <row r="36" customFormat="false" ht="48" hidden="false" customHeight="true" outlineLevel="0" collapsed="false">
      <c r="A36" s="7" t="n">
        <v>33</v>
      </c>
      <c r="B36" s="7" t="n">
        <v>2305</v>
      </c>
      <c r="C36" s="7" t="s">
        <v>5307</v>
      </c>
      <c r="D36" s="7" t="s">
        <v>26</v>
      </c>
      <c r="E36" s="7" t="s">
        <v>3217</v>
      </c>
      <c r="F36" s="7" t="s">
        <v>3218</v>
      </c>
      <c r="G36" s="7" t="s">
        <v>3313</v>
      </c>
      <c r="H36" s="7" t="n">
        <v>34</v>
      </c>
      <c r="I36" s="7" t="s">
        <v>16</v>
      </c>
      <c r="J36" s="7" t="s">
        <v>16</v>
      </c>
      <c r="K36" s="7" t="s">
        <v>6040</v>
      </c>
      <c r="L36" s="7" t="s">
        <v>6041</v>
      </c>
      <c r="M36" s="7" t="s">
        <v>6047</v>
      </c>
      <c r="N36" s="7" t="s">
        <v>5272</v>
      </c>
      <c r="O36" s="7"/>
      <c r="P36" s="7" t="s">
        <v>5271</v>
      </c>
      <c r="Q36" s="7" t="s">
        <v>3355</v>
      </c>
      <c r="R36" s="7" t="s">
        <v>3319</v>
      </c>
      <c r="S36" s="7"/>
      <c r="T36" s="7" t="n">
        <v>14</v>
      </c>
      <c r="U36" s="7" t="s">
        <v>6043</v>
      </c>
      <c r="V36" s="7" t="s">
        <v>5297</v>
      </c>
      <c r="W36" s="7" t="s">
        <v>6111</v>
      </c>
      <c r="X36" s="7" t="s">
        <v>6112</v>
      </c>
      <c r="Y36" s="7" t="s">
        <v>6094</v>
      </c>
      <c r="Z36" s="7"/>
      <c r="AA36" s="7" t="s">
        <v>6046</v>
      </c>
      <c r="AB36" s="7" t="s">
        <v>6041</v>
      </c>
    </row>
    <row r="37" customFormat="false" ht="48" hidden="false" customHeight="true" outlineLevel="0" collapsed="false">
      <c r="A37" s="7" t="n">
        <v>34</v>
      </c>
      <c r="B37" s="7" t="n">
        <v>2306</v>
      </c>
      <c r="C37" s="7" t="s">
        <v>5308</v>
      </c>
      <c r="D37" s="7" t="s">
        <v>26</v>
      </c>
      <c r="E37" s="7" t="s">
        <v>3217</v>
      </c>
      <c r="F37" s="7" t="s">
        <v>3218</v>
      </c>
      <c r="G37" s="7" t="s">
        <v>3313</v>
      </c>
      <c r="H37" s="7" t="n">
        <v>35</v>
      </c>
      <c r="I37" s="7" t="s">
        <v>16</v>
      </c>
      <c r="J37" s="7" t="s">
        <v>16</v>
      </c>
      <c r="K37" s="7" t="s">
        <v>6040</v>
      </c>
      <c r="L37" s="7" t="s">
        <v>6041</v>
      </c>
      <c r="M37" s="7" t="s">
        <v>6042</v>
      </c>
      <c r="N37" s="7"/>
      <c r="O37" s="7"/>
      <c r="P37" s="7" t="s">
        <v>5268</v>
      </c>
      <c r="Q37" s="7" t="s">
        <v>3360</v>
      </c>
      <c r="R37" s="7" t="s">
        <v>3319</v>
      </c>
      <c r="S37" s="7"/>
      <c r="T37" s="7" t="n">
        <v>15</v>
      </c>
      <c r="U37" s="7" t="s">
        <v>6043</v>
      </c>
      <c r="V37" s="7" t="s">
        <v>5297</v>
      </c>
      <c r="W37" s="7" t="s">
        <v>6113</v>
      </c>
      <c r="X37" s="7" t="s">
        <v>6114</v>
      </c>
      <c r="Y37" s="7" t="s">
        <v>6094</v>
      </c>
      <c r="Z37" s="7"/>
      <c r="AA37" s="7" t="s">
        <v>6046</v>
      </c>
      <c r="AB37" s="7" t="s">
        <v>6041</v>
      </c>
    </row>
    <row r="38" customFormat="false" ht="48" hidden="false" customHeight="true" outlineLevel="0" collapsed="false">
      <c r="A38" s="7" t="n">
        <v>35</v>
      </c>
      <c r="B38" s="7" t="n">
        <v>2307</v>
      </c>
      <c r="C38" s="7" t="s">
        <v>5309</v>
      </c>
      <c r="D38" s="7" t="s">
        <v>26</v>
      </c>
      <c r="E38" s="7" t="s">
        <v>3217</v>
      </c>
      <c r="F38" s="7" t="s">
        <v>3218</v>
      </c>
      <c r="G38" s="7" t="s">
        <v>3313</v>
      </c>
      <c r="H38" s="7" t="n">
        <v>36</v>
      </c>
      <c r="I38" s="7" t="s">
        <v>16</v>
      </c>
      <c r="J38" s="7" t="s">
        <v>16</v>
      </c>
      <c r="K38" s="7" t="s">
        <v>6040</v>
      </c>
      <c r="L38" s="7" t="s">
        <v>6041</v>
      </c>
      <c r="M38" s="7" t="s">
        <v>6047</v>
      </c>
      <c r="N38" s="7" t="s">
        <v>5272</v>
      </c>
      <c r="O38" s="7"/>
      <c r="P38" s="7" t="s">
        <v>5276</v>
      </c>
      <c r="Q38" s="7" t="s">
        <v>3362</v>
      </c>
      <c r="R38" s="7" t="s">
        <v>3319</v>
      </c>
      <c r="S38" s="7"/>
      <c r="T38" s="7" t="n">
        <v>15</v>
      </c>
      <c r="U38" s="7" t="s">
        <v>6043</v>
      </c>
      <c r="V38" s="7" t="s">
        <v>5297</v>
      </c>
      <c r="W38" s="7" t="s">
        <v>6115</v>
      </c>
      <c r="X38" s="7" t="s">
        <v>6116</v>
      </c>
      <c r="Y38" s="7" t="s">
        <v>6094</v>
      </c>
      <c r="Z38" s="7"/>
      <c r="AA38" s="7" t="s">
        <v>6046</v>
      </c>
      <c r="AB38" s="7" t="s">
        <v>6041</v>
      </c>
    </row>
    <row r="39" customFormat="false" ht="48" hidden="false" customHeight="true" outlineLevel="0" collapsed="false">
      <c r="A39" s="7" t="n">
        <v>36</v>
      </c>
      <c r="B39" s="7" t="n">
        <v>2308</v>
      </c>
      <c r="C39" s="7" t="s">
        <v>5310</v>
      </c>
      <c r="D39" s="7" t="s">
        <v>26</v>
      </c>
      <c r="E39" s="7" t="s">
        <v>3217</v>
      </c>
      <c r="F39" s="7" t="s">
        <v>3218</v>
      </c>
      <c r="G39" s="7" t="s">
        <v>3313</v>
      </c>
      <c r="H39" s="7" t="n">
        <v>37</v>
      </c>
      <c r="I39" s="7" t="s">
        <v>16</v>
      </c>
      <c r="J39" s="7" t="s">
        <v>16</v>
      </c>
      <c r="K39" s="7" t="s">
        <v>6040</v>
      </c>
      <c r="L39" s="7" t="s">
        <v>6041</v>
      </c>
      <c r="M39" s="7" t="s">
        <v>6042</v>
      </c>
      <c r="N39" s="7"/>
      <c r="O39" s="7"/>
      <c r="P39" s="7" t="s">
        <v>5276</v>
      </c>
      <c r="Q39" s="7" t="s">
        <v>3366</v>
      </c>
      <c r="R39" s="7" t="s">
        <v>3319</v>
      </c>
      <c r="S39" s="7"/>
      <c r="T39" s="7" t="n">
        <v>15</v>
      </c>
      <c r="U39" s="7" t="s">
        <v>6043</v>
      </c>
      <c r="V39" s="7" t="s">
        <v>5297</v>
      </c>
      <c r="W39" s="7" t="s">
        <v>6117</v>
      </c>
      <c r="X39" s="7" t="s">
        <v>6118</v>
      </c>
      <c r="Y39" s="7" t="s">
        <v>6094</v>
      </c>
      <c r="Z39" s="7"/>
      <c r="AA39" s="7" t="s">
        <v>6046</v>
      </c>
      <c r="AB39" s="7" t="s">
        <v>6041</v>
      </c>
    </row>
    <row r="40" customFormat="false" ht="48" hidden="false" customHeight="true" outlineLevel="0" collapsed="false">
      <c r="A40" s="7" t="n">
        <v>37</v>
      </c>
      <c r="B40" s="7" t="n">
        <v>2309</v>
      </c>
      <c r="C40" s="7" t="s">
        <v>5311</v>
      </c>
      <c r="D40" s="7" t="s">
        <v>26</v>
      </c>
      <c r="E40" s="7" t="s">
        <v>3217</v>
      </c>
      <c r="F40" s="7" t="s">
        <v>3218</v>
      </c>
      <c r="G40" s="7" t="s">
        <v>3313</v>
      </c>
      <c r="H40" s="7" t="n">
        <v>38</v>
      </c>
      <c r="I40" s="7" t="s">
        <v>16</v>
      </c>
      <c r="J40" s="7" t="s">
        <v>16</v>
      </c>
      <c r="K40" s="7" t="s">
        <v>6040</v>
      </c>
      <c r="L40" s="7" t="s">
        <v>6041</v>
      </c>
      <c r="M40" s="7" t="s">
        <v>6047</v>
      </c>
      <c r="N40" s="7" t="s">
        <v>5272</v>
      </c>
      <c r="O40" s="7"/>
      <c r="P40" s="7" t="s">
        <v>5271</v>
      </c>
      <c r="Q40" s="7" t="s">
        <v>3371</v>
      </c>
      <c r="R40" s="7" t="s">
        <v>3319</v>
      </c>
      <c r="S40" s="7"/>
      <c r="T40" s="7" t="n">
        <v>15</v>
      </c>
      <c r="U40" s="7" t="s">
        <v>6043</v>
      </c>
      <c r="V40" s="7" t="s">
        <v>5297</v>
      </c>
      <c r="W40" s="7" t="s">
        <v>6119</v>
      </c>
      <c r="X40" s="7" t="s">
        <v>6120</v>
      </c>
      <c r="Y40" s="7" t="s">
        <v>6094</v>
      </c>
      <c r="Z40" s="7"/>
      <c r="AA40" s="7" t="s">
        <v>6046</v>
      </c>
      <c r="AB40" s="7" t="s">
        <v>6041</v>
      </c>
    </row>
    <row r="41" customFormat="false" ht="48" hidden="false" customHeight="true" outlineLevel="0" collapsed="false">
      <c r="A41" s="7" t="n">
        <v>38</v>
      </c>
      <c r="B41" s="7" t="n">
        <v>2310</v>
      </c>
      <c r="C41" s="7" t="s">
        <v>5312</v>
      </c>
      <c r="D41" s="7" t="s">
        <v>26</v>
      </c>
      <c r="E41" s="7" t="s">
        <v>3217</v>
      </c>
      <c r="F41" s="7" t="s">
        <v>3218</v>
      </c>
      <c r="G41" s="7" t="s">
        <v>3313</v>
      </c>
      <c r="H41" s="7" t="n">
        <v>39</v>
      </c>
      <c r="I41" s="7" t="s">
        <v>16</v>
      </c>
      <c r="J41" s="7" t="s">
        <v>16</v>
      </c>
      <c r="K41" s="7" t="s">
        <v>6040</v>
      </c>
      <c r="L41" s="7" t="s">
        <v>6041</v>
      </c>
      <c r="M41" s="7" t="s">
        <v>6047</v>
      </c>
      <c r="N41" s="7" t="s">
        <v>5272</v>
      </c>
      <c r="O41" s="7"/>
      <c r="P41" s="7" t="s">
        <v>5276</v>
      </c>
      <c r="Q41" s="7" t="s">
        <v>3374</v>
      </c>
      <c r="R41" s="7" t="s">
        <v>3319</v>
      </c>
      <c r="S41" s="7"/>
      <c r="T41" s="7" t="n">
        <v>16</v>
      </c>
      <c r="U41" s="7" t="s">
        <v>6043</v>
      </c>
      <c r="V41" s="7" t="s">
        <v>5297</v>
      </c>
      <c r="W41" s="7" t="s">
        <v>6121</v>
      </c>
      <c r="X41" s="7" t="s">
        <v>6122</v>
      </c>
      <c r="Y41" s="7" t="s">
        <v>6094</v>
      </c>
      <c r="Z41" s="7"/>
      <c r="AA41" s="7" t="s">
        <v>6046</v>
      </c>
      <c r="AB41" s="7" t="s">
        <v>6041</v>
      </c>
    </row>
    <row r="42" customFormat="false" ht="48" hidden="false" customHeight="true" outlineLevel="0" collapsed="false">
      <c r="A42" s="7" t="n">
        <v>39</v>
      </c>
      <c r="B42" s="7" t="n">
        <v>2311</v>
      </c>
      <c r="C42" s="7" t="s">
        <v>5313</v>
      </c>
      <c r="D42" s="7" t="s">
        <v>26</v>
      </c>
      <c r="E42" s="7" t="s">
        <v>3217</v>
      </c>
      <c r="F42" s="7" t="s">
        <v>3218</v>
      </c>
      <c r="G42" s="7" t="s">
        <v>3313</v>
      </c>
      <c r="H42" s="7" t="n">
        <v>40</v>
      </c>
      <c r="I42" s="7" t="s">
        <v>16</v>
      </c>
      <c r="J42" s="7" t="s">
        <v>16</v>
      </c>
      <c r="K42" s="7" t="s">
        <v>6040</v>
      </c>
      <c r="L42" s="7" t="s">
        <v>6041</v>
      </c>
      <c r="M42" s="7" t="s">
        <v>6047</v>
      </c>
      <c r="N42" s="7" t="s">
        <v>5272</v>
      </c>
      <c r="O42" s="7"/>
      <c r="P42" s="7" t="s">
        <v>5276</v>
      </c>
      <c r="Q42" s="7" t="s">
        <v>3378</v>
      </c>
      <c r="R42" s="7" t="s">
        <v>3319</v>
      </c>
      <c r="S42" s="7"/>
      <c r="T42" s="7" t="n">
        <v>16</v>
      </c>
      <c r="U42" s="7" t="s">
        <v>6043</v>
      </c>
      <c r="V42" s="7" t="s">
        <v>5297</v>
      </c>
      <c r="W42" s="7" t="s">
        <v>6123</v>
      </c>
      <c r="X42" s="7" t="s">
        <v>6124</v>
      </c>
      <c r="Y42" s="7" t="s">
        <v>6094</v>
      </c>
      <c r="Z42" s="7"/>
      <c r="AA42" s="7" t="s">
        <v>6046</v>
      </c>
      <c r="AB42" s="7" t="s">
        <v>6041</v>
      </c>
    </row>
    <row r="43" customFormat="false" ht="48" hidden="false" customHeight="true" outlineLevel="0" collapsed="false">
      <c r="A43" s="7" t="n">
        <v>40</v>
      </c>
      <c r="B43" s="7" t="n">
        <v>2312</v>
      </c>
      <c r="C43" s="7" t="s">
        <v>5314</v>
      </c>
      <c r="D43" s="7" t="s">
        <v>26</v>
      </c>
      <c r="E43" s="7" t="s">
        <v>3217</v>
      </c>
      <c r="F43" s="7" t="s">
        <v>3218</v>
      </c>
      <c r="G43" s="7" t="s">
        <v>3313</v>
      </c>
      <c r="H43" s="7" t="n">
        <v>41</v>
      </c>
      <c r="I43" s="7" t="s">
        <v>16</v>
      </c>
      <c r="J43" s="7" t="s">
        <v>16</v>
      </c>
      <c r="K43" s="7" t="s">
        <v>6040</v>
      </c>
      <c r="L43" s="7" t="s">
        <v>6041</v>
      </c>
      <c r="M43" s="7" t="s">
        <v>6042</v>
      </c>
      <c r="N43" s="7"/>
      <c r="O43" s="7"/>
      <c r="P43" s="7" t="s">
        <v>5274</v>
      </c>
      <c r="Q43" s="7" t="s">
        <v>3381</v>
      </c>
      <c r="R43" s="7" t="s">
        <v>3319</v>
      </c>
      <c r="S43" s="7"/>
      <c r="T43" s="7" t="n">
        <v>16</v>
      </c>
      <c r="U43" s="7" t="s">
        <v>6043</v>
      </c>
      <c r="V43" s="7" t="s">
        <v>5297</v>
      </c>
      <c r="W43" s="7" t="s">
        <v>6125</v>
      </c>
      <c r="X43" s="7" t="s">
        <v>6126</v>
      </c>
      <c r="Y43" s="7" t="s">
        <v>6094</v>
      </c>
      <c r="Z43" s="7"/>
      <c r="AA43" s="7" t="s">
        <v>6046</v>
      </c>
      <c r="AB43" s="7" t="s">
        <v>6041</v>
      </c>
    </row>
    <row r="44" customFormat="false" ht="48" hidden="false" customHeight="true" outlineLevel="0" collapsed="false">
      <c r="A44" s="7" t="n">
        <v>41</v>
      </c>
      <c r="B44" s="7" t="n">
        <v>2313</v>
      </c>
      <c r="C44" s="7" t="s">
        <v>5315</v>
      </c>
      <c r="D44" s="7" t="s">
        <v>26</v>
      </c>
      <c r="E44" s="7" t="s">
        <v>3217</v>
      </c>
      <c r="F44" s="7" t="s">
        <v>3218</v>
      </c>
      <c r="G44" s="7" t="s">
        <v>3313</v>
      </c>
      <c r="H44" s="7" t="n">
        <v>42</v>
      </c>
      <c r="I44" s="7" t="s">
        <v>16</v>
      </c>
      <c r="J44" s="7" t="s">
        <v>16</v>
      </c>
      <c r="K44" s="7" t="s">
        <v>6040</v>
      </c>
      <c r="L44" s="7" t="s">
        <v>6041</v>
      </c>
      <c r="M44" s="7" t="s">
        <v>6042</v>
      </c>
      <c r="N44" s="7"/>
      <c r="O44" s="7"/>
      <c r="P44" s="7" t="s">
        <v>5268</v>
      </c>
      <c r="Q44" s="7" t="s">
        <v>3360</v>
      </c>
      <c r="R44" s="7" t="s">
        <v>3319</v>
      </c>
      <c r="S44" s="7"/>
      <c r="T44" s="7" t="n">
        <v>17</v>
      </c>
      <c r="U44" s="7" t="s">
        <v>6043</v>
      </c>
      <c r="V44" s="7" t="s">
        <v>5297</v>
      </c>
      <c r="W44" s="7" t="s">
        <v>6127</v>
      </c>
      <c r="X44" s="7" t="s">
        <v>6128</v>
      </c>
      <c r="Y44" s="7" t="s">
        <v>6129</v>
      </c>
      <c r="Z44" s="7"/>
      <c r="AA44" s="7" t="s">
        <v>6046</v>
      </c>
      <c r="AB44" s="7" t="s">
        <v>6041</v>
      </c>
    </row>
    <row r="45" customFormat="false" ht="48" hidden="false" customHeight="true" outlineLevel="0" collapsed="false">
      <c r="A45" s="7" t="n">
        <v>42</v>
      </c>
      <c r="B45" s="7" t="n">
        <v>2314</v>
      </c>
      <c r="C45" s="7" t="s">
        <v>5316</v>
      </c>
      <c r="D45" s="7" t="s">
        <v>26</v>
      </c>
      <c r="E45" s="7" t="s">
        <v>3217</v>
      </c>
      <c r="F45" s="7" t="s">
        <v>3218</v>
      </c>
      <c r="G45" s="7" t="s">
        <v>3313</v>
      </c>
      <c r="H45" s="7" t="n">
        <v>43</v>
      </c>
      <c r="I45" s="7" t="s">
        <v>16</v>
      </c>
      <c r="J45" s="7" t="s">
        <v>16</v>
      </c>
      <c r="K45" s="7" t="s">
        <v>6040</v>
      </c>
      <c r="L45" s="7" t="s">
        <v>6041</v>
      </c>
      <c r="M45" s="7" t="s">
        <v>6042</v>
      </c>
      <c r="N45" s="7"/>
      <c r="O45" s="7"/>
      <c r="P45" s="7" t="s">
        <v>5276</v>
      </c>
      <c r="Q45" s="7" t="s">
        <v>3389</v>
      </c>
      <c r="R45" s="7" t="s">
        <v>3319</v>
      </c>
      <c r="S45" s="7"/>
      <c r="T45" s="7" t="n">
        <v>17</v>
      </c>
      <c r="U45" s="7" t="s">
        <v>6043</v>
      </c>
      <c r="V45" s="7" t="s">
        <v>5297</v>
      </c>
      <c r="W45" s="7" t="s">
        <v>6130</v>
      </c>
      <c r="X45" s="7" t="s">
        <v>6131</v>
      </c>
      <c r="Y45" s="7" t="s">
        <v>6129</v>
      </c>
      <c r="Z45" s="7"/>
      <c r="AA45" s="7" t="s">
        <v>6046</v>
      </c>
      <c r="AB45" s="7" t="s">
        <v>6041</v>
      </c>
    </row>
    <row r="46" customFormat="false" ht="48" hidden="false" customHeight="true" outlineLevel="0" collapsed="false">
      <c r="A46" s="7" t="n">
        <v>43</v>
      </c>
      <c r="B46" s="7" t="n">
        <v>2315</v>
      </c>
      <c r="C46" s="7" t="s">
        <v>5317</v>
      </c>
      <c r="D46" s="7" t="s">
        <v>26</v>
      </c>
      <c r="E46" s="7" t="s">
        <v>3217</v>
      </c>
      <c r="F46" s="7" t="s">
        <v>3218</v>
      </c>
      <c r="G46" s="7" t="s">
        <v>3313</v>
      </c>
      <c r="H46" s="7" t="n">
        <v>44</v>
      </c>
      <c r="I46" s="7" t="s">
        <v>16</v>
      </c>
      <c r="J46" s="7" t="s">
        <v>16</v>
      </c>
      <c r="K46" s="7" t="s">
        <v>6040</v>
      </c>
      <c r="L46" s="7" t="s">
        <v>6041</v>
      </c>
      <c r="M46" s="7" t="s">
        <v>6047</v>
      </c>
      <c r="N46" s="7" t="s">
        <v>5272</v>
      </c>
      <c r="O46" s="7"/>
      <c r="P46" s="7" t="s">
        <v>5268</v>
      </c>
      <c r="Q46" s="7" t="s">
        <v>3395</v>
      </c>
      <c r="R46" s="7" t="s">
        <v>3319</v>
      </c>
      <c r="S46" s="7"/>
      <c r="T46" s="7" t="n">
        <v>17</v>
      </c>
      <c r="U46" s="7" t="s">
        <v>6043</v>
      </c>
      <c r="V46" s="7" t="s">
        <v>5297</v>
      </c>
      <c r="W46" s="7" t="s">
        <v>6132</v>
      </c>
      <c r="X46" s="7" t="s">
        <v>6133</v>
      </c>
      <c r="Y46" s="7" t="s">
        <v>6094</v>
      </c>
      <c r="Z46" s="7"/>
      <c r="AA46" s="7" t="s">
        <v>6046</v>
      </c>
      <c r="AB46" s="7" t="s">
        <v>6041</v>
      </c>
    </row>
    <row r="47" customFormat="false" ht="48" hidden="false" customHeight="true" outlineLevel="0" collapsed="false">
      <c r="A47" s="7" t="n">
        <v>44</v>
      </c>
      <c r="B47" s="7" t="n">
        <v>2316</v>
      </c>
      <c r="C47" s="7" t="s">
        <v>5318</v>
      </c>
      <c r="D47" s="7" t="s">
        <v>26</v>
      </c>
      <c r="E47" s="7" t="s">
        <v>3217</v>
      </c>
      <c r="F47" s="7" t="s">
        <v>3218</v>
      </c>
      <c r="G47" s="7" t="s">
        <v>3313</v>
      </c>
      <c r="H47" s="7" t="n">
        <v>45</v>
      </c>
      <c r="I47" s="7" t="s">
        <v>16</v>
      </c>
      <c r="J47" s="7" t="s">
        <v>16</v>
      </c>
      <c r="K47" s="7" t="s">
        <v>6040</v>
      </c>
      <c r="L47" s="7" t="s">
        <v>6041</v>
      </c>
      <c r="M47" s="7" t="s">
        <v>6047</v>
      </c>
      <c r="N47" s="7" t="s">
        <v>5272</v>
      </c>
      <c r="O47" s="7"/>
      <c r="P47" s="7" t="s">
        <v>5268</v>
      </c>
      <c r="Q47" s="7" t="s">
        <v>3399</v>
      </c>
      <c r="R47" s="7" t="s">
        <v>3319</v>
      </c>
      <c r="S47" s="7"/>
      <c r="T47" s="7" t="n">
        <v>18</v>
      </c>
      <c r="U47" s="7" t="s">
        <v>6043</v>
      </c>
      <c r="V47" s="7" t="s">
        <v>5297</v>
      </c>
      <c r="W47" s="7" t="s">
        <v>6134</v>
      </c>
      <c r="X47" s="7" t="s">
        <v>6135</v>
      </c>
      <c r="Y47" s="7" t="s">
        <v>6136</v>
      </c>
      <c r="Z47" s="7"/>
      <c r="AA47" s="7" t="s">
        <v>6046</v>
      </c>
      <c r="AB47" s="7" t="s">
        <v>6041</v>
      </c>
    </row>
    <row r="48" customFormat="false" ht="48" hidden="false" customHeight="true" outlineLevel="0" collapsed="false">
      <c r="A48" s="7" t="n">
        <v>45</v>
      </c>
      <c r="B48" s="7" t="n">
        <v>2318</v>
      </c>
      <c r="C48" s="7" t="s">
        <v>5319</v>
      </c>
      <c r="D48" s="7" t="s">
        <v>26</v>
      </c>
      <c r="E48" s="7" t="s">
        <v>3217</v>
      </c>
      <c r="F48" s="7" t="s">
        <v>3218</v>
      </c>
      <c r="G48" s="7" t="s">
        <v>3313</v>
      </c>
      <c r="H48" s="7" t="n">
        <v>47</v>
      </c>
      <c r="I48" s="7" t="s">
        <v>16</v>
      </c>
      <c r="J48" s="7" t="s">
        <v>16</v>
      </c>
      <c r="K48" s="7" t="s">
        <v>6040</v>
      </c>
      <c r="L48" s="7" t="s">
        <v>6041</v>
      </c>
      <c r="M48" s="7" t="s">
        <v>6047</v>
      </c>
      <c r="N48" s="7" t="s">
        <v>5272</v>
      </c>
      <c r="O48" s="7"/>
      <c r="P48" s="7" t="s">
        <v>5268</v>
      </c>
      <c r="Q48" s="7" t="s">
        <v>3403</v>
      </c>
      <c r="R48" s="7" t="s">
        <v>3319</v>
      </c>
      <c r="S48" s="7"/>
      <c r="T48" s="7" t="n">
        <v>18</v>
      </c>
      <c r="U48" s="7" t="s">
        <v>6043</v>
      </c>
      <c r="V48" s="7" t="s">
        <v>5297</v>
      </c>
      <c r="W48" s="7" t="s">
        <v>6137</v>
      </c>
      <c r="X48" s="7" t="s">
        <v>6138</v>
      </c>
      <c r="Y48" s="7" t="s">
        <v>6094</v>
      </c>
      <c r="Z48" s="7"/>
      <c r="AA48" s="7" t="s">
        <v>6046</v>
      </c>
      <c r="AB48" s="7" t="s">
        <v>6041</v>
      </c>
    </row>
    <row r="49" customFormat="false" ht="48" hidden="false" customHeight="true" outlineLevel="0" collapsed="false">
      <c r="A49" s="7" t="n">
        <v>46</v>
      </c>
      <c r="B49" s="7" t="n">
        <v>2319</v>
      </c>
      <c r="C49" s="7" t="s">
        <v>5320</v>
      </c>
      <c r="D49" s="7" t="s">
        <v>26</v>
      </c>
      <c r="E49" s="7" t="s">
        <v>3217</v>
      </c>
      <c r="F49" s="7" t="s">
        <v>3218</v>
      </c>
      <c r="G49" s="7" t="s">
        <v>3313</v>
      </c>
      <c r="H49" s="7" t="n">
        <v>48</v>
      </c>
      <c r="I49" s="7" t="s">
        <v>16</v>
      </c>
      <c r="J49" s="7" t="s">
        <v>16</v>
      </c>
      <c r="K49" s="7" t="s">
        <v>6040</v>
      </c>
      <c r="L49" s="7" t="s">
        <v>6041</v>
      </c>
      <c r="M49" s="7" t="s">
        <v>6042</v>
      </c>
      <c r="N49" s="7"/>
      <c r="O49" s="7"/>
      <c r="P49" s="7" t="s">
        <v>5276</v>
      </c>
      <c r="Q49" s="7" t="s">
        <v>3405</v>
      </c>
      <c r="R49" s="7" t="s">
        <v>3319</v>
      </c>
      <c r="S49" s="7"/>
      <c r="T49" s="7" t="n">
        <v>18</v>
      </c>
      <c r="U49" s="7" t="s">
        <v>6043</v>
      </c>
      <c r="V49" s="7" t="s">
        <v>5297</v>
      </c>
      <c r="W49" s="7" t="s">
        <v>6139</v>
      </c>
      <c r="X49" s="7" t="s">
        <v>6140</v>
      </c>
      <c r="Y49" s="7" t="s">
        <v>6094</v>
      </c>
      <c r="Z49" s="7"/>
      <c r="AA49" s="7" t="s">
        <v>6046</v>
      </c>
      <c r="AB49" s="7" t="s">
        <v>6041</v>
      </c>
    </row>
    <row r="50" customFormat="false" ht="48" hidden="false" customHeight="true" outlineLevel="0" collapsed="false">
      <c r="A50" s="7" t="n">
        <v>47</v>
      </c>
      <c r="B50" s="7" t="n">
        <v>2320</v>
      </c>
      <c r="C50" s="7" t="s">
        <v>5321</v>
      </c>
      <c r="D50" s="7" t="s">
        <v>26</v>
      </c>
      <c r="E50" s="7" t="s">
        <v>3217</v>
      </c>
      <c r="F50" s="7" t="s">
        <v>3218</v>
      </c>
      <c r="G50" s="7" t="s">
        <v>3408</v>
      </c>
      <c r="H50" s="7" t="n">
        <v>49</v>
      </c>
      <c r="I50" s="7" t="s">
        <v>16</v>
      </c>
      <c r="J50" s="7" t="s">
        <v>16</v>
      </c>
      <c r="K50" s="7" t="s">
        <v>6040</v>
      </c>
      <c r="L50" s="7" t="s">
        <v>6041</v>
      </c>
      <c r="M50" s="7" t="s">
        <v>6042</v>
      </c>
      <c r="N50" s="7"/>
      <c r="O50" s="7"/>
      <c r="P50" s="7" t="s">
        <v>5271</v>
      </c>
      <c r="Q50" s="7" t="s">
        <v>3412</v>
      </c>
      <c r="R50" s="7" t="s">
        <v>3414</v>
      </c>
      <c r="S50" s="7"/>
      <c r="T50" s="7" t="n">
        <v>19</v>
      </c>
      <c r="U50" s="7" t="s">
        <v>6043</v>
      </c>
      <c r="V50" s="7" t="s">
        <v>5269</v>
      </c>
      <c r="W50" s="7" t="s">
        <v>6141</v>
      </c>
      <c r="X50" s="7" t="s">
        <v>6142</v>
      </c>
      <c r="Y50" s="7"/>
      <c r="Z50" s="7"/>
      <c r="AA50" s="7" t="s">
        <v>6046</v>
      </c>
      <c r="AB50" s="7" t="s">
        <v>6041</v>
      </c>
    </row>
    <row r="51" customFormat="false" ht="48" hidden="false" customHeight="true" outlineLevel="0" collapsed="false">
      <c r="A51" s="7" t="n">
        <v>48</v>
      </c>
      <c r="B51" s="7" t="n">
        <v>2321</v>
      </c>
      <c r="C51" s="7" t="s">
        <v>5322</v>
      </c>
      <c r="D51" s="7" t="s">
        <v>26</v>
      </c>
      <c r="E51" s="7" t="s">
        <v>3217</v>
      </c>
      <c r="F51" s="7" t="s">
        <v>3218</v>
      </c>
      <c r="G51" s="7" t="s">
        <v>3408</v>
      </c>
      <c r="H51" s="7" t="n">
        <v>50</v>
      </c>
      <c r="I51" s="7" t="s">
        <v>16</v>
      </c>
      <c r="J51" s="7" t="s">
        <v>16</v>
      </c>
      <c r="K51" s="7" t="s">
        <v>6040</v>
      </c>
      <c r="L51" s="7" t="s">
        <v>6041</v>
      </c>
      <c r="M51" s="7" t="s">
        <v>6042</v>
      </c>
      <c r="N51" s="7"/>
      <c r="O51" s="7"/>
      <c r="P51" s="7" t="s">
        <v>5276</v>
      </c>
      <c r="Q51" s="7" t="s">
        <v>3417</v>
      </c>
      <c r="R51" s="7" t="s">
        <v>3414</v>
      </c>
      <c r="S51" s="7"/>
      <c r="T51" s="7" t="n">
        <v>19</v>
      </c>
      <c r="U51" s="7" t="s">
        <v>6043</v>
      </c>
      <c r="V51" s="7" t="s">
        <v>5269</v>
      </c>
      <c r="W51" s="7" t="s">
        <v>6143</v>
      </c>
      <c r="X51" s="7" t="s">
        <v>6144</v>
      </c>
      <c r="Y51" s="7"/>
      <c r="Z51" s="7"/>
      <c r="AA51" s="7" t="s">
        <v>6046</v>
      </c>
      <c r="AB51" s="7" t="s">
        <v>6041</v>
      </c>
    </row>
    <row r="52" customFormat="false" ht="48" hidden="false" customHeight="true" outlineLevel="0" collapsed="false">
      <c r="A52" s="7" t="n">
        <v>49</v>
      </c>
      <c r="B52" s="7" t="n">
        <v>2322</v>
      </c>
      <c r="C52" s="7" t="s">
        <v>5323</v>
      </c>
      <c r="D52" s="7" t="s">
        <v>26</v>
      </c>
      <c r="E52" s="7" t="s">
        <v>3217</v>
      </c>
      <c r="F52" s="7" t="s">
        <v>3218</v>
      </c>
      <c r="G52" s="7" t="s">
        <v>3408</v>
      </c>
      <c r="H52" s="7" t="n">
        <v>51</v>
      </c>
      <c r="I52" s="7" t="s">
        <v>16</v>
      </c>
      <c r="J52" s="7" t="s">
        <v>16</v>
      </c>
      <c r="K52" s="7" t="s">
        <v>6040</v>
      </c>
      <c r="L52" s="7" t="s">
        <v>6041</v>
      </c>
      <c r="M52" s="7" t="s">
        <v>6042</v>
      </c>
      <c r="N52" s="7"/>
      <c r="O52" s="7"/>
      <c r="P52" s="7" t="s">
        <v>5276</v>
      </c>
      <c r="Q52" s="7" t="s">
        <v>3421</v>
      </c>
      <c r="R52" s="7" t="s">
        <v>3414</v>
      </c>
      <c r="S52" s="7"/>
      <c r="T52" s="7" t="n">
        <v>20</v>
      </c>
      <c r="U52" s="7" t="s">
        <v>6043</v>
      </c>
      <c r="V52" s="7" t="s">
        <v>5269</v>
      </c>
      <c r="W52" s="7" t="s">
        <v>6145</v>
      </c>
      <c r="X52" s="7" t="s">
        <v>6146</v>
      </c>
      <c r="Y52" s="7"/>
      <c r="Z52" s="7"/>
      <c r="AA52" s="7" t="s">
        <v>6046</v>
      </c>
      <c r="AB52" s="7" t="s">
        <v>6041</v>
      </c>
    </row>
    <row r="53" customFormat="false" ht="48" hidden="false" customHeight="true" outlineLevel="0" collapsed="false">
      <c r="A53" s="7" t="n">
        <v>50</v>
      </c>
      <c r="B53" s="7" t="n">
        <v>2323</v>
      </c>
      <c r="C53" s="7" t="s">
        <v>5324</v>
      </c>
      <c r="D53" s="7" t="s">
        <v>26</v>
      </c>
      <c r="E53" s="7" t="s">
        <v>3217</v>
      </c>
      <c r="F53" s="7" t="s">
        <v>3218</v>
      </c>
      <c r="G53" s="7" t="s">
        <v>3408</v>
      </c>
      <c r="H53" s="7" t="n">
        <v>52</v>
      </c>
      <c r="I53" s="7" t="s">
        <v>16</v>
      </c>
      <c r="J53" s="7" t="s">
        <v>16</v>
      </c>
      <c r="K53" s="7" t="s">
        <v>6040</v>
      </c>
      <c r="L53" s="7" t="s">
        <v>6041</v>
      </c>
      <c r="M53" s="7" t="s">
        <v>6042</v>
      </c>
      <c r="N53" s="7"/>
      <c r="O53" s="7"/>
      <c r="P53" s="7" t="s">
        <v>5268</v>
      </c>
      <c r="Q53" s="7" t="s">
        <v>3427</v>
      </c>
      <c r="R53" s="7" t="s">
        <v>3414</v>
      </c>
      <c r="S53" s="7"/>
      <c r="T53" s="7" t="n">
        <v>20</v>
      </c>
      <c r="U53" s="7" t="s">
        <v>6043</v>
      </c>
      <c r="V53" s="7" t="s">
        <v>5269</v>
      </c>
      <c r="W53" s="7" t="s">
        <v>6147</v>
      </c>
      <c r="X53" s="7" t="s">
        <v>6148</v>
      </c>
      <c r="Y53" s="7"/>
      <c r="Z53" s="7"/>
      <c r="AA53" s="7" t="s">
        <v>6046</v>
      </c>
      <c r="AB53" s="7" t="s">
        <v>6041</v>
      </c>
    </row>
    <row r="54" customFormat="false" ht="48" hidden="false" customHeight="true" outlineLevel="0" collapsed="false">
      <c r="A54" s="7" t="n">
        <v>51</v>
      </c>
      <c r="B54" s="7" t="n">
        <v>2324</v>
      </c>
      <c r="C54" s="7" t="s">
        <v>5325</v>
      </c>
      <c r="D54" s="7" t="s">
        <v>26</v>
      </c>
      <c r="E54" s="7" t="s">
        <v>3217</v>
      </c>
      <c r="F54" s="7" t="s">
        <v>3218</v>
      </c>
      <c r="G54" s="7" t="s">
        <v>3408</v>
      </c>
      <c r="H54" s="7" t="n">
        <v>53</v>
      </c>
      <c r="I54" s="7" t="s">
        <v>16</v>
      </c>
      <c r="J54" s="7" t="s">
        <v>16</v>
      </c>
      <c r="K54" s="7" t="s">
        <v>6040</v>
      </c>
      <c r="L54" s="7" t="s">
        <v>6041</v>
      </c>
      <c r="M54" s="7" t="s">
        <v>6042</v>
      </c>
      <c r="N54" s="7"/>
      <c r="O54" s="7"/>
      <c r="P54" s="7" t="s">
        <v>5276</v>
      </c>
      <c r="Q54" s="7" t="s">
        <v>3429</v>
      </c>
      <c r="R54" s="7" t="s">
        <v>3414</v>
      </c>
      <c r="S54" s="7"/>
      <c r="T54" s="7" t="n">
        <v>20</v>
      </c>
      <c r="U54" s="7" t="s">
        <v>6043</v>
      </c>
      <c r="V54" s="7" t="s">
        <v>5269</v>
      </c>
      <c r="W54" s="7" t="s">
        <v>6149</v>
      </c>
      <c r="X54" s="7" t="s">
        <v>6150</v>
      </c>
      <c r="Y54" s="7"/>
      <c r="Z54" s="7"/>
      <c r="AA54" s="7" t="s">
        <v>6046</v>
      </c>
      <c r="AB54" s="7" t="s">
        <v>6041</v>
      </c>
    </row>
    <row r="55" customFormat="false" ht="48" hidden="false" customHeight="true" outlineLevel="0" collapsed="false">
      <c r="A55" s="7" t="n">
        <v>52</v>
      </c>
      <c r="B55" s="7" t="n">
        <v>2325</v>
      </c>
      <c r="C55" s="7" t="s">
        <v>5326</v>
      </c>
      <c r="D55" s="7" t="s">
        <v>26</v>
      </c>
      <c r="E55" s="7" t="s">
        <v>3217</v>
      </c>
      <c r="F55" s="7" t="s">
        <v>3218</v>
      </c>
      <c r="G55" s="7" t="s">
        <v>3408</v>
      </c>
      <c r="H55" s="7" t="n">
        <v>54</v>
      </c>
      <c r="I55" s="7" t="s">
        <v>16</v>
      </c>
      <c r="J55" s="7" t="s">
        <v>16</v>
      </c>
      <c r="K55" s="7" t="s">
        <v>6040</v>
      </c>
      <c r="L55" s="7" t="s">
        <v>6041</v>
      </c>
      <c r="M55" s="7" t="s">
        <v>6042</v>
      </c>
      <c r="N55" s="7"/>
      <c r="O55" s="7"/>
      <c r="P55" s="7" t="s">
        <v>5276</v>
      </c>
      <c r="Q55" s="7" t="s">
        <v>3433</v>
      </c>
      <c r="R55" s="7" t="s">
        <v>3414</v>
      </c>
      <c r="S55" s="7"/>
      <c r="T55" s="7" t="n">
        <v>20</v>
      </c>
      <c r="U55" s="7" t="s">
        <v>6043</v>
      </c>
      <c r="V55" s="7" t="s">
        <v>5269</v>
      </c>
      <c r="W55" s="7" t="s">
        <v>6151</v>
      </c>
      <c r="X55" s="7" t="s">
        <v>6152</v>
      </c>
      <c r="Y55" s="7" t="s">
        <v>6153</v>
      </c>
      <c r="Z55" s="7"/>
      <c r="AA55" s="7" t="s">
        <v>6046</v>
      </c>
      <c r="AB55" s="7" t="s">
        <v>6041</v>
      </c>
    </row>
    <row r="56" customFormat="false" ht="48" hidden="false" customHeight="true" outlineLevel="0" collapsed="false">
      <c r="A56" s="7" t="n">
        <v>53</v>
      </c>
      <c r="B56" s="7" t="n">
        <v>2326</v>
      </c>
      <c r="C56" s="7" t="s">
        <v>5327</v>
      </c>
      <c r="D56" s="7" t="s">
        <v>26</v>
      </c>
      <c r="E56" s="7" t="s">
        <v>3217</v>
      </c>
      <c r="F56" s="7" t="s">
        <v>3218</v>
      </c>
      <c r="G56" s="7" t="s">
        <v>3408</v>
      </c>
      <c r="H56" s="7" t="n">
        <v>55</v>
      </c>
      <c r="I56" s="7" t="s">
        <v>16</v>
      </c>
      <c r="J56" s="7" t="s">
        <v>16</v>
      </c>
      <c r="K56" s="7" t="s">
        <v>6040</v>
      </c>
      <c r="L56" s="7" t="s">
        <v>6041</v>
      </c>
      <c r="M56" s="7" t="s">
        <v>6042</v>
      </c>
      <c r="N56" s="7"/>
      <c r="O56" s="7"/>
      <c r="P56" s="7" t="s">
        <v>5268</v>
      </c>
      <c r="Q56" s="7" t="s">
        <v>3360</v>
      </c>
      <c r="R56" s="7" t="s">
        <v>3440</v>
      </c>
      <c r="S56" s="7"/>
      <c r="T56" s="7" t="n">
        <v>21</v>
      </c>
      <c r="U56" s="7" t="s">
        <v>6043</v>
      </c>
      <c r="V56" s="7" t="s">
        <v>5269</v>
      </c>
      <c r="W56" s="7" t="s">
        <v>6154</v>
      </c>
      <c r="X56" s="7" t="s">
        <v>6155</v>
      </c>
      <c r="Y56" s="7"/>
      <c r="Z56" s="7" t="s">
        <v>5825</v>
      </c>
      <c r="AA56" s="7" t="s">
        <v>6046</v>
      </c>
      <c r="AB56" s="7" t="s">
        <v>6041</v>
      </c>
    </row>
    <row r="57" customFormat="false" ht="48" hidden="false" customHeight="true" outlineLevel="0" collapsed="false">
      <c r="A57" s="7" t="n">
        <v>54</v>
      </c>
      <c r="B57" s="7" t="n">
        <v>2327</v>
      </c>
      <c r="C57" s="7" t="s">
        <v>5328</v>
      </c>
      <c r="D57" s="7" t="s">
        <v>26</v>
      </c>
      <c r="E57" s="7" t="s">
        <v>3217</v>
      </c>
      <c r="F57" s="7" t="s">
        <v>3218</v>
      </c>
      <c r="G57" s="7" t="s">
        <v>3408</v>
      </c>
      <c r="H57" s="7" t="n">
        <v>56</v>
      </c>
      <c r="I57" s="7" t="s">
        <v>16</v>
      </c>
      <c r="J57" s="7" t="s">
        <v>16</v>
      </c>
      <c r="K57" s="7" t="s">
        <v>6040</v>
      </c>
      <c r="L57" s="7" t="s">
        <v>6041</v>
      </c>
      <c r="M57" s="7" t="s">
        <v>6042</v>
      </c>
      <c r="N57" s="7"/>
      <c r="O57" s="7"/>
      <c r="P57" s="7" t="s">
        <v>5271</v>
      </c>
      <c r="Q57" s="7" t="s">
        <v>3444</v>
      </c>
      <c r="R57" s="7" t="s">
        <v>3440</v>
      </c>
      <c r="S57" s="7"/>
      <c r="T57" s="7" t="n">
        <v>21</v>
      </c>
      <c r="U57" s="7" t="s">
        <v>6043</v>
      </c>
      <c r="V57" s="7" t="s">
        <v>5269</v>
      </c>
      <c r="W57" s="7" t="s">
        <v>6156</v>
      </c>
      <c r="X57" s="7" t="s">
        <v>6157</v>
      </c>
      <c r="Y57" s="7"/>
      <c r="Z57" s="7" t="s">
        <v>5825</v>
      </c>
      <c r="AA57" s="7" t="s">
        <v>6046</v>
      </c>
      <c r="AB57" s="7" t="s">
        <v>6041</v>
      </c>
    </row>
    <row r="58" customFormat="false" ht="48" hidden="false" customHeight="true" outlineLevel="0" collapsed="false">
      <c r="A58" s="7" t="n">
        <v>55</v>
      </c>
      <c r="B58" s="7" t="n">
        <v>2328</v>
      </c>
      <c r="C58" s="7" t="s">
        <v>5329</v>
      </c>
      <c r="D58" s="7" t="s">
        <v>26</v>
      </c>
      <c r="E58" s="7" t="s">
        <v>3217</v>
      </c>
      <c r="F58" s="7" t="s">
        <v>3218</v>
      </c>
      <c r="G58" s="7" t="s">
        <v>3408</v>
      </c>
      <c r="H58" s="7" t="n">
        <v>57</v>
      </c>
      <c r="I58" s="7" t="s">
        <v>16</v>
      </c>
      <c r="J58" s="7" t="s">
        <v>16</v>
      </c>
      <c r="K58" s="7" t="s">
        <v>6040</v>
      </c>
      <c r="L58" s="7" t="s">
        <v>6041</v>
      </c>
      <c r="M58" s="7" t="s">
        <v>6042</v>
      </c>
      <c r="N58" s="7"/>
      <c r="O58" s="7"/>
      <c r="P58" s="7" t="s">
        <v>5268</v>
      </c>
      <c r="Q58" s="7" t="s">
        <v>3449</v>
      </c>
      <c r="R58" s="7" t="s">
        <v>3440</v>
      </c>
      <c r="S58" s="7"/>
      <c r="T58" s="7" t="n">
        <v>21</v>
      </c>
      <c r="U58" s="7" t="s">
        <v>6043</v>
      </c>
      <c r="V58" s="7" t="s">
        <v>5269</v>
      </c>
      <c r="W58" s="7" t="s">
        <v>6158</v>
      </c>
      <c r="X58" s="7" t="s">
        <v>6159</v>
      </c>
      <c r="Y58" s="7"/>
      <c r="Z58" s="7" t="s">
        <v>5825</v>
      </c>
      <c r="AA58" s="7" t="s">
        <v>6046</v>
      </c>
      <c r="AB58" s="7" t="s">
        <v>6041</v>
      </c>
    </row>
    <row r="59" customFormat="false" ht="48" hidden="false" customHeight="true" outlineLevel="0" collapsed="false">
      <c r="A59" s="7" t="n">
        <v>56</v>
      </c>
      <c r="B59" s="7" t="n">
        <v>2329</v>
      </c>
      <c r="C59" s="7" t="s">
        <v>5330</v>
      </c>
      <c r="D59" s="7" t="s">
        <v>26</v>
      </c>
      <c r="E59" s="7" t="s">
        <v>3217</v>
      </c>
      <c r="F59" s="7" t="s">
        <v>3218</v>
      </c>
      <c r="G59" s="7" t="s">
        <v>3408</v>
      </c>
      <c r="H59" s="7" t="n">
        <v>58</v>
      </c>
      <c r="I59" s="7" t="s">
        <v>16</v>
      </c>
      <c r="J59" s="7" t="s">
        <v>16</v>
      </c>
      <c r="K59" s="7" t="s">
        <v>6040</v>
      </c>
      <c r="L59" s="7" t="s">
        <v>6041</v>
      </c>
      <c r="M59" s="7" t="s">
        <v>6042</v>
      </c>
      <c r="N59" s="7"/>
      <c r="O59" s="7"/>
      <c r="P59" s="7" t="s">
        <v>5276</v>
      </c>
      <c r="Q59" s="7" t="s">
        <v>3451</v>
      </c>
      <c r="R59" s="7" t="s">
        <v>3440</v>
      </c>
      <c r="S59" s="7"/>
      <c r="T59" s="7" t="n">
        <v>21</v>
      </c>
      <c r="U59" s="7" t="s">
        <v>6043</v>
      </c>
      <c r="V59" s="7" t="s">
        <v>5269</v>
      </c>
      <c r="W59" s="7" t="s">
        <v>6160</v>
      </c>
      <c r="X59" s="7" t="s">
        <v>6161</v>
      </c>
      <c r="Y59" s="7"/>
      <c r="Z59" s="7" t="s">
        <v>5825</v>
      </c>
      <c r="AA59" s="7" t="s">
        <v>6046</v>
      </c>
      <c r="AB59" s="7" t="s">
        <v>6041</v>
      </c>
    </row>
    <row r="60" customFormat="false" ht="48" hidden="false" customHeight="true" outlineLevel="0" collapsed="false">
      <c r="A60" s="7" t="n">
        <v>57</v>
      </c>
      <c r="B60" s="7" t="n">
        <v>2330</v>
      </c>
      <c r="C60" s="7" t="s">
        <v>5331</v>
      </c>
      <c r="D60" s="7" t="s">
        <v>26</v>
      </c>
      <c r="E60" s="7" t="s">
        <v>3217</v>
      </c>
      <c r="F60" s="7" t="s">
        <v>3218</v>
      </c>
      <c r="G60" s="7" t="s">
        <v>3408</v>
      </c>
      <c r="H60" s="7" t="n">
        <v>59</v>
      </c>
      <c r="I60" s="7" t="s">
        <v>16</v>
      </c>
      <c r="J60" s="7" t="s">
        <v>16</v>
      </c>
      <c r="K60" s="7" t="s">
        <v>6040</v>
      </c>
      <c r="L60" s="7" t="s">
        <v>6041</v>
      </c>
      <c r="M60" s="7" t="s">
        <v>6042</v>
      </c>
      <c r="N60" s="7"/>
      <c r="O60" s="7"/>
      <c r="P60" s="7" t="s">
        <v>5271</v>
      </c>
      <c r="Q60" s="7" t="s">
        <v>3456</v>
      </c>
      <c r="R60" s="7" t="s">
        <v>3440</v>
      </c>
      <c r="S60" s="7"/>
      <c r="T60" s="7" t="n">
        <v>22</v>
      </c>
      <c r="U60" s="7" t="s">
        <v>6043</v>
      </c>
      <c r="V60" s="7" t="s">
        <v>5269</v>
      </c>
      <c r="W60" s="7" t="s">
        <v>6162</v>
      </c>
      <c r="X60" s="7" t="s">
        <v>6163</v>
      </c>
      <c r="Y60" s="7"/>
      <c r="Z60" s="7" t="s">
        <v>5825</v>
      </c>
      <c r="AA60" s="7" t="s">
        <v>6046</v>
      </c>
      <c r="AB60" s="7" t="s">
        <v>6041</v>
      </c>
    </row>
    <row r="61" customFormat="false" ht="48" hidden="false" customHeight="true" outlineLevel="0" collapsed="false">
      <c r="A61" s="7" t="n">
        <v>58</v>
      </c>
      <c r="B61" s="7" t="n">
        <v>2331</v>
      </c>
      <c r="C61" s="7" t="s">
        <v>5332</v>
      </c>
      <c r="D61" s="7" t="s">
        <v>26</v>
      </c>
      <c r="E61" s="7" t="s">
        <v>3217</v>
      </c>
      <c r="F61" s="7" t="s">
        <v>3218</v>
      </c>
      <c r="G61" s="7" t="s">
        <v>3408</v>
      </c>
      <c r="H61" s="7" t="n">
        <v>60</v>
      </c>
      <c r="I61" s="7" t="s">
        <v>16</v>
      </c>
      <c r="J61" s="7" t="s">
        <v>16</v>
      </c>
      <c r="K61" s="7" t="s">
        <v>6040</v>
      </c>
      <c r="L61" s="7" t="s">
        <v>6041</v>
      </c>
      <c r="M61" s="7" t="s">
        <v>6042</v>
      </c>
      <c r="N61" s="7"/>
      <c r="O61" s="7"/>
      <c r="P61" s="7" t="s">
        <v>5274</v>
      </c>
      <c r="Q61" s="7" t="s">
        <v>3458</v>
      </c>
      <c r="R61" s="7" t="s">
        <v>3440</v>
      </c>
      <c r="S61" s="7"/>
      <c r="T61" s="7" t="n">
        <v>22</v>
      </c>
      <c r="U61" s="7" t="s">
        <v>6043</v>
      </c>
      <c r="V61" s="7" t="s">
        <v>5269</v>
      </c>
      <c r="W61" s="7" t="s">
        <v>6164</v>
      </c>
      <c r="X61" s="7" t="s">
        <v>6165</v>
      </c>
      <c r="Y61" s="7"/>
      <c r="Z61" s="7" t="s">
        <v>5825</v>
      </c>
      <c r="AA61" s="7" t="s">
        <v>6046</v>
      </c>
      <c r="AB61" s="7" t="s">
        <v>6041</v>
      </c>
    </row>
    <row r="62" customFormat="false" ht="48" hidden="false" customHeight="true" outlineLevel="0" collapsed="false">
      <c r="A62" s="7" t="n">
        <v>59</v>
      </c>
      <c r="B62" s="7" t="n">
        <v>2332</v>
      </c>
      <c r="C62" s="7" t="s">
        <v>5333</v>
      </c>
      <c r="D62" s="7" t="s">
        <v>26</v>
      </c>
      <c r="E62" s="7" t="s">
        <v>3217</v>
      </c>
      <c r="F62" s="7" t="s">
        <v>3218</v>
      </c>
      <c r="G62" s="7" t="s">
        <v>3408</v>
      </c>
      <c r="H62" s="7" t="n">
        <v>61</v>
      </c>
      <c r="I62" s="7" t="s">
        <v>16</v>
      </c>
      <c r="J62" s="7" t="s">
        <v>16</v>
      </c>
      <c r="K62" s="7" t="s">
        <v>6040</v>
      </c>
      <c r="L62" s="7" t="s">
        <v>6041</v>
      </c>
      <c r="M62" s="7" t="s">
        <v>6042</v>
      </c>
      <c r="N62" s="7"/>
      <c r="O62" s="7"/>
      <c r="P62" s="7" t="s">
        <v>5276</v>
      </c>
      <c r="Q62" s="7" t="s">
        <v>3463</v>
      </c>
      <c r="R62" s="7" t="s">
        <v>3440</v>
      </c>
      <c r="S62" s="7"/>
      <c r="T62" s="7" t="n">
        <v>22</v>
      </c>
      <c r="U62" s="7" t="s">
        <v>6043</v>
      </c>
      <c r="V62" s="7" t="s">
        <v>5269</v>
      </c>
      <c r="W62" s="7" t="s">
        <v>6166</v>
      </c>
      <c r="X62" s="7" t="s">
        <v>6167</v>
      </c>
      <c r="Y62" s="7" t="s">
        <v>6168</v>
      </c>
      <c r="Z62" s="7" t="s">
        <v>5825</v>
      </c>
      <c r="AA62" s="7" t="s">
        <v>6046</v>
      </c>
      <c r="AB62" s="7" t="s">
        <v>6041</v>
      </c>
    </row>
    <row r="63" customFormat="false" ht="48" hidden="false" customHeight="true" outlineLevel="0" collapsed="false">
      <c r="A63" s="7" t="n">
        <v>60</v>
      </c>
      <c r="B63" s="7" t="n">
        <v>2333</v>
      </c>
      <c r="C63" s="7" t="s">
        <v>5334</v>
      </c>
      <c r="D63" s="7" t="s">
        <v>26</v>
      </c>
      <c r="E63" s="7" t="s">
        <v>3217</v>
      </c>
      <c r="F63" s="7" t="s">
        <v>3218</v>
      </c>
      <c r="G63" s="7" t="s">
        <v>3408</v>
      </c>
      <c r="H63" s="7" t="n">
        <v>62</v>
      </c>
      <c r="I63" s="7" t="s">
        <v>16</v>
      </c>
      <c r="J63" s="7" t="s">
        <v>16</v>
      </c>
      <c r="K63" s="7" t="s">
        <v>6040</v>
      </c>
      <c r="L63" s="7" t="s">
        <v>6041</v>
      </c>
      <c r="M63" s="7" t="s">
        <v>6042</v>
      </c>
      <c r="N63" s="7"/>
      <c r="O63" s="7"/>
      <c r="P63" s="7" t="s">
        <v>5268</v>
      </c>
      <c r="Q63" s="7" t="s">
        <v>3360</v>
      </c>
      <c r="R63" s="7" t="s">
        <v>3470</v>
      </c>
      <c r="S63" s="7"/>
      <c r="T63" s="7" t="n">
        <v>22</v>
      </c>
      <c r="U63" s="7" t="s">
        <v>6043</v>
      </c>
      <c r="V63" s="7" t="s">
        <v>5269</v>
      </c>
      <c r="W63" s="7" t="s">
        <v>6169</v>
      </c>
      <c r="X63" s="7" t="s">
        <v>6170</v>
      </c>
      <c r="Y63" s="7" t="s">
        <v>6171</v>
      </c>
      <c r="Z63" s="7" t="s">
        <v>5831</v>
      </c>
      <c r="AA63" s="7" t="s">
        <v>6046</v>
      </c>
      <c r="AB63" s="7" t="s">
        <v>6041</v>
      </c>
    </row>
    <row r="64" customFormat="false" ht="48" hidden="false" customHeight="true" outlineLevel="0" collapsed="false">
      <c r="A64" s="7" t="n">
        <v>61</v>
      </c>
      <c r="B64" s="7" t="n">
        <v>2334</v>
      </c>
      <c r="C64" s="7" t="s">
        <v>5335</v>
      </c>
      <c r="D64" s="7" t="s">
        <v>26</v>
      </c>
      <c r="E64" s="7" t="s">
        <v>3217</v>
      </c>
      <c r="F64" s="7" t="s">
        <v>3218</v>
      </c>
      <c r="G64" s="7" t="s">
        <v>3408</v>
      </c>
      <c r="H64" s="7" t="n">
        <v>63</v>
      </c>
      <c r="I64" s="7" t="s">
        <v>16</v>
      </c>
      <c r="J64" s="7" t="s">
        <v>16</v>
      </c>
      <c r="K64" s="7" t="s">
        <v>6040</v>
      </c>
      <c r="L64" s="7" t="s">
        <v>6041</v>
      </c>
      <c r="M64" s="7" t="s">
        <v>6042</v>
      </c>
      <c r="N64" s="7"/>
      <c r="O64" s="7"/>
      <c r="P64" s="7" t="s">
        <v>5271</v>
      </c>
      <c r="Q64" s="7" t="s">
        <v>3474</v>
      </c>
      <c r="R64" s="7" t="s">
        <v>3476</v>
      </c>
      <c r="S64" s="7"/>
      <c r="T64" s="7" t="n">
        <v>23</v>
      </c>
      <c r="U64" s="7" t="s">
        <v>6043</v>
      </c>
      <c r="V64" s="7" t="s">
        <v>5269</v>
      </c>
      <c r="W64" s="7" t="s">
        <v>6172</v>
      </c>
      <c r="X64" s="7" t="s">
        <v>6173</v>
      </c>
      <c r="Y64" s="7"/>
      <c r="Z64" s="7" t="s">
        <v>5835</v>
      </c>
      <c r="AA64" s="7" t="s">
        <v>6046</v>
      </c>
      <c r="AB64" s="7" t="s">
        <v>6041</v>
      </c>
    </row>
    <row r="65" customFormat="false" ht="48" hidden="false" customHeight="true" outlineLevel="0" collapsed="false">
      <c r="A65" s="7" t="n">
        <v>62</v>
      </c>
      <c r="B65" s="7" t="n">
        <v>2335</v>
      </c>
      <c r="C65" s="7" t="s">
        <v>5336</v>
      </c>
      <c r="D65" s="7" t="s">
        <v>26</v>
      </c>
      <c r="E65" s="7" t="s">
        <v>3217</v>
      </c>
      <c r="F65" s="7" t="s">
        <v>3218</v>
      </c>
      <c r="G65" s="7" t="s">
        <v>3408</v>
      </c>
      <c r="H65" s="7" t="n">
        <v>64</v>
      </c>
      <c r="I65" s="7" t="s">
        <v>16</v>
      </c>
      <c r="J65" s="7" t="s">
        <v>16</v>
      </c>
      <c r="K65" s="7" t="s">
        <v>6040</v>
      </c>
      <c r="L65" s="7" t="s">
        <v>6041</v>
      </c>
      <c r="M65" s="7" t="s">
        <v>6042</v>
      </c>
      <c r="N65" s="7"/>
      <c r="O65" s="7"/>
      <c r="P65" s="7" t="s">
        <v>5274</v>
      </c>
      <c r="Q65" s="7" t="s">
        <v>3478</v>
      </c>
      <c r="R65" s="7" t="s">
        <v>3476</v>
      </c>
      <c r="S65" s="7"/>
      <c r="T65" s="7" t="n">
        <v>23</v>
      </c>
      <c r="U65" s="7" t="s">
        <v>6043</v>
      </c>
      <c r="V65" s="7" t="s">
        <v>5269</v>
      </c>
      <c r="W65" s="7" t="s">
        <v>6174</v>
      </c>
      <c r="X65" s="7" t="s">
        <v>6175</v>
      </c>
      <c r="Y65" s="7"/>
      <c r="Z65" s="7" t="s">
        <v>5835</v>
      </c>
      <c r="AA65" s="7" t="s">
        <v>6046</v>
      </c>
      <c r="AB65" s="7" t="s">
        <v>6041</v>
      </c>
    </row>
    <row r="66" customFormat="false" ht="48" hidden="false" customHeight="true" outlineLevel="0" collapsed="false">
      <c r="A66" s="7" t="n">
        <v>63</v>
      </c>
      <c r="B66" s="7" t="n">
        <v>2336</v>
      </c>
      <c r="C66" s="7" t="s">
        <v>5337</v>
      </c>
      <c r="D66" s="7" t="s">
        <v>26</v>
      </c>
      <c r="E66" s="7" t="s">
        <v>3217</v>
      </c>
      <c r="F66" s="7" t="s">
        <v>3218</v>
      </c>
      <c r="G66" s="7" t="s">
        <v>3408</v>
      </c>
      <c r="H66" s="7" t="n">
        <v>65</v>
      </c>
      <c r="I66" s="7" t="s">
        <v>16</v>
      </c>
      <c r="J66" s="7" t="s">
        <v>16</v>
      </c>
      <c r="K66" s="7" t="s">
        <v>6040</v>
      </c>
      <c r="L66" s="7" t="s">
        <v>6041</v>
      </c>
      <c r="M66" s="7" t="s">
        <v>6042</v>
      </c>
      <c r="N66" s="7"/>
      <c r="O66" s="7"/>
      <c r="P66" s="7" t="s">
        <v>5274</v>
      </c>
      <c r="Q66" s="7" t="s">
        <v>3482</v>
      </c>
      <c r="R66" s="7" t="s">
        <v>3476</v>
      </c>
      <c r="S66" s="7"/>
      <c r="T66" s="7" t="n">
        <v>23</v>
      </c>
      <c r="U66" s="7" t="s">
        <v>6043</v>
      </c>
      <c r="V66" s="7" t="s">
        <v>5269</v>
      </c>
      <c r="W66" s="7" t="s">
        <v>6176</v>
      </c>
      <c r="X66" s="7" t="s">
        <v>6177</v>
      </c>
      <c r="Y66" s="7"/>
      <c r="Z66" s="7" t="s">
        <v>5835</v>
      </c>
      <c r="AA66" s="7" t="s">
        <v>6046</v>
      </c>
      <c r="AB66" s="7" t="s">
        <v>6041</v>
      </c>
    </row>
    <row r="67" customFormat="false" ht="48" hidden="false" customHeight="true" outlineLevel="0" collapsed="false">
      <c r="A67" s="7" t="n">
        <v>64</v>
      </c>
      <c r="B67" s="7" t="n">
        <v>2337</v>
      </c>
      <c r="C67" s="7" t="s">
        <v>5338</v>
      </c>
      <c r="D67" s="7" t="s">
        <v>26</v>
      </c>
      <c r="E67" s="7" t="s">
        <v>3217</v>
      </c>
      <c r="F67" s="7" t="s">
        <v>3218</v>
      </c>
      <c r="G67" s="7" t="s">
        <v>3408</v>
      </c>
      <c r="H67" s="7" t="n">
        <v>66</v>
      </c>
      <c r="I67" s="7" t="s">
        <v>16</v>
      </c>
      <c r="J67" s="7" t="s">
        <v>16</v>
      </c>
      <c r="K67" s="7" t="s">
        <v>6040</v>
      </c>
      <c r="L67" s="7" t="s">
        <v>6041</v>
      </c>
      <c r="M67" s="7" t="s">
        <v>6042</v>
      </c>
      <c r="N67" s="7"/>
      <c r="O67" s="7"/>
      <c r="P67" s="7" t="s">
        <v>5271</v>
      </c>
      <c r="Q67" s="7" t="s">
        <v>3488</v>
      </c>
      <c r="R67" s="7" t="s">
        <v>3476</v>
      </c>
      <c r="S67" s="7"/>
      <c r="T67" s="7" t="n">
        <v>24</v>
      </c>
      <c r="U67" s="7" t="s">
        <v>6043</v>
      </c>
      <c r="V67" s="7" t="s">
        <v>5269</v>
      </c>
      <c r="W67" s="7" t="s">
        <v>6178</v>
      </c>
      <c r="X67" s="7" t="s">
        <v>6179</v>
      </c>
      <c r="Y67" s="7"/>
      <c r="Z67" s="7" t="s">
        <v>5835</v>
      </c>
      <c r="AA67" s="7" t="s">
        <v>6046</v>
      </c>
      <c r="AB67" s="7" t="s">
        <v>6041</v>
      </c>
    </row>
    <row r="68" customFormat="false" ht="48" hidden="false" customHeight="true" outlineLevel="0" collapsed="false">
      <c r="A68" s="7" t="n">
        <v>65</v>
      </c>
      <c r="B68" s="7" t="n">
        <v>2338</v>
      </c>
      <c r="C68" s="7" t="s">
        <v>5339</v>
      </c>
      <c r="D68" s="7" t="s">
        <v>26</v>
      </c>
      <c r="E68" s="7" t="s">
        <v>3217</v>
      </c>
      <c r="F68" s="7" t="s">
        <v>3218</v>
      </c>
      <c r="G68" s="7" t="s">
        <v>3408</v>
      </c>
      <c r="H68" s="7" t="n">
        <v>67</v>
      </c>
      <c r="I68" s="7" t="s">
        <v>16</v>
      </c>
      <c r="J68" s="7" t="s">
        <v>16</v>
      </c>
      <c r="K68" s="7" t="s">
        <v>6040</v>
      </c>
      <c r="L68" s="7" t="s">
        <v>6041</v>
      </c>
      <c r="M68" s="7" t="s">
        <v>6042</v>
      </c>
      <c r="N68" s="7"/>
      <c r="O68" s="7"/>
      <c r="P68" s="7" t="s">
        <v>5271</v>
      </c>
      <c r="Q68" s="7" t="s">
        <v>3492</v>
      </c>
      <c r="R68" s="7" t="s">
        <v>3476</v>
      </c>
      <c r="S68" s="7"/>
      <c r="T68" s="7" t="n">
        <v>24</v>
      </c>
      <c r="U68" s="7" t="s">
        <v>6043</v>
      </c>
      <c r="V68" s="7" t="s">
        <v>5269</v>
      </c>
      <c r="W68" s="7" t="s">
        <v>6180</v>
      </c>
      <c r="X68" s="7" t="s">
        <v>6181</v>
      </c>
      <c r="Y68" s="7"/>
      <c r="Z68" s="7" t="s">
        <v>5835</v>
      </c>
      <c r="AA68" s="7" t="s">
        <v>6046</v>
      </c>
      <c r="AB68" s="7" t="s">
        <v>6041</v>
      </c>
    </row>
    <row r="69" customFormat="false" ht="48" hidden="false" customHeight="true" outlineLevel="0" collapsed="false">
      <c r="A69" s="7" t="n">
        <v>66</v>
      </c>
      <c r="B69" s="7" t="n">
        <v>2339</v>
      </c>
      <c r="C69" s="7" t="s">
        <v>5340</v>
      </c>
      <c r="D69" s="7" t="s">
        <v>26</v>
      </c>
      <c r="E69" s="7" t="s">
        <v>3217</v>
      </c>
      <c r="F69" s="7" t="s">
        <v>3218</v>
      </c>
      <c r="G69" s="7" t="s">
        <v>3408</v>
      </c>
      <c r="H69" s="7" t="n">
        <v>68</v>
      </c>
      <c r="I69" s="7" t="s">
        <v>16</v>
      </c>
      <c r="J69" s="7" t="s">
        <v>16</v>
      </c>
      <c r="K69" s="7" t="s">
        <v>6040</v>
      </c>
      <c r="L69" s="7" t="s">
        <v>6041</v>
      </c>
      <c r="M69" s="7" t="s">
        <v>6047</v>
      </c>
      <c r="N69" s="7" t="s">
        <v>5272</v>
      </c>
      <c r="O69" s="7"/>
      <c r="P69" s="7" t="s">
        <v>5271</v>
      </c>
      <c r="Q69" s="7" t="s">
        <v>3496</v>
      </c>
      <c r="R69" s="7" t="s">
        <v>3476</v>
      </c>
      <c r="S69" s="7"/>
      <c r="T69" s="7" t="n">
        <v>24</v>
      </c>
      <c r="U69" s="7" t="s">
        <v>6043</v>
      </c>
      <c r="V69" s="7" t="s">
        <v>5269</v>
      </c>
      <c r="W69" s="7" t="s">
        <v>6182</v>
      </c>
      <c r="X69" s="7" t="s">
        <v>6183</v>
      </c>
      <c r="Y69" s="7"/>
      <c r="Z69" s="7" t="s">
        <v>5835</v>
      </c>
      <c r="AA69" s="7" t="s">
        <v>6046</v>
      </c>
      <c r="AB69" s="7" t="s">
        <v>6041</v>
      </c>
    </row>
    <row r="70" customFormat="false" ht="48" hidden="false" customHeight="true" outlineLevel="0" collapsed="false">
      <c r="A70" s="7" t="n">
        <v>67</v>
      </c>
      <c r="B70" s="7" t="n">
        <v>2340</v>
      </c>
      <c r="C70" s="7" t="s">
        <v>5341</v>
      </c>
      <c r="D70" s="7" t="s">
        <v>26</v>
      </c>
      <c r="E70" s="7" t="s">
        <v>3217</v>
      </c>
      <c r="F70" s="7" t="s">
        <v>3218</v>
      </c>
      <c r="G70" s="7" t="s">
        <v>3408</v>
      </c>
      <c r="H70" s="7" t="n">
        <v>69</v>
      </c>
      <c r="I70" s="7" t="s">
        <v>16</v>
      </c>
      <c r="J70" s="7" t="s">
        <v>16</v>
      </c>
      <c r="K70" s="7" t="s">
        <v>6040</v>
      </c>
      <c r="L70" s="7" t="s">
        <v>6041</v>
      </c>
      <c r="M70" s="7" t="s">
        <v>6042</v>
      </c>
      <c r="N70" s="7"/>
      <c r="O70" s="7"/>
      <c r="P70" s="7" t="s">
        <v>5268</v>
      </c>
      <c r="Q70" s="7" t="s">
        <v>3360</v>
      </c>
      <c r="R70" s="7" t="s">
        <v>3476</v>
      </c>
      <c r="S70" s="7"/>
      <c r="T70" s="7" t="n">
        <v>25</v>
      </c>
      <c r="U70" s="7" t="s">
        <v>6043</v>
      </c>
      <c r="V70" s="7" t="s">
        <v>5269</v>
      </c>
      <c r="W70" s="7" t="s">
        <v>6184</v>
      </c>
      <c r="X70" s="7" t="s">
        <v>6185</v>
      </c>
      <c r="Y70" s="7"/>
      <c r="Z70" s="7" t="s">
        <v>5835</v>
      </c>
      <c r="AA70" s="7" t="s">
        <v>6046</v>
      </c>
      <c r="AB70" s="7" t="s">
        <v>6041</v>
      </c>
    </row>
    <row r="71" customFormat="false" ht="48" hidden="false" customHeight="true" outlineLevel="0" collapsed="false">
      <c r="A71" s="7" t="n">
        <v>68</v>
      </c>
      <c r="B71" s="7" t="n">
        <v>2341</v>
      </c>
      <c r="C71" s="7" t="s">
        <v>5342</v>
      </c>
      <c r="D71" s="7" t="s">
        <v>26</v>
      </c>
      <c r="E71" s="7" t="s">
        <v>3217</v>
      </c>
      <c r="F71" s="7" t="s">
        <v>3218</v>
      </c>
      <c r="G71" s="7" t="s">
        <v>3408</v>
      </c>
      <c r="H71" s="7" t="n">
        <v>70</v>
      </c>
      <c r="I71" s="7" t="s">
        <v>16</v>
      </c>
      <c r="J71" s="7" t="s">
        <v>16</v>
      </c>
      <c r="K71" s="7" t="s">
        <v>6040</v>
      </c>
      <c r="L71" s="7" t="s">
        <v>6041</v>
      </c>
      <c r="M71" s="7" t="s">
        <v>6042</v>
      </c>
      <c r="N71" s="7"/>
      <c r="O71" s="7"/>
      <c r="P71" s="7" t="s">
        <v>5268</v>
      </c>
      <c r="Q71" s="7" t="s">
        <v>3503</v>
      </c>
      <c r="R71" s="7" t="s">
        <v>3476</v>
      </c>
      <c r="S71" s="7"/>
      <c r="T71" s="7" t="n">
        <v>25</v>
      </c>
      <c r="U71" s="7" t="s">
        <v>6043</v>
      </c>
      <c r="V71" s="7" t="s">
        <v>5269</v>
      </c>
      <c r="W71" s="7" t="s">
        <v>6186</v>
      </c>
      <c r="X71" s="7" t="s">
        <v>6187</v>
      </c>
      <c r="Y71" s="7"/>
      <c r="Z71" s="7" t="s">
        <v>5835</v>
      </c>
      <c r="AA71" s="7" t="s">
        <v>6046</v>
      </c>
      <c r="AB71" s="7" t="s">
        <v>6041</v>
      </c>
    </row>
    <row r="72" customFormat="false" ht="48" hidden="false" customHeight="true" outlineLevel="0" collapsed="false">
      <c r="A72" s="7" t="n">
        <v>69</v>
      </c>
      <c r="B72" s="7" t="n">
        <v>2342</v>
      </c>
      <c r="C72" s="7" t="s">
        <v>5343</v>
      </c>
      <c r="D72" s="7" t="s">
        <v>26</v>
      </c>
      <c r="E72" s="7" t="s">
        <v>3217</v>
      </c>
      <c r="F72" s="7" t="s">
        <v>3218</v>
      </c>
      <c r="G72" s="7" t="s">
        <v>3408</v>
      </c>
      <c r="H72" s="7" t="n">
        <v>71</v>
      </c>
      <c r="I72" s="7" t="s">
        <v>16</v>
      </c>
      <c r="J72" s="7" t="s">
        <v>16</v>
      </c>
      <c r="K72" s="7" t="s">
        <v>6040</v>
      </c>
      <c r="L72" s="7" t="s">
        <v>6041</v>
      </c>
      <c r="M72" s="7" t="s">
        <v>6047</v>
      </c>
      <c r="N72" s="7" t="s">
        <v>5272</v>
      </c>
      <c r="O72" s="7"/>
      <c r="P72" s="7" t="s">
        <v>5271</v>
      </c>
      <c r="Q72" s="7" t="s">
        <v>3506</v>
      </c>
      <c r="R72" s="7" t="s">
        <v>3476</v>
      </c>
      <c r="S72" s="7"/>
      <c r="T72" s="7" t="n">
        <v>25</v>
      </c>
      <c r="U72" s="7" t="s">
        <v>6043</v>
      </c>
      <c r="V72" s="7" t="s">
        <v>5269</v>
      </c>
      <c r="W72" s="7" t="s">
        <v>6188</v>
      </c>
      <c r="X72" s="7" t="s">
        <v>6189</v>
      </c>
      <c r="Y72" s="7"/>
      <c r="Z72" s="7" t="s">
        <v>5835</v>
      </c>
      <c r="AA72" s="7" t="s">
        <v>6046</v>
      </c>
      <c r="AB72" s="7" t="s">
        <v>6041</v>
      </c>
    </row>
    <row r="73" customFormat="false" ht="48" hidden="false" customHeight="true" outlineLevel="0" collapsed="false">
      <c r="A73" s="7" t="n">
        <v>70</v>
      </c>
      <c r="B73" s="7" t="n">
        <v>2343</v>
      </c>
      <c r="C73" s="7" t="s">
        <v>5344</v>
      </c>
      <c r="D73" s="7" t="s">
        <v>26</v>
      </c>
      <c r="E73" s="7" t="s">
        <v>3217</v>
      </c>
      <c r="F73" s="7" t="s">
        <v>3218</v>
      </c>
      <c r="G73" s="7" t="s">
        <v>3408</v>
      </c>
      <c r="H73" s="7" t="n">
        <v>72</v>
      </c>
      <c r="I73" s="7" t="s">
        <v>16</v>
      </c>
      <c r="J73" s="7" t="s">
        <v>16</v>
      </c>
      <c r="K73" s="7" t="s">
        <v>6040</v>
      </c>
      <c r="L73" s="7" t="s">
        <v>6041</v>
      </c>
      <c r="M73" s="7" t="s">
        <v>6042</v>
      </c>
      <c r="N73" s="7"/>
      <c r="O73" s="7"/>
      <c r="P73" s="7" t="s">
        <v>5268</v>
      </c>
      <c r="Q73" s="7" t="s">
        <v>3510</v>
      </c>
      <c r="R73" s="7" t="s">
        <v>3476</v>
      </c>
      <c r="S73" s="7"/>
      <c r="T73" s="7" t="n">
        <v>25</v>
      </c>
      <c r="U73" s="7" t="s">
        <v>6043</v>
      </c>
      <c r="V73" s="7" t="s">
        <v>5269</v>
      </c>
      <c r="W73" s="7" t="s">
        <v>6190</v>
      </c>
      <c r="X73" s="7" t="s">
        <v>6191</v>
      </c>
      <c r="Y73" s="7"/>
      <c r="Z73" s="7" t="s">
        <v>5835</v>
      </c>
      <c r="AA73" s="7" t="s">
        <v>6046</v>
      </c>
      <c r="AB73" s="7" t="s">
        <v>6041</v>
      </c>
    </row>
    <row r="74" customFormat="false" ht="48" hidden="false" customHeight="true" outlineLevel="0" collapsed="false">
      <c r="A74" s="7" t="n">
        <v>71</v>
      </c>
      <c r="B74" s="7" t="n">
        <v>2344</v>
      </c>
      <c r="C74" s="7" t="s">
        <v>5345</v>
      </c>
      <c r="D74" s="7" t="s">
        <v>26</v>
      </c>
      <c r="E74" s="7" t="s">
        <v>3217</v>
      </c>
      <c r="F74" s="7" t="s">
        <v>3218</v>
      </c>
      <c r="G74" s="7" t="s">
        <v>3511</v>
      </c>
      <c r="H74" s="7" t="n">
        <v>73</v>
      </c>
      <c r="I74" s="7" t="s">
        <v>16</v>
      </c>
      <c r="J74" s="7" t="s">
        <v>16</v>
      </c>
      <c r="K74" s="7" t="s">
        <v>6040</v>
      </c>
      <c r="L74" s="7" t="s">
        <v>6041</v>
      </c>
      <c r="M74" s="7" t="s">
        <v>6042</v>
      </c>
      <c r="N74" s="7"/>
      <c r="O74" s="7"/>
      <c r="P74" s="7" t="s">
        <v>5271</v>
      </c>
      <c r="Q74" s="7" t="s">
        <v>3515</v>
      </c>
      <c r="R74" s="7" t="s">
        <v>3517</v>
      </c>
      <c r="S74" s="7"/>
      <c r="T74" s="7" t="n">
        <v>26</v>
      </c>
      <c r="U74" s="7" t="s">
        <v>6043</v>
      </c>
      <c r="V74" s="7" t="s">
        <v>5269</v>
      </c>
      <c r="W74" s="7" t="s">
        <v>6192</v>
      </c>
      <c r="X74" s="7" t="s">
        <v>6193</v>
      </c>
      <c r="Y74" s="7"/>
      <c r="Z74" s="7"/>
      <c r="AA74" s="7" t="s">
        <v>6046</v>
      </c>
      <c r="AB74" s="7" t="s">
        <v>6041</v>
      </c>
    </row>
    <row r="75" customFormat="false" ht="48" hidden="false" customHeight="true" outlineLevel="0" collapsed="false">
      <c r="A75" s="7" t="n">
        <v>72</v>
      </c>
      <c r="B75" s="7" t="n">
        <v>2345</v>
      </c>
      <c r="C75" s="7" t="s">
        <v>5346</v>
      </c>
      <c r="D75" s="7" t="s">
        <v>26</v>
      </c>
      <c r="E75" s="7" t="s">
        <v>3217</v>
      </c>
      <c r="F75" s="7" t="s">
        <v>3218</v>
      </c>
      <c r="G75" s="7" t="s">
        <v>3511</v>
      </c>
      <c r="H75" s="7" t="n">
        <v>74</v>
      </c>
      <c r="I75" s="7" t="s">
        <v>16</v>
      </c>
      <c r="J75" s="7" t="s">
        <v>16</v>
      </c>
      <c r="K75" s="7" t="s">
        <v>6040</v>
      </c>
      <c r="L75" s="7" t="s">
        <v>6041</v>
      </c>
      <c r="M75" s="7" t="s">
        <v>6042</v>
      </c>
      <c r="N75" s="7"/>
      <c r="O75" s="7"/>
      <c r="P75" s="7" t="s">
        <v>5268</v>
      </c>
      <c r="Q75" s="7" t="s">
        <v>3360</v>
      </c>
      <c r="R75" s="7" t="s">
        <v>3517</v>
      </c>
      <c r="S75" s="7"/>
      <c r="T75" s="7" t="n">
        <v>26</v>
      </c>
      <c r="U75" s="7" t="s">
        <v>6043</v>
      </c>
      <c r="V75" s="7" t="s">
        <v>5269</v>
      </c>
      <c r="W75" s="7" t="s">
        <v>6194</v>
      </c>
      <c r="X75" s="7" t="s">
        <v>6195</v>
      </c>
      <c r="Y75" s="7"/>
      <c r="Z75" s="7"/>
      <c r="AA75" s="7" t="s">
        <v>6046</v>
      </c>
      <c r="AB75" s="7" t="s">
        <v>6041</v>
      </c>
    </row>
    <row r="76" customFormat="false" ht="48" hidden="false" customHeight="true" outlineLevel="0" collapsed="false">
      <c r="A76" s="7" t="n">
        <v>73</v>
      </c>
      <c r="B76" s="7" t="n">
        <v>2346</v>
      </c>
      <c r="C76" s="7" t="s">
        <v>5347</v>
      </c>
      <c r="D76" s="7" t="s">
        <v>26</v>
      </c>
      <c r="E76" s="7" t="s">
        <v>3217</v>
      </c>
      <c r="F76" s="7" t="s">
        <v>3218</v>
      </c>
      <c r="G76" s="7" t="s">
        <v>3511</v>
      </c>
      <c r="H76" s="7" t="n">
        <v>75</v>
      </c>
      <c r="I76" s="7" t="s">
        <v>16</v>
      </c>
      <c r="J76" s="7" t="s">
        <v>16</v>
      </c>
      <c r="K76" s="7" t="s">
        <v>6040</v>
      </c>
      <c r="L76" s="7" t="s">
        <v>6041</v>
      </c>
      <c r="M76" s="7" t="s">
        <v>6047</v>
      </c>
      <c r="N76" s="7" t="s">
        <v>5272</v>
      </c>
      <c r="O76" s="7"/>
      <c r="P76" s="7" t="s">
        <v>5268</v>
      </c>
      <c r="Q76" s="7" t="s">
        <v>3525</v>
      </c>
      <c r="R76" s="7" t="s">
        <v>3517</v>
      </c>
      <c r="S76" s="7"/>
      <c r="T76" s="7" t="n">
        <v>27</v>
      </c>
      <c r="U76" s="7" t="s">
        <v>6043</v>
      </c>
      <c r="V76" s="7" t="s">
        <v>5269</v>
      </c>
      <c r="W76" s="7" t="s">
        <v>6196</v>
      </c>
      <c r="X76" s="7" t="s">
        <v>6197</v>
      </c>
      <c r="Y76" s="7"/>
      <c r="Z76" s="7"/>
      <c r="AA76" s="7" t="s">
        <v>6046</v>
      </c>
      <c r="AB76" s="7" t="s">
        <v>6041</v>
      </c>
    </row>
    <row r="77" customFormat="false" ht="48" hidden="false" customHeight="true" outlineLevel="0" collapsed="false">
      <c r="A77" s="7" t="n">
        <v>74</v>
      </c>
      <c r="B77" s="7" t="n">
        <v>2347</v>
      </c>
      <c r="C77" s="7" t="s">
        <v>5348</v>
      </c>
      <c r="D77" s="7" t="s">
        <v>26</v>
      </c>
      <c r="E77" s="7" t="s">
        <v>3217</v>
      </c>
      <c r="F77" s="7" t="s">
        <v>3218</v>
      </c>
      <c r="G77" s="7" t="s">
        <v>3511</v>
      </c>
      <c r="H77" s="7" t="n">
        <v>76</v>
      </c>
      <c r="I77" s="7" t="s">
        <v>16</v>
      </c>
      <c r="J77" s="7" t="s">
        <v>16</v>
      </c>
      <c r="K77" s="7" t="s">
        <v>6040</v>
      </c>
      <c r="L77" s="7" t="s">
        <v>6041</v>
      </c>
      <c r="M77" s="7" t="s">
        <v>6042</v>
      </c>
      <c r="N77" s="7"/>
      <c r="O77" s="7"/>
      <c r="P77" s="7" t="s">
        <v>5274</v>
      </c>
      <c r="Q77" s="7" t="s">
        <v>3526</v>
      </c>
      <c r="R77" s="7" t="s">
        <v>3517</v>
      </c>
      <c r="S77" s="7"/>
      <c r="T77" s="7" t="n">
        <v>27</v>
      </c>
      <c r="U77" s="7" t="s">
        <v>6043</v>
      </c>
      <c r="V77" s="7" t="s">
        <v>5269</v>
      </c>
      <c r="W77" s="7" t="s">
        <v>6198</v>
      </c>
      <c r="X77" s="7" t="s">
        <v>6199</v>
      </c>
      <c r="Y77" s="7"/>
      <c r="Z77" s="7"/>
      <c r="AA77" s="7" t="s">
        <v>6046</v>
      </c>
      <c r="AB77" s="7" t="s">
        <v>6041</v>
      </c>
    </row>
    <row r="78" customFormat="false" ht="48" hidden="false" customHeight="true" outlineLevel="0" collapsed="false">
      <c r="A78" s="7" t="n">
        <v>75</v>
      </c>
      <c r="B78" s="7" t="n">
        <v>2348</v>
      </c>
      <c r="C78" s="7" t="s">
        <v>5349</v>
      </c>
      <c r="D78" s="7" t="s">
        <v>26</v>
      </c>
      <c r="E78" s="7" t="s">
        <v>3217</v>
      </c>
      <c r="F78" s="7" t="s">
        <v>3218</v>
      </c>
      <c r="G78" s="7" t="s">
        <v>3511</v>
      </c>
      <c r="H78" s="7" t="n">
        <v>77</v>
      </c>
      <c r="I78" s="7" t="s">
        <v>16</v>
      </c>
      <c r="J78" s="7" t="s">
        <v>16</v>
      </c>
      <c r="K78" s="7" t="s">
        <v>6040</v>
      </c>
      <c r="L78" s="7" t="s">
        <v>6041</v>
      </c>
      <c r="M78" s="7" t="s">
        <v>6042</v>
      </c>
      <c r="N78" s="7"/>
      <c r="O78" s="7"/>
      <c r="P78" s="7" t="s">
        <v>5268</v>
      </c>
      <c r="Q78" s="7" t="s">
        <v>3360</v>
      </c>
      <c r="R78" s="7" t="s">
        <v>3517</v>
      </c>
      <c r="S78" s="7"/>
      <c r="T78" s="7" t="n">
        <v>27</v>
      </c>
      <c r="U78" s="7" t="s">
        <v>6043</v>
      </c>
      <c r="V78" s="7" t="s">
        <v>5269</v>
      </c>
      <c r="W78" s="7" t="s">
        <v>6200</v>
      </c>
      <c r="X78" s="7" t="s">
        <v>6201</v>
      </c>
      <c r="Y78" s="7"/>
      <c r="Z78" s="7"/>
      <c r="AA78" s="7" t="s">
        <v>6046</v>
      </c>
      <c r="AB78" s="7" t="s">
        <v>6041</v>
      </c>
    </row>
    <row r="79" customFormat="false" ht="48" hidden="false" customHeight="true" outlineLevel="0" collapsed="false">
      <c r="A79" s="7" t="n">
        <v>76</v>
      </c>
      <c r="B79" s="7" t="n">
        <v>2349</v>
      </c>
      <c r="C79" s="7" t="s">
        <v>5350</v>
      </c>
      <c r="D79" s="7" t="s">
        <v>26</v>
      </c>
      <c r="E79" s="7" t="s">
        <v>3217</v>
      </c>
      <c r="F79" s="7" t="s">
        <v>3218</v>
      </c>
      <c r="G79" s="7" t="s">
        <v>3511</v>
      </c>
      <c r="H79" s="7" t="n">
        <v>78</v>
      </c>
      <c r="I79" s="7" t="s">
        <v>16</v>
      </c>
      <c r="J79" s="7" t="s">
        <v>16</v>
      </c>
      <c r="K79" s="7" t="s">
        <v>6040</v>
      </c>
      <c r="L79" s="7" t="s">
        <v>6041</v>
      </c>
      <c r="M79" s="7" t="s">
        <v>6042</v>
      </c>
      <c r="N79" s="7"/>
      <c r="O79" s="7"/>
      <c r="P79" s="7" t="s">
        <v>5271</v>
      </c>
      <c r="Q79" s="7" t="s">
        <v>3533</v>
      </c>
      <c r="R79" s="7" t="s">
        <v>3517</v>
      </c>
      <c r="S79" s="7"/>
      <c r="T79" s="7" t="n">
        <v>27</v>
      </c>
      <c r="U79" s="7" t="s">
        <v>6043</v>
      </c>
      <c r="V79" s="7" t="s">
        <v>5269</v>
      </c>
      <c r="W79" s="7" t="s">
        <v>6202</v>
      </c>
      <c r="X79" s="7" t="s">
        <v>6203</v>
      </c>
      <c r="Y79" s="7"/>
      <c r="Z79" s="7"/>
      <c r="AA79" s="7" t="s">
        <v>6046</v>
      </c>
      <c r="AB79" s="7" t="s">
        <v>6041</v>
      </c>
    </row>
    <row r="80" customFormat="false" ht="48" hidden="false" customHeight="true" outlineLevel="0" collapsed="false">
      <c r="A80" s="7" t="n">
        <v>77</v>
      </c>
      <c r="B80" s="7" t="n">
        <v>2350</v>
      </c>
      <c r="C80" s="7" t="s">
        <v>5351</v>
      </c>
      <c r="D80" s="7" t="s">
        <v>26</v>
      </c>
      <c r="E80" s="7" t="s">
        <v>3217</v>
      </c>
      <c r="F80" s="7" t="s">
        <v>3218</v>
      </c>
      <c r="G80" s="7" t="s">
        <v>3511</v>
      </c>
      <c r="H80" s="7" t="n">
        <v>79</v>
      </c>
      <c r="I80" s="7" t="s">
        <v>16</v>
      </c>
      <c r="J80" s="7" t="s">
        <v>16</v>
      </c>
      <c r="K80" s="7" t="s">
        <v>6040</v>
      </c>
      <c r="L80" s="7" t="s">
        <v>6041</v>
      </c>
      <c r="M80" s="7" t="s">
        <v>6042</v>
      </c>
      <c r="N80" s="7"/>
      <c r="O80" s="7"/>
      <c r="P80" s="7" t="s">
        <v>5271</v>
      </c>
      <c r="Q80" s="7" t="s">
        <v>3537</v>
      </c>
      <c r="R80" s="7" t="s">
        <v>3517</v>
      </c>
      <c r="S80" s="7"/>
      <c r="T80" s="7" t="n">
        <v>27</v>
      </c>
      <c r="U80" s="7" t="s">
        <v>6043</v>
      </c>
      <c r="V80" s="7" t="s">
        <v>5269</v>
      </c>
      <c r="W80" s="7" t="s">
        <v>6204</v>
      </c>
      <c r="X80" s="7" t="s">
        <v>6205</v>
      </c>
      <c r="Y80" s="7"/>
      <c r="Z80" s="7"/>
      <c r="AA80" s="7" t="s">
        <v>6046</v>
      </c>
      <c r="AB80" s="7" t="s">
        <v>6041</v>
      </c>
    </row>
    <row r="81" customFormat="false" ht="48" hidden="false" customHeight="true" outlineLevel="0" collapsed="false">
      <c r="A81" s="7" t="n">
        <v>78</v>
      </c>
      <c r="B81" s="7" t="n">
        <v>2351</v>
      </c>
      <c r="C81" s="7" t="s">
        <v>5352</v>
      </c>
      <c r="D81" s="7" t="s">
        <v>26</v>
      </c>
      <c r="E81" s="7" t="s">
        <v>3217</v>
      </c>
      <c r="F81" s="7" t="s">
        <v>3218</v>
      </c>
      <c r="G81" s="7" t="s">
        <v>3511</v>
      </c>
      <c r="H81" s="7" t="n">
        <v>80</v>
      </c>
      <c r="I81" s="7" t="s">
        <v>16</v>
      </c>
      <c r="J81" s="7" t="s">
        <v>16</v>
      </c>
      <c r="K81" s="7" t="s">
        <v>6040</v>
      </c>
      <c r="L81" s="7" t="s">
        <v>6041</v>
      </c>
      <c r="M81" s="7" t="s">
        <v>6042</v>
      </c>
      <c r="N81" s="7"/>
      <c r="O81" s="7"/>
      <c r="P81" s="7" t="s">
        <v>5276</v>
      </c>
      <c r="Q81" s="7" t="s">
        <v>3540</v>
      </c>
      <c r="R81" s="7" t="s">
        <v>3517</v>
      </c>
      <c r="S81" s="7"/>
      <c r="T81" s="7" t="n">
        <v>28</v>
      </c>
      <c r="U81" s="7" t="s">
        <v>6043</v>
      </c>
      <c r="V81" s="7" t="s">
        <v>5269</v>
      </c>
      <c r="W81" s="7" t="s">
        <v>6206</v>
      </c>
      <c r="X81" s="7" t="s">
        <v>6207</v>
      </c>
      <c r="Y81" s="7"/>
      <c r="Z81" s="7"/>
      <c r="AA81" s="7" t="s">
        <v>6046</v>
      </c>
      <c r="AB81" s="7" t="s">
        <v>6041</v>
      </c>
    </row>
    <row r="82" customFormat="false" ht="48" hidden="false" customHeight="true" outlineLevel="0" collapsed="false">
      <c r="A82" s="7" t="n">
        <v>79</v>
      </c>
      <c r="B82" s="7" t="n">
        <v>2352</v>
      </c>
      <c r="C82" s="7" t="s">
        <v>5353</v>
      </c>
      <c r="D82" s="7" t="s">
        <v>26</v>
      </c>
      <c r="E82" s="7" t="s">
        <v>3217</v>
      </c>
      <c r="F82" s="7" t="s">
        <v>3218</v>
      </c>
      <c r="G82" s="7" t="s">
        <v>3511</v>
      </c>
      <c r="H82" s="7" t="n">
        <v>81</v>
      </c>
      <c r="I82" s="7" t="s">
        <v>16</v>
      </c>
      <c r="J82" s="7" t="s">
        <v>16</v>
      </c>
      <c r="K82" s="7" t="s">
        <v>6040</v>
      </c>
      <c r="L82" s="7" t="s">
        <v>6041</v>
      </c>
      <c r="M82" s="7" t="s">
        <v>6042</v>
      </c>
      <c r="N82" s="7"/>
      <c r="O82" s="7"/>
      <c r="P82" s="7" t="s">
        <v>5271</v>
      </c>
      <c r="Q82" s="7" t="s">
        <v>3545</v>
      </c>
      <c r="R82" s="7" t="s">
        <v>3517</v>
      </c>
      <c r="S82" s="7"/>
      <c r="T82" s="7" t="n">
        <v>28</v>
      </c>
      <c r="U82" s="7" t="s">
        <v>6043</v>
      </c>
      <c r="V82" s="7" t="s">
        <v>5269</v>
      </c>
      <c r="W82" s="7" t="s">
        <v>6208</v>
      </c>
      <c r="X82" s="7" t="s">
        <v>6209</v>
      </c>
      <c r="Y82" s="7"/>
      <c r="Z82" s="7"/>
      <c r="AA82" s="7" t="s">
        <v>6046</v>
      </c>
      <c r="AB82" s="7" t="s">
        <v>6041</v>
      </c>
    </row>
    <row r="83" customFormat="false" ht="48" hidden="false" customHeight="true" outlineLevel="0" collapsed="false">
      <c r="A83" s="7" t="n">
        <v>80</v>
      </c>
      <c r="B83" s="7" t="n">
        <v>2353</v>
      </c>
      <c r="C83" s="7" t="s">
        <v>5354</v>
      </c>
      <c r="D83" s="7" t="s">
        <v>26</v>
      </c>
      <c r="E83" s="7" t="s">
        <v>3217</v>
      </c>
      <c r="F83" s="7" t="s">
        <v>3218</v>
      </c>
      <c r="G83" s="7" t="s">
        <v>3511</v>
      </c>
      <c r="H83" s="7" t="n">
        <v>82</v>
      </c>
      <c r="I83" s="7" t="s">
        <v>16</v>
      </c>
      <c r="J83" s="7" t="s">
        <v>16</v>
      </c>
      <c r="K83" s="7" t="s">
        <v>6040</v>
      </c>
      <c r="L83" s="7" t="s">
        <v>6041</v>
      </c>
      <c r="M83" s="7" t="s">
        <v>6042</v>
      </c>
      <c r="N83" s="7"/>
      <c r="O83" s="7"/>
      <c r="P83" s="7" t="s">
        <v>5268</v>
      </c>
      <c r="Q83" s="7" t="s">
        <v>3360</v>
      </c>
      <c r="R83" s="7" t="s">
        <v>3517</v>
      </c>
      <c r="S83" s="7"/>
      <c r="T83" s="7" t="n">
        <v>28</v>
      </c>
      <c r="U83" s="7" t="s">
        <v>6043</v>
      </c>
      <c r="V83" s="7" t="s">
        <v>5269</v>
      </c>
      <c r="W83" s="7" t="s">
        <v>6210</v>
      </c>
      <c r="X83" s="7" t="s">
        <v>6211</v>
      </c>
      <c r="Y83" s="7"/>
      <c r="Z83" s="7"/>
      <c r="AA83" s="7" t="s">
        <v>6046</v>
      </c>
      <c r="AB83" s="7" t="s">
        <v>6041</v>
      </c>
    </row>
    <row r="84" customFormat="false" ht="48" hidden="false" customHeight="true" outlineLevel="0" collapsed="false">
      <c r="A84" s="7" t="n">
        <v>81</v>
      </c>
      <c r="B84" s="7" t="n">
        <v>2354</v>
      </c>
      <c r="C84" s="7" t="s">
        <v>5355</v>
      </c>
      <c r="D84" s="7" t="s">
        <v>26</v>
      </c>
      <c r="E84" s="7" t="s">
        <v>3217</v>
      </c>
      <c r="F84" s="7" t="s">
        <v>3218</v>
      </c>
      <c r="G84" s="7" t="s">
        <v>3511</v>
      </c>
      <c r="H84" s="7" t="n">
        <v>83</v>
      </c>
      <c r="I84" s="7" t="s">
        <v>16</v>
      </c>
      <c r="J84" s="7" t="s">
        <v>16</v>
      </c>
      <c r="K84" s="7" t="s">
        <v>6040</v>
      </c>
      <c r="L84" s="7" t="s">
        <v>6041</v>
      </c>
      <c r="M84" s="7" t="s">
        <v>6047</v>
      </c>
      <c r="N84" s="7" t="s">
        <v>5272</v>
      </c>
      <c r="O84" s="7"/>
      <c r="P84" s="7" t="s">
        <v>5276</v>
      </c>
      <c r="Q84" s="7" t="s">
        <v>3551</v>
      </c>
      <c r="R84" s="7" t="s">
        <v>3517</v>
      </c>
      <c r="S84" s="7"/>
      <c r="T84" s="7" t="n">
        <v>28</v>
      </c>
      <c r="U84" s="7" t="s">
        <v>6043</v>
      </c>
      <c r="V84" s="7" t="s">
        <v>5269</v>
      </c>
      <c r="W84" s="7" t="s">
        <v>6212</v>
      </c>
      <c r="X84" s="7" t="s">
        <v>6213</v>
      </c>
      <c r="Y84" s="7"/>
      <c r="Z84" s="7"/>
      <c r="AA84" s="7" t="s">
        <v>6046</v>
      </c>
      <c r="AB84" s="7" t="s">
        <v>6041</v>
      </c>
    </row>
    <row r="85" customFormat="false" ht="48" hidden="false" customHeight="true" outlineLevel="0" collapsed="false">
      <c r="A85" s="7" t="n">
        <v>82</v>
      </c>
      <c r="B85" s="7" t="n">
        <v>2355</v>
      </c>
      <c r="C85" s="7" t="s">
        <v>5356</v>
      </c>
      <c r="D85" s="7" t="s">
        <v>26</v>
      </c>
      <c r="E85" s="7" t="s">
        <v>3217</v>
      </c>
      <c r="F85" s="7" t="s">
        <v>3218</v>
      </c>
      <c r="G85" s="7" t="s">
        <v>3511</v>
      </c>
      <c r="H85" s="7" t="n">
        <v>84</v>
      </c>
      <c r="I85" s="7" t="s">
        <v>16</v>
      </c>
      <c r="J85" s="7" t="s">
        <v>16</v>
      </c>
      <c r="K85" s="7" t="s">
        <v>6040</v>
      </c>
      <c r="L85" s="7" t="s">
        <v>6041</v>
      </c>
      <c r="M85" s="7" t="s">
        <v>6042</v>
      </c>
      <c r="N85" s="7"/>
      <c r="O85" s="7"/>
      <c r="P85" s="7" t="s">
        <v>5268</v>
      </c>
      <c r="Q85" s="7" t="s">
        <v>3557</v>
      </c>
      <c r="R85" s="7" t="s">
        <v>3517</v>
      </c>
      <c r="S85" s="7"/>
      <c r="T85" s="7" t="n">
        <v>29</v>
      </c>
      <c r="U85" s="7" t="s">
        <v>6043</v>
      </c>
      <c r="V85" s="7" t="s">
        <v>5269</v>
      </c>
      <c r="W85" s="7" t="s">
        <v>6214</v>
      </c>
      <c r="X85" s="7" t="s">
        <v>6215</v>
      </c>
      <c r="Y85" s="7"/>
      <c r="Z85" s="7"/>
      <c r="AA85" s="7" t="s">
        <v>6046</v>
      </c>
      <c r="AB85" s="7" t="s">
        <v>6041</v>
      </c>
    </row>
    <row r="86" customFormat="false" ht="48" hidden="false" customHeight="true" outlineLevel="0" collapsed="false">
      <c r="A86" s="7" t="n">
        <v>83</v>
      </c>
      <c r="B86" s="7" t="n">
        <v>2356</v>
      </c>
      <c r="C86" s="7" t="s">
        <v>5357</v>
      </c>
      <c r="D86" s="7" t="s">
        <v>26</v>
      </c>
      <c r="E86" s="7" t="s">
        <v>3217</v>
      </c>
      <c r="F86" s="7" t="s">
        <v>3218</v>
      </c>
      <c r="G86" s="7" t="s">
        <v>3511</v>
      </c>
      <c r="H86" s="7" t="n">
        <v>85</v>
      </c>
      <c r="I86" s="7" t="s">
        <v>16</v>
      </c>
      <c r="J86" s="7" t="s">
        <v>16</v>
      </c>
      <c r="K86" s="7" t="s">
        <v>6040</v>
      </c>
      <c r="L86" s="7" t="s">
        <v>6041</v>
      </c>
      <c r="M86" s="7" t="s">
        <v>6042</v>
      </c>
      <c r="N86" s="7"/>
      <c r="O86" s="7"/>
      <c r="P86" s="7" t="s">
        <v>5271</v>
      </c>
      <c r="Q86" s="7" t="s">
        <v>3428</v>
      </c>
      <c r="R86" s="7" t="s">
        <v>3517</v>
      </c>
      <c r="S86" s="7"/>
      <c r="T86" s="7" t="n">
        <v>29</v>
      </c>
      <c r="U86" s="7" t="s">
        <v>6043</v>
      </c>
      <c r="V86" s="7" t="s">
        <v>5269</v>
      </c>
      <c r="W86" s="7" t="s">
        <v>6216</v>
      </c>
      <c r="X86" s="7" t="s">
        <v>6217</v>
      </c>
      <c r="Y86" s="7"/>
      <c r="Z86" s="7"/>
      <c r="AA86" s="7" t="s">
        <v>6046</v>
      </c>
      <c r="AB86" s="7" t="s">
        <v>6041</v>
      </c>
    </row>
    <row r="87" customFormat="false" ht="48" hidden="false" customHeight="true" outlineLevel="0" collapsed="false">
      <c r="A87" s="7" t="n">
        <v>84</v>
      </c>
      <c r="B87" s="7" t="n">
        <v>2357</v>
      </c>
      <c r="C87" s="7" t="s">
        <v>5358</v>
      </c>
      <c r="D87" s="7" t="s">
        <v>26</v>
      </c>
      <c r="E87" s="7" t="s">
        <v>3217</v>
      </c>
      <c r="F87" s="7" t="s">
        <v>3218</v>
      </c>
      <c r="G87" s="7" t="s">
        <v>3511</v>
      </c>
      <c r="H87" s="7" t="n">
        <v>86</v>
      </c>
      <c r="I87" s="7" t="s">
        <v>16</v>
      </c>
      <c r="J87" s="7" t="s">
        <v>16</v>
      </c>
      <c r="K87" s="7" t="s">
        <v>6040</v>
      </c>
      <c r="L87" s="7" t="s">
        <v>6041</v>
      </c>
      <c r="M87" s="7" t="s">
        <v>6042</v>
      </c>
      <c r="N87" s="7"/>
      <c r="O87" s="7"/>
      <c r="P87" s="7" t="s">
        <v>5274</v>
      </c>
      <c r="Q87" s="7" t="s">
        <v>3561</v>
      </c>
      <c r="R87" s="7" t="s">
        <v>3517</v>
      </c>
      <c r="S87" s="7"/>
      <c r="T87" s="7" t="n">
        <v>29</v>
      </c>
      <c r="U87" s="7" t="s">
        <v>6043</v>
      </c>
      <c r="V87" s="7" t="s">
        <v>5269</v>
      </c>
      <c r="W87" s="7" t="s">
        <v>6218</v>
      </c>
      <c r="X87" s="7" t="s">
        <v>6219</v>
      </c>
      <c r="Y87" s="7"/>
      <c r="Z87" s="7"/>
      <c r="AA87" s="7" t="s">
        <v>6046</v>
      </c>
      <c r="AB87" s="7" t="s">
        <v>6041</v>
      </c>
    </row>
    <row r="88" customFormat="false" ht="48" hidden="false" customHeight="true" outlineLevel="0" collapsed="false">
      <c r="A88" s="7" t="n">
        <v>85</v>
      </c>
      <c r="B88" s="7" t="n">
        <v>2358</v>
      </c>
      <c r="C88" s="7" t="s">
        <v>5359</v>
      </c>
      <c r="D88" s="7" t="s">
        <v>26</v>
      </c>
      <c r="E88" s="7" t="s">
        <v>3217</v>
      </c>
      <c r="F88" s="7" t="s">
        <v>3218</v>
      </c>
      <c r="G88" s="7" t="s">
        <v>3511</v>
      </c>
      <c r="H88" s="7" t="n">
        <v>87</v>
      </c>
      <c r="I88" s="7" t="s">
        <v>16</v>
      </c>
      <c r="J88" s="7" t="s">
        <v>16</v>
      </c>
      <c r="K88" s="7" t="s">
        <v>6040</v>
      </c>
      <c r="L88" s="7" t="s">
        <v>6041</v>
      </c>
      <c r="M88" s="7" t="s">
        <v>6047</v>
      </c>
      <c r="N88" s="7" t="s">
        <v>5272</v>
      </c>
      <c r="O88" s="7"/>
      <c r="P88" s="7" t="s">
        <v>5271</v>
      </c>
      <c r="Q88" s="7" t="s">
        <v>3567</v>
      </c>
      <c r="R88" s="7" t="s">
        <v>3517</v>
      </c>
      <c r="S88" s="7"/>
      <c r="T88" s="7" t="n">
        <v>29</v>
      </c>
      <c r="U88" s="7" t="s">
        <v>6043</v>
      </c>
      <c r="V88" s="7" t="s">
        <v>5269</v>
      </c>
      <c r="W88" s="7" t="s">
        <v>6220</v>
      </c>
      <c r="X88" s="7" t="s">
        <v>6221</v>
      </c>
      <c r="Y88" s="7"/>
      <c r="Z88" s="7"/>
      <c r="AA88" s="7" t="s">
        <v>6046</v>
      </c>
      <c r="AB88" s="7" t="s">
        <v>6041</v>
      </c>
    </row>
    <row r="89" customFormat="false" ht="48" hidden="false" customHeight="true" outlineLevel="0" collapsed="false">
      <c r="A89" s="7" t="n">
        <v>86</v>
      </c>
      <c r="B89" s="7" t="n">
        <v>2359</v>
      </c>
      <c r="C89" s="7" t="s">
        <v>5360</v>
      </c>
      <c r="D89" s="7" t="s">
        <v>26</v>
      </c>
      <c r="E89" s="7" t="s">
        <v>3217</v>
      </c>
      <c r="F89" s="7" t="s">
        <v>3218</v>
      </c>
      <c r="G89" s="7" t="s">
        <v>3511</v>
      </c>
      <c r="H89" s="7" t="n">
        <v>88</v>
      </c>
      <c r="I89" s="7" t="s">
        <v>16</v>
      </c>
      <c r="J89" s="7" t="s">
        <v>16</v>
      </c>
      <c r="K89" s="7" t="s">
        <v>6040</v>
      </c>
      <c r="L89" s="7" t="s">
        <v>6041</v>
      </c>
      <c r="M89" s="7" t="s">
        <v>6047</v>
      </c>
      <c r="N89" s="7" t="s">
        <v>5272</v>
      </c>
      <c r="O89" s="7"/>
      <c r="P89" s="7" t="s">
        <v>5276</v>
      </c>
      <c r="Q89" s="7" t="s">
        <v>3570</v>
      </c>
      <c r="R89" s="7" t="s">
        <v>3517</v>
      </c>
      <c r="S89" s="7"/>
      <c r="T89" s="7" t="n">
        <v>30</v>
      </c>
      <c r="U89" s="7" t="s">
        <v>6043</v>
      </c>
      <c r="V89" s="7" t="s">
        <v>5269</v>
      </c>
      <c r="W89" s="7" t="s">
        <v>6222</v>
      </c>
      <c r="X89" s="7" t="s">
        <v>6223</v>
      </c>
      <c r="Y89" s="7"/>
      <c r="Z89" s="7"/>
      <c r="AA89" s="7" t="s">
        <v>6046</v>
      </c>
      <c r="AB89" s="7" t="s">
        <v>6041</v>
      </c>
    </row>
    <row r="90" customFormat="false" ht="48" hidden="false" customHeight="true" outlineLevel="0" collapsed="false">
      <c r="A90" s="7" t="n">
        <v>87</v>
      </c>
      <c r="B90" s="7" t="n">
        <v>2361</v>
      </c>
      <c r="C90" s="7" t="s">
        <v>5361</v>
      </c>
      <c r="D90" s="7" t="s">
        <v>26</v>
      </c>
      <c r="E90" s="7" t="s">
        <v>3217</v>
      </c>
      <c r="F90" s="7" t="s">
        <v>3218</v>
      </c>
      <c r="G90" s="7" t="s">
        <v>3511</v>
      </c>
      <c r="H90" s="7" t="n">
        <v>90</v>
      </c>
      <c r="I90" s="7" t="s">
        <v>16</v>
      </c>
      <c r="J90" s="7" t="s">
        <v>16</v>
      </c>
      <c r="K90" s="7" t="s">
        <v>6040</v>
      </c>
      <c r="L90" s="7" t="s">
        <v>6041</v>
      </c>
      <c r="M90" s="7" t="s">
        <v>6042</v>
      </c>
      <c r="N90" s="7"/>
      <c r="O90" s="7"/>
      <c r="P90" s="7" t="s">
        <v>5276</v>
      </c>
      <c r="Q90" s="7" t="s">
        <v>3574</v>
      </c>
      <c r="R90" s="7" t="s">
        <v>3517</v>
      </c>
      <c r="S90" s="7"/>
      <c r="T90" s="7" t="n">
        <v>30</v>
      </c>
      <c r="U90" s="7" t="s">
        <v>6043</v>
      </c>
      <c r="V90" s="7" t="s">
        <v>5269</v>
      </c>
      <c r="W90" s="7" t="s">
        <v>6224</v>
      </c>
      <c r="X90" s="7" t="s">
        <v>6225</v>
      </c>
      <c r="Y90" s="7"/>
      <c r="Z90" s="7"/>
      <c r="AA90" s="7" t="s">
        <v>6046</v>
      </c>
      <c r="AB90" s="7" t="s">
        <v>6041</v>
      </c>
    </row>
    <row r="91" customFormat="false" ht="48" hidden="false" customHeight="true" outlineLevel="0" collapsed="false">
      <c r="A91" s="7" t="n">
        <v>88</v>
      </c>
      <c r="B91" s="7" t="n">
        <v>2362</v>
      </c>
      <c r="C91" s="7" t="s">
        <v>5362</v>
      </c>
      <c r="D91" s="7" t="s">
        <v>26</v>
      </c>
      <c r="E91" s="7" t="s">
        <v>3217</v>
      </c>
      <c r="F91" s="7" t="s">
        <v>3218</v>
      </c>
      <c r="G91" s="7" t="s">
        <v>3511</v>
      </c>
      <c r="H91" s="7" t="n">
        <v>91</v>
      </c>
      <c r="I91" s="7" t="s">
        <v>16</v>
      </c>
      <c r="J91" s="7" t="s">
        <v>16</v>
      </c>
      <c r="K91" s="7" t="s">
        <v>6040</v>
      </c>
      <c r="L91" s="7" t="s">
        <v>6041</v>
      </c>
      <c r="M91" s="7" t="s">
        <v>6042</v>
      </c>
      <c r="N91" s="7"/>
      <c r="O91" s="7"/>
      <c r="P91" s="7" t="s">
        <v>5276</v>
      </c>
      <c r="Q91" s="7" t="s">
        <v>3578</v>
      </c>
      <c r="R91" s="7" t="s">
        <v>3517</v>
      </c>
      <c r="S91" s="7"/>
      <c r="T91" s="7" t="n">
        <v>30</v>
      </c>
      <c r="U91" s="7" t="s">
        <v>6043</v>
      </c>
      <c r="V91" s="7" t="s">
        <v>5269</v>
      </c>
      <c r="W91" s="7" t="s">
        <v>6226</v>
      </c>
      <c r="X91" s="7" t="s">
        <v>6227</v>
      </c>
      <c r="Y91" s="7"/>
      <c r="Z91" s="7"/>
      <c r="AA91" s="7" t="s">
        <v>6046</v>
      </c>
      <c r="AB91" s="7" t="s">
        <v>6041</v>
      </c>
    </row>
    <row r="92" customFormat="false" ht="48" hidden="false" customHeight="true" outlineLevel="0" collapsed="false">
      <c r="A92" s="7" t="n">
        <v>89</v>
      </c>
      <c r="B92" s="7" t="n">
        <v>2363</v>
      </c>
      <c r="C92" s="7" t="s">
        <v>5363</v>
      </c>
      <c r="D92" s="7" t="s">
        <v>26</v>
      </c>
      <c r="E92" s="7" t="s">
        <v>3217</v>
      </c>
      <c r="F92" s="7" t="s">
        <v>3218</v>
      </c>
      <c r="G92" s="7" t="s">
        <v>3511</v>
      </c>
      <c r="H92" s="7" t="n">
        <v>92</v>
      </c>
      <c r="I92" s="7" t="s">
        <v>16</v>
      </c>
      <c r="J92" s="7" t="s">
        <v>16</v>
      </c>
      <c r="K92" s="7" t="s">
        <v>6040</v>
      </c>
      <c r="L92" s="7" t="s">
        <v>6041</v>
      </c>
      <c r="M92" s="7" t="s">
        <v>6042</v>
      </c>
      <c r="N92" s="7"/>
      <c r="O92" s="7"/>
      <c r="P92" s="7" t="s">
        <v>5271</v>
      </c>
      <c r="Q92" s="7" t="s">
        <v>3583</v>
      </c>
      <c r="R92" s="7" t="s">
        <v>3517</v>
      </c>
      <c r="S92" s="7"/>
      <c r="T92" s="7" t="n">
        <v>31</v>
      </c>
      <c r="U92" s="7" t="s">
        <v>6043</v>
      </c>
      <c r="V92" s="7" t="s">
        <v>5269</v>
      </c>
      <c r="W92" s="7" t="s">
        <v>6228</v>
      </c>
      <c r="X92" s="7" t="s">
        <v>6229</v>
      </c>
      <c r="Y92" s="7"/>
      <c r="Z92" s="7"/>
      <c r="AA92" s="7" t="s">
        <v>6046</v>
      </c>
      <c r="AB92" s="7" t="s">
        <v>6041</v>
      </c>
    </row>
    <row r="93" customFormat="false" ht="48" hidden="false" customHeight="true" outlineLevel="0" collapsed="false">
      <c r="A93" s="7" t="n">
        <v>90</v>
      </c>
      <c r="B93" s="7" t="n">
        <v>2364</v>
      </c>
      <c r="C93" s="7" t="s">
        <v>5364</v>
      </c>
      <c r="D93" s="7" t="s">
        <v>26</v>
      </c>
      <c r="E93" s="7" t="s">
        <v>3217</v>
      </c>
      <c r="F93" s="7" t="s">
        <v>3218</v>
      </c>
      <c r="G93" s="7" t="s">
        <v>3511</v>
      </c>
      <c r="H93" s="7" t="n">
        <v>93</v>
      </c>
      <c r="I93" s="7" t="s">
        <v>16</v>
      </c>
      <c r="J93" s="7" t="s">
        <v>16</v>
      </c>
      <c r="K93" s="7" t="s">
        <v>6040</v>
      </c>
      <c r="L93" s="7" t="s">
        <v>6041</v>
      </c>
      <c r="M93" s="7" t="s">
        <v>6047</v>
      </c>
      <c r="N93" s="7" t="s">
        <v>5272</v>
      </c>
      <c r="O93" s="7"/>
      <c r="P93" s="7" t="s">
        <v>5268</v>
      </c>
      <c r="Q93" s="7" t="s">
        <v>3588</v>
      </c>
      <c r="R93" s="7" t="s">
        <v>3517</v>
      </c>
      <c r="S93" s="7"/>
      <c r="T93" s="7" t="n">
        <v>31</v>
      </c>
      <c r="U93" s="7" t="s">
        <v>6043</v>
      </c>
      <c r="V93" s="7" t="s">
        <v>5269</v>
      </c>
      <c r="W93" s="7" t="s">
        <v>6230</v>
      </c>
      <c r="X93" s="7" t="s">
        <v>6231</v>
      </c>
      <c r="Y93" s="7"/>
      <c r="Z93" s="7"/>
      <c r="AA93" s="7" t="s">
        <v>6046</v>
      </c>
      <c r="AB93" s="7" t="s">
        <v>6041</v>
      </c>
    </row>
    <row r="94" customFormat="false" ht="48" hidden="false" customHeight="true" outlineLevel="0" collapsed="false">
      <c r="A94" s="7" t="n">
        <v>91</v>
      </c>
      <c r="B94" s="7" t="n">
        <v>2365</v>
      </c>
      <c r="C94" s="7" t="s">
        <v>5365</v>
      </c>
      <c r="D94" s="7" t="s">
        <v>26</v>
      </c>
      <c r="E94" s="7" t="s">
        <v>3217</v>
      </c>
      <c r="F94" s="7" t="s">
        <v>3218</v>
      </c>
      <c r="G94" s="7" t="s">
        <v>3511</v>
      </c>
      <c r="H94" s="7" t="n">
        <v>94</v>
      </c>
      <c r="I94" s="7" t="s">
        <v>16</v>
      </c>
      <c r="J94" s="7" t="s">
        <v>16</v>
      </c>
      <c r="K94" s="7" t="s">
        <v>6040</v>
      </c>
      <c r="L94" s="7" t="s">
        <v>6041</v>
      </c>
      <c r="M94" s="7" t="s">
        <v>6042</v>
      </c>
      <c r="N94" s="7"/>
      <c r="O94" s="7"/>
      <c r="P94" s="7" t="s">
        <v>5274</v>
      </c>
      <c r="Q94" s="7" t="s">
        <v>3589</v>
      </c>
      <c r="R94" s="7" t="s">
        <v>3517</v>
      </c>
      <c r="S94" s="7"/>
      <c r="T94" s="7" t="n">
        <v>31</v>
      </c>
      <c r="U94" s="7" t="s">
        <v>6043</v>
      </c>
      <c r="V94" s="7" t="s">
        <v>5269</v>
      </c>
      <c r="W94" s="7" t="s">
        <v>6232</v>
      </c>
      <c r="X94" s="7" t="s">
        <v>6233</v>
      </c>
      <c r="Y94" s="7"/>
      <c r="Z94" s="7"/>
      <c r="AA94" s="7" t="s">
        <v>6046</v>
      </c>
      <c r="AB94" s="7" t="s">
        <v>6041</v>
      </c>
    </row>
    <row r="95" customFormat="false" ht="48" hidden="false" customHeight="true" outlineLevel="0" collapsed="false">
      <c r="A95" s="7" t="n">
        <v>92</v>
      </c>
      <c r="B95" s="7" t="n">
        <v>2366</v>
      </c>
      <c r="C95" s="7" t="s">
        <v>5366</v>
      </c>
      <c r="D95" s="7" t="s">
        <v>26</v>
      </c>
      <c r="E95" s="7" t="s">
        <v>3217</v>
      </c>
      <c r="F95" s="7" t="s">
        <v>3218</v>
      </c>
      <c r="G95" s="7" t="s">
        <v>3511</v>
      </c>
      <c r="H95" s="7" t="n">
        <v>95</v>
      </c>
      <c r="I95" s="7" t="s">
        <v>16</v>
      </c>
      <c r="J95" s="7" t="s">
        <v>16</v>
      </c>
      <c r="K95" s="7" t="s">
        <v>6040</v>
      </c>
      <c r="L95" s="7" t="s">
        <v>6041</v>
      </c>
      <c r="M95" s="7" t="s">
        <v>6047</v>
      </c>
      <c r="N95" s="7" t="s">
        <v>5272</v>
      </c>
      <c r="O95" s="7"/>
      <c r="P95" s="7" t="s">
        <v>5276</v>
      </c>
      <c r="Q95" s="7" t="s">
        <v>3594</v>
      </c>
      <c r="R95" s="7" t="s">
        <v>3517</v>
      </c>
      <c r="S95" s="7"/>
      <c r="T95" s="7" t="n">
        <v>31</v>
      </c>
      <c r="U95" s="7" t="s">
        <v>6043</v>
      </c>
      <c r="V95" s="7" t="s">
        <v>5269</v>
      </c>
      <c r="W95" s="7" t="s">
        <v>6234</v>
      </c>
      <c r="X95" s="7" t="s">
        <v>6235</v>
      </c>
      <c r="Y95" s="7"/>
      <c r="Z95" s="7"/>
      <c r="AA95" s="7" t="s">
        <v>6046</v>
      </c>
      <c r="AB95" s="7" t="s">
        <v>6041</v>
      </c>
    </row>
    <row r="96" customFormat="false" ht="48" hidden="false" customHeight="true" outlineLevel="0" collapsed="false">
      <c r="A96" s="7" t="n">
        <v>93</v>
      </c>
      <c r="B96" s="7" t="n">
        <v>2367</v>
      </c>
      <c r="C96" s="7" t="s">
        <v>5367</v>
      </c>
      <c r="D96" s="7" t="s">
        <v>26</v>
      </c>
      <c r="E96" s="7" t="s">
        <v>3217</v>
      </c>
      <c r="F96" s="7" t="s">
        <v>3218</v>
      </c>
      <c r="G96" s="7" t="s">
        <v>3511</v>
      </c>
      <c r="H96" s="7" t="n">
        <v>96</v>
      </c>
      <c r="I96" s="7" t="s">
        <v>16</v>
      </c>
      <c r="J96" s="7" t="s">
        <v>16</v>
      </c>
      <c r="K96" s="7" t="s">
        <v>6040</v>
      </c>
      <c r="L96" s="7" t="s">
        <v>6041</v>
      </c>
      <c r="M96" s="7" t="s">
        <v>6042</v>
      </c>
      <c r="N96" s="7"/>
      <c r="O96" s="7"/>
      <c r="P96" s="7" t="s">
        <v>5268</v>
      </c>
      <c r="Q96" s="7" t="s">
        <v>3600</v>
      </c>
      <c r="R96" s="7" t="s">
        <v>3517</v>
      </c>
      <c r="S96" s="7"/>
      <c r="T96" s="7" t="n">
        <v>32</v>
      </c>
      <c r="U96" s="7" t="s">
        <v>6043</v>
      </c>
      <c r="V96" s="7" t="s">
        <v>5269</v>
      </c>
      <c r="W96" s="7" t="s">
        <v>6236</v>
      </c>
      <c r="X96" s="7" t="s">
        <v>6237</v>
      </c>
      <c r="Y96" s="7"/>
      <c r="Z96" s="7"/>
      <c r="AA96" s="7" t="s">
        <v>6046</v>
      </c>
      <c r="AB96" s="7" t="s">
        <v>6041</v>
      </c>
    </row>
    <row r="97" customFormat="false" ht="48" hidden="false" customHeight="true" outlineLevel="0" collapsed="false">
      <c r="A97" s="7" t="n">
        <v>94</v>
      </c>
      <c r="B97" s="7" t="n">
        <v>2368</v>
      </c>
      <c r="C97" s="7" t="s">
        <v>5368</v>
      </c>
      <c r="D97" s="7" t="s">
        <v>26</v>
      </c>
      <c r="E97" s="7" t="s">
        <v>3217</v>
      </c>
      <c r="F97" s="7" t="s">
        <v>3218</v>
      </c>
      <c r="G97" s="7" t="s">
        <v>3601</v>
      </c>
      <c r="H97" s="7" t="n">
        <v>97</v>
      </c>
      <c r="I97" s="7" t="s">
        <v>16</v>
      </c>
      <c r="J97" s="7" t="s">
        <v>16</v>
      </c>
      <c r="K97" s="7" t="s">
        <v>6040</v>
      </c>
      <c r="L97" s="7" t="s">
        <v>6041</v>
      </c>
      <c r="M97" s="7" t="s">
        <v>6047</v>
      </c>
      <c r="N97" s="7" t="s">
        <v>5272</v>
      </c>
      <c r="O97" s="7"/>
      <c r="P97" s="7" t="s">
        <v>5274</v>
      </c>
      <c r="Q97" s="7" t="s">
        <v>3603</v>
      </c>
      <c r="R97" s="7" t="s">
        <v>3607</v>
      </c>
      <c r="S97" s="7"/>
      <c r="T97" s="7" t="n">
        <v>33</v>
      </c>
      <c r="U97" s="7" t="s">
        <v>6043</v>
      </c>
      <c r="V97" s="7" t="s">
        <v>5269</v>
      </c>
      <c r="W97" s="7" t="s">
        <v>6238</v>
      </c>
      <c r="X97" s="7" t="s">
        <v>6239</v>
      </c>
      <c r="Y97" s="7"/>
      <c r="Z97" s="7"/>
      <c r="AA97" s="7" t="s">
        <v>6046</v>
      </c>
      <c r="AB97" s="7" t="s">
        <v>6041</v>
      </c>
    </row>
    <row r="98" customFormat="false" ht="48" hidden="false" customHeight="true" outlineLevel="0" collapsed="false">
      <c r="A98" s="7" t="n">
        <v>95</v>
      </c>
      <c r="B98" s="7" t="n">
        <v>2369</v>
      </c>
      <c r="C98" s="7" t="s">
        <v>5369</v>
      </c>
      <c r="D98" s="7" t="s">
        <v>26</v>
      </c>
      <c r="E98" s="7" t="s">
        <v>3217</v>
      </c>
      <c r="F98" s="7" t="s">
        <v>3218</v>
      </c>
      <c r="G98" s="7" t="s">
        <v>3601</v>
      </c>
      <c r="H98" s="7" t="n">
        <v>98</v>
      </c>
      <c r="I98" s="7" t="s">
        <v>16</v>
      </c>
      <c r="J98" s="7" t="s">
        <v>16</v>
      </c>
      <c r="K98" s="7" t="s">
        <v>6040</v>
      </c>
      <c r="L98" s="7" t="s">
        <v>6041</v>
      </c>
      <c r="M98" s="7" t="s">
        <v>6047</v>
      </c>
      <c r="N98" s="7" t="s">
        <v>5272</v>
      </c>
      <c r="O98" s="7"/>
      <c r="P98" s="7" t="s">
        <v>5268</v>
      </c>
      <c r="Q98" s="7" t="s">
        <v>3612</v>
      </c>
      <c r="R98" s="7" t="s">
        <v>3607</v>
      </c>
      <c r="S98" s="7"/>
      <c r="T98" s="7" t="n">
        <v>33</v>
      </c>
      <c r="U98" s="7" t="s">
        <v>6043</v>
      </c>
      <c r="V98" s="7" t="s">
        <v>5269</v>
      </c>
      <c r="W98" s="7" t="s">
        <v>6240</v>
      </c>
      <c r="X98" s="7" t="s">
        <v>6241</v>
      </c>
      <c r="Y98" s="7"/>
      <c r="Z98" s="7"/>
      <c r="AA98" s="7" t="s">
        <v>6046</v>
      </c>
      <c r="AB98" s="7" t="s">
        <v>6041</v>
      </c>
    </row>
    <row r="99" customFormat="false" ht="48" hidden="false" customHeight="true" outlineLevel="0" collapsed="false">
      <c r="A99" s="7" t="n">
        <v>96</v>
      </c>
      <c r="B99" s="7" t="n">
        <v>2370</v>
      </c>
      <c r="C99" s="7" t="s">
        <v>5370</v>
      </c>
      <c r="D99" s="7" t="s">
        <v>26</v>
      </c>
      <c r="E99" s="7" t="s">
        <v>3217</v>
      </c>
      <c r="F99" s="7" t="s">
        <v>3218</v>
      </c>
      <c r="G99" s="7" t="s">
        <v>3601</v>
      </c>
      <c r="H99" s="7" t="n">
        <v>99</v>
      </c>
      <c r="I99" s="7" t="s">
        <v>16</v>
      </c>
      <c r="J99" s="7" t="s">
        <v>16</v>
      </c>
      <c r="K99" s="7" t="s">
        <v>6040</v>
      </c>
      <c r="L99" s="7" t="s">
        <v>6041</v>
      </c>
      <c r="M99" s="7" t="s">
        <v>6042</v>
      </c>
      <c r="N99" s="7"/>
      <c r="O99" s="7"/>
      <c r="P99" s="7" t="s">
        <v>5274</v>
      </c>
      <c r="Q99" s="7" t="s">
        <v>3613</v>
      </c>
      <c r="R99" s="7" t="s">
        <v>3607</v>
      </c>
      <c r="S99" s="7"/>
      <c r="T99" s="7" t="n">
        <v>33</v>
      </c>
      <c r="U99" s="7" t="s">
        <v>6043</v>
      </c>
      <c r="V99" s="7" t="s">
        <v>5269</v>
      </c>
      <c r="W99" s="7" t="s">
        <v>6242</v>
      </c>
      <c r="X99" s="7" t="s">
        <v>6243</v>
      </c>
      <c r="Y99" s="7"/>
      <c r="Z99" s="7"/>
      <c r="AA99" s="7" t="s">
        <v>6046</v>
      </c>
      <c r="AB99" s="7" t="s">
        <v>6041</v>
      </c>
    </row>
    <row r="100" customFormat="false" ht="48" hidden="false" customHeight="true" outlineLevel="0" collapsed="false">
      <c r="A100" s="7" t="n">
        <v>97</v>
      </c>
      <c r="B100" s="7" t="n">
        <v>2371</v>
      </c>
      <c r="C100" s="7" t="s">
        <v>5371</v>
      </c>
      <c r="D100" s="7" t="s">
        <v>26</v>
      </c>
      <c r="E100" s="7" t="s">
        <v>3217</v>
      </c>
      <c r="F100" s="7" t="s">
        <v>3218</v>
      </c>
      <c r="G100" s="7" t="s">
        <v>3601</v>
      </c>
      <c r="H100" s="7" t="n">
        <v>100</v>
      </c>
      <c r="I100" s="7" t="s">
        <v>16</v>
      </c>
      <c r="J100" s="7" t="s">
        <v>16</v>
      </c>
      <c r="K100" s="7" t="s">
        <v>6040</v>
      </c>
      <c r="L100" s="7" t="s">
        <v>6041</v>
      </c>
      <c r="M100" s="7" t="s">
        <v>6042</v>
      </c>
      <c r="N100" s="7"/>
      <c r="O100" s="7"/>
      <c r="P100" s="7" t="s">
        <v>5274</v>
      </c>
      <c r="Q100" s="7" t="s">
        <v>3617</v>
      </c>
      <c r="R100" s="7" t="s">
        <v>3607</v>
      </c>
      <c r="S100" s="7"/>
      <c r="T100" s="7" t="n">
        <v>34</v>
      </c>
      <c r="U100" s="7" t="s">
        <v>6043</v>
      </c>
      <c r="V100" s="7" t="s">
        <v>5269</v>
      </c>
      <c r="W100" s="7" t="s">
        <v>6244</v>
      </c>
      <c r="X100" s="7" t="s">
        <v>6245</v>
      </c>
      <c r="Y100" s="7"/>
      <c r="Z100" s="7"/>
      <c r="AA100" s="7" t="s">
        <v>6046</v>
      </c>
      <c r="AB100" s="7" t="s">
        <v>6041</v>
      </c>
    </row>
    <row r="101" customFormat="false" ht="48" hidden="false" customHeight="true" outlineLevel="0" collapsed="false">
      <c r="A101" s="7" t="n">
        <v>98</v>
      </c>
      <c r="B101" s="7" t="n">
        <v>2372</v>
      </c>
      <c r="C101" s="7" t="s">
        <v>5372</v>
      </c>
      <c r="D101" s="7" t="s">
        <v>26</v>
      </c>
      <c r="E101" s="7" t="s">
        <v>3217</v>
      </c>
      <c r="F101" s="7" t="s">
        <v>3218</v>
      </c>
      <c r="G101" s="7" t="s">
        <v>3601</v>
      </c>
      <c r="H101" s="7" t="n">
        <v>101</v>
      </c>
      <c r="I101" s="7" t="s">
        <v>16</v>
      </c>
      <c r="J101" s="7" t="s">
        <v>16</v>
      </c>
      <c r="K101" s="7" t="s">
        <v>6040</v>
      </c>
      <c r="L101" s="7" t="s">
        <v>6041</v>
      </c>
      <c r="M101" s="7" t="s">
        <v>6042</v>
      </c>
      <c r="N101" s="7"/>
      <c r="O101" s="7"/>
      <c r="P101" s="7" t="s">
        <v>5276</v>
      </c>
      <c r="Q101" s="7" t="s">
        <v>3622</v>
      </c>
      <c r="R101" s="7" t="s">
        <v>3607</v>
      </c>
      <c r="S101" s="7"/>
      <c r="T101" s="7" t="n">
        <v>34</v>
      </c>
      <c r="U101" s="7" t="s">
        <v>6043</v>
      </c>
      <c r="V101" s="7" t="s">
        <v>5269</v>
      </c>
      <c r="W101" s="7" t="s">
        <v>6246</v>
      </c>
      <c r="X101" s="7" t="s">
        <v>6247</v>
      </c>
      <c r="Y101" s="7" t="s">
        <v>6248</v>
      </c>
      <c r="Z101" s="7"/>
      <c r="AA101" s="7" t="s">
        <v>6046</v>
      </c>
      <c r="AB101" s="7" t="s">
        <v>6041</v>
      </c>
    </row>
    <row r="102" customFormat="false" ht="48" hidden="false" customHeight="true" outlineLevel="0" collapsed="false">
      <c r="A102" s="7" t="n">
        <v>99</v>
      </c>
      <c r="B102" s="7" t="n">
        <v>2373</v>
      </c>
      <c r="C102" s="7" t="s">
        <v>5373</v>
      </c>
      <c r="D102" s="7" t="s">
        <v>26</v>
      </c>
      <c r="E102" s="7" t="s">
        <v>3217</v>
      </c>
      <c r="F102" s="7" t="s">
        <v>3218</v>
      </c>
      <c r="G102" s="7" t="s">
        <v>3601</v>
      </c>
      <c r="H102" s="7" t="n">
        <v>102</v>
      </c>
      <c r="I102" s="7" t="s">
        <v>16</v>
      </c>
      <c r="J102" s="7" t="s">
        <v>16</v>
      </c>
      <c r="K102" s="7" t="s">
        <v>6040</v>
      </c>
      <c r="L102" s="7" t="s">
        <v>6041</v>
      </c>
      <c r="M102" s="7" t="s">
        <v>6047</v>
      </c>
      <c r="N102" s="7" t="s">
        <v>5272</v>
      </c>
      <c r="O102" s="7"/>
      <c r="P102" s="7" t="s">
        <v>5276</v>
      </c>
      <c r="Q102" s="7" t="s">
        <v>3627</v>
      </c>
      <c r="R102" s="7" t="s">
        <v>3630</v>
      </c>
      <c r="S102" s="7"/>
      <c r="T102" s="7" t="n">
        <v>35</v>
      </c>
      <c r="U102" s="7" t="s">
        <v>6043</v>
      </c>
      <c r="V102" s="7" t="s">
        <v>5269</v>
      </c>
      <c r="W102" s="7" t="s">
        <v>6249</v>
      </c>
      <c r="X102" s="7" t="s">
        <v>6250</v>
      </c>
      <c r="Y102" s="7"/>
      <c r="Z102" s="7" t="s">
        <v>5853</v>
      </c>
      <c r="AA102" s="7" t="s">
        <v>6046</v>
      </c>
      <c r="AB102" s="7" t="s">
        <v>6041</v>
      </c>
    </row>
    <row r="103" customFormat="false" ht="48" hidden="false" customHeight="true" outlineLevel="0" collapsed="false">
      <c r="A103" s="7" t="n">
        <v>100</v>
      </c>
      <c r="B103" s="7" t="n">
        <v>2374</v>
      </c>
      <c r="C103" s="7" t="s">
        <v>5374</v>
      </c>
      <c r="D103" s="7" t="s">
        <v>26</v>
      </c>
      <c r="E103" s="7" t="s">
        <v>3217</v>
      </c>
      <c r="F103" s="7" t="s">
        <v>3218</v>
      </c>
      <c r="G103" s="7" t="s">
        <v>3601</v>
      </c>
      <c r="H103" s="7" t="n">
        <v>103</v>
      </c>
      <c r="I103" s="7" t="s">
        <v>16</v>
      </c>
      <c r="J103" s="7" t="s">
        <v>16</v>
      </c>
      <c r="K103" s="7" t="s">
        <v>6040</v>
      </c>
      <c r="L103" s="7" t="s">
        <v>6041</v>
      </c>
      <c r="M103" s="7" t="s">
        <v>6042</v>
      </c>
      <c r="N103" s="7"/>
      <c r="O103" s="7"/>
      <c r="P103" s="7" t="s">
        <v>5268</v>
      </c>
      <c r="Q103" s="7" t="s">
        <v>3360</v>
      </c>
      <c r="R103" s="7" t="s">
        <v>3630</v>
      </c>
      <c r="S103" s="7"/>
      <c r="T103" s="7" t="n">
        <v>35</v>
      </c>
      <c r="U103" s="7" t="s">
        <v>6043</v>
      </c>
      <c r="V103" s="7" t="s">
        <v>5269</v>
      </c>
      <c r="W103" s="7" t="s">
        <v>6251</v>
      </c>
      <c r="X103" s="7" t="s">
        <v>6252</v>
      </c>
      <c r="Y103" s="7"/>
      <c r="Z103" s="7" t="s">
        <v>5853</v>
      </c>
      <c r="AA103" s="7" t="s">
        <v>6046</v>
      </c>
      <c r="AB103" s="7" t="s">
        <v>6041</v>
      </c>
    </row>
    <row r="104" customFormat="false" ht="48" hidden="false" customHeight="true" outlineLevel="0" collapsed="false">
      <c r="A104" s="7" t="n">
        <v>101</v>
      </c>
      <c r="B104" s="7" t="n">
        <v>2375</v>
      </c>
      <c r="C104" s="7" t="s">
        <v>5375</v>
      </c>
      <c r="D104" s="7" t="s">
        <v>26</v>
      </c>
      <c r="E104" s="7" t="s">
        <v>3217</v>
      </c>
      <c r="F104" s="7" t="s">
        <v>3218</v>
      </c>
      <c r="G104" s="7" t="s">
        <v>3601</v>
      </c>
      <c r="H104" s="7" t="n">
        <v>104</v>
      </c>
      <c r="I104" s="7" t="s">
        <v>16</v>
      </c>
      <c r="J104" s="7" t="s">
        <v>16</v>
      </c>
      <c r="K104" s="7" t="s">
        <v>6040</v>
      </c>
      <c r="L104" s="7" t="s">
        <v>6041</v>
      </c>
      <c r="M104" s="7" t="s">
        <v>6042</v>
      </c>
      <c r="N104" s="7"/>
      <c r="O104" s="7"/>
      <c r="P104" s="7" t="s">
        <v>5271</v>
      </c>
      <c r="Q104" s="7" t="s">
        <v>3637</v>
      </c>
      <c r="R104" s="7" t="s">
        <v>3630</v>
      </c>
      <c r="S104" s="7"/>
      <c r="T104" s="7" t="n">
        <v>36</v>
      </c>
      <c r="U104" s="7" t="s">
        <v>6043</v>
      </c>
      <c r="V104" s="7" t="s">
        <v>5269</v>
      </c>
      <c r="W104" s="7" t="s">
        <v>6253</v>
      </c>
      <c r="X104" s="7" t="s">
        <v>6254</v>
      </c>
      <c r="Y104" s="7" t="s">
        <v>6255</v>
      </c>
      <c r="Z104" s="7" t="s">
        <v>5853</v>
      </c>
      <c r="AA104" s="7" t="s">
        <v>6046</v>
      </c>
      <c r="AB104" s="7" t="s">
        <v>6041</v>
      </c>
    </row>
    <row r="105" customFormat="false" ht="48" hidden="false" customHeight="true" outlineLevel="0" collapsed="false">
      <c r="A105" s="7" t="n">
        <v>102</v>
      </c>
      <c r="B105" s="7" t="n">
        <v>2376</v>
      </c>
      <c r="C105" s="7" t="s">
        <v>5376</v>
      </c>
      <c r="D105" s="7" t="s">
        <v>26</v>
      </c>
      <c r="E105" s="7" t="s">
        <v>3217</v>
      </c>
      <c r="F105" s="7" t="s">
        <v>3218</v>
      </c>
      <c r="G105" s="7" t="s">
        <v>3601</v>
      </c>
      <c r="H105" s="7" t="n">
        <v>105</v>
      </c>
      <c r="I105" s="7" t="s">
        <v>16</v>
      </c>
      <c r="J105" s="7" t="s">
        <v>16</v>
      </c>
      <c r="K105" s="7" t="s">
        <v>6040</v>
      </c>
      <c r="L105" s="7" t="s">
        <v>6041</v>
      </c>
      <c r="M105" s="7" t="s">
        <v>6047</v>
      </c>
      <c r="N105" s="7" t="s">
        <v>5272</v>
      </c>
      <c r="O105" s="7"/>
      <c r="P105" s="7" t="s">
        <v>5274</v>
      </c>
      <c r="Q105" s="7" t="s">
        <v>3639</v>
      </c>
      <c r="R105" s="7" t="s">
        <v>3643</v>
      </c>
      <c r="S105" s="7"/>
      <c r="T105" s="7" t="n">
        <v>36</v>
      </c>
      <c r="U105" s="7" t="s">
        <v>6043</v>
      </c>
      <c r="V105" s="7" t="s">
        <v>5269</v>
      </c>
      <c r="W105" s="7" t="s">
        <v>6256</v>
      </c>
      <c r="X105" s="7" t="s">
        <v>6257</v>
      </c>
      <c r="Y105" s="7"/>
      <c r="Z105" s="7" t="s">
        <v>5861</v>
      </c>
      <c r="AA105" s="7" t="s">
        <v>6046</v>
      </c>
      <c r="AB105" s="7" t="s">
        <v>6041</v>
      </c>
    </row>
    <row r="106" customFormat="false" ht="48" hidden="false" customHeight="true" outlineLevel="0" collapsed="false">
      <c r="A106" s="7" t="n">
        <v>103</v>
      </c>
      <c r="B106" s="7" t="n">
        <v>2377</v>
      </c>
      <c r="C106" s="7" t="s">
        <v>5377</v>
      </c>
      <c r="D106" s="7" t="s">
        <v>26</v>
      </c>
      <c r="E106" s="7" t="s">
        <v>3217</v>
      </c>
      <c r="F106" s="7" t="s">
        <v>3218</v>
      </c>
      <c r="G106" s="7" t="s">
        <v>3601</v>
      </c>
      <c r="H106" s="7" t="n">
        <v>106</v>
      </c>
      <c r="I106" s="7" t="s">
        <v>16</v>
      </c>
      <c r="J106" s="7" t="s">
        <v>16</v>
      </c>
      <c r="K106" s="7" t="s">
        <v>6040</v>
      </c>
      <c r="L106" s="7" t="s">
        <v>6041</v>
      </c>
      <c r="M106" s="7" t="s">
        <v>6042</v>
      </c>
      <c r="N106" s="7"/>
      <c r="O106" s="7"/>
      <c r="P106" s="7" t="s">
        <v>5268</v>
      </c>
      <c r="Q106" s="7" t="s">
        <v>3647</v>
      </c>
      <c r="R106" s="7" t="s">
        <v>3643</v>
      </c>
      <c r="S106" s="7"/>
      <c r="T106" s="7" t="n">
        <v>36</v>
      </c>
      <c r="U106" s="7" t="s">
        <v>6043</v>
      </c>
      <c r="V106" s="7" t="s">
        <v>5269</v>
      </c>
      <c r="W106" s="7" t="s">
        <v>6258</v>
      </c>
      <c r="X106" s="7" t="s">
        <v>6259</v>
      </c>
      <c r="Y106" s="7"/>
      <c r="Z106" s="7" t="s">
        <v>5861</v>
      </c>
      <c r="AA106" s="7" t="s">
        <v>6046</v>
      </c>
      <c r="AB106" s="7" t="s">
        <v>6041</v>
      </c>
    </row>
    <row r="107" customFormat="false" ht="48" hidden="false" customHeight="true" outlineLevel="0" collapsed="false">
      <c r="A107" s="7" t="n">
        <v>104</v>
      </c>
      <c r="B107" s="7" t="n">
        <v>2378</v>
      </c>
      <c r="C107" s="7" t="s">
        <v>5378</v>
      </c>
      <c r="D107" s="7" t="s">
        <v>26</v>
      </c>
      <c r="E107" s="7" t="s">
        <v>3217</v>
      </c>
      <c r="F107" s="7" t="s">
        <v>3218</v>
      </c>
      <c r="G107" s="7" t="s">
        <v>3601</v>
      </c>
      <c r="H107" s="7" t="n">
        <v>107</v>
      </c>
      <c r="I107" s="7" t="s">
        <v>16</v>
      </c>
      <c r="J107" s="7" t="s">
        <v>16</v>
      </c>
      <c r="K107" s="7" t="s">
        <v>6040</v>
      </c>
      <c r="L107" s="7" t="s">
        <v>6041</v>
      </c>
      <c r="M107" s="7" t="s">
        <v>6047</v>
      </c>
      <c r="N107" s="7" t="s">
        <v>5272</v>
      </c>
      <c r="O107" s="7"/>
      <c r="P107" s="7" t="s">
        <v>5276</v>
      </c>
      <c r="Q107" s="7" t="s">
        <v>3649</v>
      </c>
      <c r="R107" s="7" t="s">
        <v>3643</v>
      </c>
      <c r="S107" s="7"/>
      <c r="T107" s="7" t="n">
        <v>37</v>
      </c>
      <c r="U107" s="7" t="s">
        <v>6043</v>
      </c>
      <c r="V107" s="7" t="s">
        <v>5269</v>
      </c>
      <c r="W107" s="7" t="s">
        <v>6260</v>
      </c>
      <c r="X107" s="7" t="s">
        <v>6261</v>
      </c>
      <c r="Y107" s="7"/>
      <c r="Z107" s="7" t="s">
        <v>5861</v>
      </c>
      <c r="AA107" s="7" t="s">
        <v>6046</v>
      </c>
      <c r="AB107" s="7" t="s">
        <v>6041</v>
      </c>
    </row>
    <row r="108" customFormat="false" ht="48" hidden="false" customHeight="true" outlineLevel="0" collapsed="false">
      <c r="A108" s="7" t="n">
        <v>105</v>
      </c>
      <c r="B108" s="7" t="n">
        <v>2379</v>
      </c>
      <c r="C108" s="7" t="s">
        <v>5379</v>
      </c>
      <c r="D108" s="7" t="s">
        <v>26</v>
      </c>
      <c r="E108" s="7" t="s">
        <v>3217</v>
      </c>
      <c r="F108" s="7" t="s">
        <v>3218</v>
      </c>
      <c r="G108" s="7" t="s">
        <v>3601</v>
      </c>
      <c r="H108" s="7" t="n">
        <v>108</v>
      </c>
      <c r="I108" s="7" t="s">
        <v>16</v>
      </c>
      <c r="J108" s="7" t="s">
        <v>16</v>
      </c>
      <c r="K108" s="7" t="s">
        <v>6040</v>
      </c>
      <c r="L108" s="7" t="s">
        <v>6041</v>
      </c>
      <c r="M108" s="7" t="s">
        <v>6042</v>
      </c>
      <c r="N108" s="7"/>
      <c r="O108" s="7"/>
      <c r="P108" s="7" t="s">
        <v>5271</v>
      </c>
      <c r="Q108" s="7" t="s">
        <v>3654</v>
      </c>
      <c r="R108" s="7" t="s">
        <v>3643</v>
      </c>
      <c r="S108" s="7"/>
      <c r="T108" s="7" t="n">
        <v>37</v>
      </c>
      <c r="U108" s="7" t="s">
        <v>6043</v>
      </c>
      <c r="V108" s="7" t="s">
        <v>5269</v>
      </c>
      <c r="W108" s="7" t="s">
        <v>6262</v>
      </c>
      <c r="X108" s="7" t="s">
        <v>6263</v>
      </c>
      <c r="Y108" s="7" t="s">
        <v>6264</v>
      </c>
      <c r="Z108" s="7" t="s">
        <v>5861</v>
      </c>
      <c r="AA108" s="7" t="s">
        <v>6046</v>
      </c>
      <c r="AB108" s="7" t="s">
        <v>6041</v>
      </c>
    </row>
    <row r="109" customFormat="false" ht="48" hidden="false" customHeight="true" outlineLevel="0" collapsed="false">
      <c r="A109" s="7" t="n">
        <v>106</v>
      </c>
      <c r="B109" s="7" t="n">
        <v>2380</v>
      </c>
      <c r="C109" s="7" t="s">
        <v>5380</v>
      </c>
      <c r="D109" s="7" t="s">
        <v>26</v>
      </c>
      <c r="E109" s="7" t="s">
        <v>3217</v>
      </c>
      <c r="F109" s="7" t="s">
        <v>3218</v>
      </c>
      <c r="G109" s="7" t="s">
        <v>3601</v>
      </c>
      <c r="H109" s="7" t="n">
        <v>109</v>
      </c>
      <c r="I109" s="7" t="s">
        <v>16</v>
      </c>
      <c r="J109" s="7" t="s">
        <v>16</v>
      </c>
      <c r="K109" s="7" t="s">
        <v>6040</v>
      </c>
      <c r="L109" s="7" t="s">
        <v>6041</v>
      </c>
      <c r="M109" s="7" t="s">
        <v>6042</v>
      </c>
      <c r="N109" s="7"/>
      <c r="O109" s="7"/>
      <c r="P109" s="7" t="s">
        <v>5268</v>
      </c>
      <c r="Q109" s="7" t="s">
        <v>3660</v>
      </c>
      <c r="R109" s="7" t="s">
        <v>3661</v>
      </c>
      <c r="S109" s="7"/>
      <c r="T109" s="7" t="n">
        <v>38</v>
      </c>
      <c r="U109" s="7" t="s">
        <v>6043</v>
      </c>
      <c r="V109" s="7" t="s">
        <v>5269</v>
      </c>
      <c r="W109" s="7" t="s">
        <v>6265</v>
      </c>
      <c r="X109" s="7" t="s">
        <v>6266</v>
      </c>
      <c r="Y109" s="7"/>
      <c r="Z109" s="7" t="s">
        <v>5866</v>
      </c>
      <c r="AA109" s="7" t="s">
        <v>6046</v>
      </c>
      <c r="AB109" s="7" t="s">
        <v>6041</v>
      </c>
    </row>
    <row r="110" customFormat="false" ht="48" hidden="false" customHeight="true" outlineLevel="0" collapsed="false">
      <c r="A110" s="7" t="n">
        <v>107</v>
      </c>
      <c r="B110" s="7" t="n">
        <v>2381</v>
      </c>
      <c r="C110" s="7" t="s">
        <v>5381</v>
      </c>
      <c r="D110" s="7" t="s">
        <v>26</v>
      </c>
      <c r="E110" s="7" t="s">
        <v>3217</v>
      </c>
      <c r="F110" s="7" t="s">
        <v>3218</v>
      </c>
      <c r="G110" s="7" t="s">
        <v>3601</v>
      </c>
      <c r="H110" s="7" t="n">
        <v>110</v>
      </c>
      <c r="I110" s="7" t="s">
        <v>16</v>
      </c>
      <c r="J110" s="7" t="s">
        <v>16</v>
      </c>
      <c r="K110" s="7" t="s">
        <v>6040</v>
      </c>
      <c r="L110" s="7" t="s">
        <v>6041</v>
      </c>
      <c r="M110" s="7" t="s">
        <v>6047</v>
      </c>
      <c r="N110" s="7" t="s">
        <v>5272</v>
      </c>
      <c r="O110" s="7"/>
      <c r="P110" s="7" t="s">
        <v>5271</v>
      </c>
      <c r="Q110" s="7" t="s">
        <v>3665</v>
      </c>
      <c r="R110" s="7" t="s">
        <v>3661</v>
      </c>
      <c r="S110" s="7"/>
      <c r="T110" s="7" t="n">
        <v>38</v>
      </c>
      <c r="U110" s="7" t="s">
        <v>6043</v>
      </c>
      <c r="V110" s="7" t="s">
        <v>5269</v>
      </c>
      <c r="W110" s="7" t="s">
        <v>6267</v>
      </c>
      <c r="X110" s="7" t="s">
        <v>6268</v>
      </c>
      <c r="Y110" s="7" t="s">
        <v>6269</v>
      </c>
      <c r="Z110" s="7" t="s">
        <v>5866</v>
      </c>
      <c r="AA110" s="7" t="s">
        <v>6046</v>
      </c>
      <c r="AB110" s="7" t="s">
        <v>6041</v>
      </c>
    </row>
    <row r="111" customFormat="false" ht="48" hidden="false" customHeight="true" outlineLevel="0" collapsed="false">
      <c r="A111" s="7" t="n">
        <v>108</v>
      </c>
      <c r="B111" s="7" t="n">
        <v>2382</v>
      </c>
      <c r="C111" s="7" t="s">
        <v>5382</v>
      </c>
      <c r="D111" s="7" t="s">
        <v>26</v>
      </c>
      <c r="E111" s="7" t="s">
        <v>3217</v>
      </c>
      <c r="F111" s="7" t="s">
        <v>3218</v>
      </c>
      <c r="G111" s="7" t="s">
        <v>3601</v>
      </c>
      <c r="H111" s="7" t="n">
        <v>111</v>
      </c>
      <c r="I111" s="7" t="s">
        <v>16</v>
      </c>
      <c r="J111" s="7" t="s">
        <v>16</v>
      </c>
      <c r="K111" s="7" t="s">
        <v>6040</v>
      </c>
      <c r="L111" s="7" t="s">
        <v>6041</v>
      </c>
      <c r="M111" s="7" t="s">
        <v>6042</v>
      </c>
      <c r="N111" s="7"/>
      <c r="O111" s="7"/>
      <c r="P111" s="7" t="s">
        <v>5268</v>
      </c>
      <c r="Q111" s="7" t="s">
        <v>3510</v>
      </c>
      <c r="R111" s="7" t="s">
        <v>3671</v>
      </c>
      <c r="S111" s="7"/>
      <c r="T111" s="7" t="n">
        <v>39</v>
      </c>
      <c r="U111" s="7" t="s">
        <v>6043</v>
      </c>
      <c r="V111" s="7" t="s">
        <v>5269</v>
      </c>
      <c r="W111" s="7" t="s">
        <v>6270</v>
      </c>
      <c r="X111" s="7" t="s">
        <v>6271</v>
      </c>
      <c r="Y111" s="7"/>
      <c r="Z111" s="7" t="s">
        <v>5871</v>
      </c>
      <c r="AA111" s="7" t="s">
        <v>6046</v>
      </c>
      <c r="AB111" s="7" t="s">
        <v>6041</v>
      </c>
    </row>
    <row r="112" customFormat="false" ht="48" hidden="false" customHeight="true" outlineLevel="0" collapsed="false">
      <c r="A112" s="7" t="n">
        <v>109</v>
      </c>
      <c r="B112" s="7" t="n">
        <v>2383</v>
      </c>
      <c r="C112" s="7" t="s">
        <v>5383</v>
      </c>
      <c r="D112" s="7" t="s">
        <v>26</v>
      </c>
      <c r="E112" s="7" t="s">
        <v>3217</v>
      </c>
      <c r="F112" s="7" t="s">
        <v>3218</v>
      </c>
      <c r="G112" s="7" t="s">
        <v>3601</v>
      </c>
      <c r="H112" s="7" t="n">
        <v>112</v>
      </c>
      <c r="I112" s="7" t="s">
        <v>16</v>
      </c>
      <c r="J112" s="7" t="s">
        <v>16</v>
      </c>
      <c r="K112" s="7" t="s">
        <v>6040</v>
      </c>
      <c r="L112" s="7" t="s">
        <v>6041</v>
      </c>
      <c r="M112" s="7" t="s">
        <v>6047</v>
      </c>
      <c r="N112" s="7" t="s">
        <v>5272</v>
      </c>
      <c r="O112" s="7"/>
      <c r="P112" s="7" t="s">
        <v>5274</v>
      </c>
      <c r="Q112" s="7" t="s">
        <v>3673</v>
      </c>
      <c r="R112" s="7" t="s">
        <v>3671</v>
      </c>
      <c r="S112" s="7"/>
      <c r="T112" s="7" t="n">
        <v>39</v>
      </c>
      <c r="U112" s="7" t="s">
        <v>6043</v>
      </c>
      <c r="V112" s="7" t="s">
        <v>5269</v>
      </c>
      <c r="W112" s="7" t="s">
        <v>6272</v>
      </c>
      <c r="X112" s="7" t="s">
        <v>6273</v>
      </c>
      <c r="Y112" s="7"/>
      <c r="Z112" s="7" t="s">
        <v>5871</v>
      </c>
      <c r="AA112" s="7" t="s">
        <v>6046</v>
      </c>
      <c r="AB112" s="7" t="s">
        <v>6041</v>
      </c>
    </row>
    <row r="113" customFormat="false" ht="48" hidden="false" customHeight="true" outlineLevel="0" collapsed="false">
      <c r="A113" s="7" t="n">
        <v>110</v>
      </c>
      <c r="B113" s="7" t="n">
        <v>2384</v>
      </c>
      <c r="C113" s="7" t="s">
        <v>5384</v>
      </c>
      <c r="D113" s="7" t="s">
        <v>26</v>
      </c>
      <c r="E113" s="7" t="s">
        <v>3217</v>
      </c>
      <c r="F113" s="7" t="s">
        <v>3218</v>
      </c>
      <c r="G113" s="7" t="s">
        <v>3601</v>
      </c>
      <c r="H113" s="7" t="n">
        <v>113</v>
      </c>
      <c r="I113" s="7" t="s">
        <v>16</v>
      </c>
      <c r="J113" s="7" t="s">
        <v>16</v>
      </c>
      <c r="K113" s="7" t="s">
        <v>6040</v>
      </c>
      <c r="L113" s="7" t="s">
        <v>6041</v>
      </c>
      <c r="M113" s="7" t="s">
        <v>6042</v>
      </c>
      <c r="N113" s="7"/>
      <c r="O113" s="7"/>
      <c r="P113" s="7" t="s">
        <v>5271</v>
      </c>
      <c r="Q113" s="7" t="s">
        <v>3679</v>
      </c>
      <c r="R113" s="7" t="s">
        <v>3671</v>
      </c>
      <c r="S113" s="7"/>
      <c r="T113" s="7" t="n">
        <v>40</v>
      </c>
      <c r="U113" s="7" t="s">
        <v>6043</v>
      </c>
      <c r="V113" s="7" t="s">
        <v>5269</v>
      </c>
      <c r="W113" s="7" t="s">
        <v>6274</v>
      </c>
      <c r="X113" s="7" t="s">
        <v>6275</v>
      </c>
      <c r="Y113" s="7"/>
      <c r="Z113" s="7" t="s">
        <v>5871</v>
      </c>
      <c r="AA113" s="7" t="s">
        <v>6046</v>
      </c>
      <c r="AB113" s="7" t="s">
        <v>6041</v>
      </c>
    </row>
    <row r="114" customFormat="false" ht="48" hidden="false" customHeight="true" outlineLevel="0" collapsed="false">
      <c r="A114" s="7" t="n">
        <v>111</v>
      </c>
      <c r="B114" s="7" t="n">
        <v>2385</v>
      </c>
      <c r="C114" s="7" t="s">
        <v>5385</v>
      </c>
      <c r="D114" s="7" t="s">
        <v>26</v>
      </c>
      <c r="E114" s="7" t="s">
        <v>3217</v>
      </c>
      <c r="F114" s="7" t="s">
        <v>3218</v>
      </c>
      <c r="G114" s="7" t="s">
        <v>3601</v>
      </c>
      <c r="H114" s="7" t="n">
        <v>114</v>
      </c>
      <c r="I114" s="7" t="s">
        <v>16</v>
      </c>
      <c r="J114" s="7" t="s">
        <v>16</v>
      </c>
      <c r="K114" s="7" t="s">
        <v>6040</v>
      </c>
      <c r="L114" s="7" t="s">
        <v>6041</v>
      </c>
      <c r="M114" s="7" t="s">
        <v>6042</v>
      </c>
      <c r="N114" s="7"/>
      <c r="O114" s="7"/>
      <c r="P114" s="7" t="s">
        <v>5268</v>
      </c>
      <c r="Q114" s="7" t="s">
        <v>3684</v>
      </c>
      <c r="R114" s="7" t="s">
        <v>3671</v>
      </c>
      <c r="S114" s="7"/>
      <c r="T114" s="7" t="n">
        <v>40</v>
      </c>
      <c r="U114" s="7" t="s">
        <v>6043</v>
      </c>
      <c r="V114" s="7" t="s">
        <v>5269</v>
      </c>
      <c r="W114" s="7" t="s">
        <v>6276</v>
      </c>
      <c r="X114" s="7" t="s">
        <v>6277</v>
      </c>
      <c r="Y114" s="7"/>
      <c r="Z114" s="7" t="s">
        <v>5871</v>
      </c>
      <c r="AA114" s="7" t="s">
        <v>6046</v>
      </c>
      <c r="AB114" s="7" t="s">
        <v>6041</v>
      </c>
    </row>
    <row r="115" customFormat="false" ht="48" hidden="false" customHeight="true" outlineLevel="0" collapsed="false">
      <c r="A115" s="7" t="n">
        <v>112</v>
      </c>
      <c r="B115" s="7" t="n">
        <v>2386</v>
      </c>
      <c r="C115" s="7" t="s">
        <v>5386</v>
      </c>
      <c r="D115" s="7" t="s">
        <v>26</v>
      </c>
      <c r="E115" s="7" t="s">
        <v>3217</v>
      </c>
      <c r="F115" s="7" t="s">
        <v>3218</v>
      </c>
      <c r="G115" s="7" t="s">
        <v>3601</v>
      </c>
      <c r="H115" s="7" t="n">
        <v>115</v>
      </c>
      <c r="I115" s="7" t="s">
        <v>16</v>
      </c>
      <c r="J115" s="7" t="s">
        <v>16</v>
      </c>
      <c r="K115" s="7" t="s">
        <v>6040</v>
      </c>
      <c r="L115" s="7" t="s">
        <v>6041</v>
      </c>
      <c r="M115" s="7" t="s">
        <v>6042</v>
      </c>
      <c r="N115" s="7"/>
      <c r="O115" s="7"/>
      <c r="P115" s="7" t="s">
        <v>5276</v>
      </c>
      <c r="Q115" s="7" t="s">
        <v>3686</v>
      </c>
      <c r="R115" s="7" t="s">
        <v>3671</v>
      </c>
      <c r="S115" s="7"/>
      <c r="T115" s="7" t="n">
        <v>40</v>
      </c>
      <c r="U115" s="7" t="s">
        <v>6043</v>
      </c>
      <c r="V115" s="7" t="s">
        <v>5269</v>
      </c>
      <c r="W115" s="7" t="s">
        <v>6278</v>
      </c>
      <c r="X115" s="7" t="s">
        <v>6279</v>
      </c>
      <c r="Y115" s="7"/>
      <c r="Z115" s="7" t="s">
        <v>5871</v>
      </c>
      <c r="AA115" s="7" t="s">
        <v>6046</v>
      </c>
      <c r="AB115" s="7" t="s">
        <v>6041</v>
      </c>
    </row>
    <row r="116" customFormat="false" ht="48" hidden="false" customHeight="true" outlineLevel="0" collapsed="false">
      <c r="A116" s="7" t="n">
        <v>113</v>
      </c>
      <c r="B116" s="7" t="n">
        <v>2387</v>
      </c>
      <c r="C116" s="7" t="s">
        <v>5387</v>
      </c>
      <c r="D116" s="7" t="s">
        <v>26</v>
      </c>
      <c r="E116" s="7" t="s">
        <v>3217</v>
      </c>
      <c r="F116" s="7" t="s">
        <v>3218</v>
      </c>
      <c r="G116" s="7" t="s">
        <v>3601</v>
      </c>
      <c r="H116" s="7" t="n">
        <v>116</v>
      </c>
      <c r="I116" s="7" t="s">
        <v>16</v>
      </c>
      <c r="J116" s="7" t="s">
        <v>16</v>
      </c>
      <c r="K116" s="7" t="s">
        <v>6040</v>
      </c>
      <c r="L116" s="7" t="s">
        <v>6041</v>
      </c>
      <c r="M116" s="7" t="s">
        <v>6042</v>
      </c>
      <c r="N116" s="7"/>
      <c r="O116" s="7"/>
      <c r="P116" s="7" t="s">
        <v>5276</v>
      </c>
      <c r="Q116" s="7" t="s">
        <v>3690</v>
      </c>
      <c r="R116" s="7" t="s">
        <v>3671</v>
      </c>
      <c r="S116" s="7"/>
      <c r="T116" s="7" t="n">
        <v>41</v>
      </c>
      <c r="U116" s="7" t="s">
        <v>6043</v>
      </c>
      <c r="V116" s="7" t="s">
        <v>5269</v>
      </c>
      <c r="W116" s="7" t="s">
        <v>6280</v>
      </c>
      <c r="X116" s="7" t="s">
        <v>6281</v>
      </c>
      <c r="Y116" s="7"/>
      <c r="Z116" s="7" t="s">
        <v>5871</v>
      </c>
      <c r="AA116" s="7" t="s">
        <v>6046</v>
      </c>
      <c r="AB116" s="7" t="s">
        <v>6041</v>
      </c>
    </row>
    <row r="117" customFormat="false" ht="48" hidden="false" customHeight="true" outlineLevel="0" collapsed="false">
      <c r="A117" s="7" t="n">
        <v>114</v>
      </c>
      <c r="B117" s="7" t="n">
        <v>2388</v>
      </c>
      <c r="C117" s="7" t="s">
        <v>5388</v>
      </c>
      <c r="D117" s="7" t="s">
        <v>26</v>
      </c>
      <c r="E117" s="7" t="s">
        <v>3217</v>
      </c>
      <c r="F117" s="7" t="s">
        <v>3218</v>
      </c>
      <c r="G117" s="7" t="s">
        <v>3601</v>
      </c>
      <c r="H117" s="7" t="n">
        <v>117</v>
      </c>
      <c r="I117" s="7" t="s">
        <v>16</v>
      </c>
      <c r="J117" s="7" t="s">
        <v>16</v>
      </c>
      <c r="K117" s="7" t="s">
        <v>6040</v>
      </c>
      <c r="L117" s="7" t="s">
        <v>6041</v>
      </c>
      <c r="M117" s="7" t="s">
        <v>6042</v>
      </c>
      <c r="N117" s="7"/>
      <c r="O117" s="7"/>
      <c r="P117" s="7" t="s">
        <v>5276</v>
      </c>
      <c r="Q117" s="7" t="s">
        <v>3694</v>
      </c>
      <c r="R117" s="7" t="s">
        <v>3671</v>
      </c>
      <c r="S117" s="7"/>
      <c r="T117" s="7" t="n">
        <v>41</v>
      </c>
      <c r="U117" s="7" t="s">
        <v>6043</v>
      </c>
      <c r="V117" s="7" t="s">
        <v>5269</v>
      </c>
      <c r="W117" s="7" t="s">
        <v>6282</v>
      </c>
      <c r="X117" s="7" t="s">
        <v>6283</v>
      </c>
      <c r="Y117" s="7"/>
      <c r="Z117" s="7" t="s">
        <v>5871</v>
      </c>
      <c r="AA117" s="7" t="s">
        <v>6046</v>
      </c>
      <c r="AB117" s="7" t="s">
        <v>6041</v>
      </c>
    </row>
    <row r="118" customFormat="false" ht="48" hidden="false" customHeight="true" outlineLevel="0" collapsed="false">
      <c r="A118" s="7" t="n">
        <v>115</v>
      </c>
      <c r="B118" s="7" t="n">
        <v>2389</v>
      </c>
      <c r="C118" s="7" t="s">
        <v>5389</v>
      </c>
      <c r="D118" s="7" t="s">
        <v>26</v>
      </c>
      <c r="E118" s="7" t="s">
        <v>3217</v>
      </c>
      <c r="F118" s="7" t="s">
        <v>3218</v>
      </c>
      <c r="G118" s="7" t="s">
        <v>3601</v>
      </c>
      <c r="H118" s="7" t="n">
        <v>118</v>
      </c>
      <c r="I118" s="7" t="s">
        <v>16</v>
      </c>
      <c r="J118" s="7" t="s">
        <v>16</v>
      </c>
      <c r="K118" s="7" t="s">
        <v>6040</v>
      </c>
      <c r="L118" s="7" t="s">
        <v>6041</v>
      </c>
      <c r="M118" s="7" t="s">
        <v>6042</v>
      </c>
      <c r="N118" s="7"/>
      <c r="O118" s="7"/>
      <c r="P118" s="7" t="s">
        <v>5271</v>
      </c>
      <c r="Q118" s="7" t="s">
        <v>3698</v>
      </c>
      <c r="R118" s="7" t="s">
        <v>3671</v>
      </c>
      <c r="S118" s="7"/>
      <c r="T118" s="7" t="n">
        <v>41</v>
      </c>
      <c r="U118" s="7" t="s">
        <v>6043</v>
      </c>
      <c r="V118" s="7" t="s">
        <v>5269</v>
      </c>
      <c r="W118" s="7" t="s">
        <v>6284</v>
      </c>
      <c r="X118" s="7" t="s">
        <v>6285</v>
      </c>
      <c r="Y118" s="7"/>
      <c r="Z118" s="7" t="s">
        <v>5871</v>
      </c>
      <c r="AA118" s="7" t="s">
        <v>6046</v>
      </c>
      <c r="AB118" s="7" t="s">
        <v>6041</v>
      </c>
    </row>
    <row r="119" customFormat="false" ht="48" hidden="false" customHeight="true" outlineLevel="0" collapsed="false">
      <c r="A119" s="7" t="n">
        <v>116</v>
      </c>
      <c r="B119" s="7" t="n">
        <v>2390</v>
      </c>
      <c r="C119" s="7" t="s">
        <v>5390</v>
      </c>
      <c r="D119" s="7" t="s">
        <v>26</v>
      </c>
      <c r="E119" s="7" t="s">
        <v>3217</v>
      </c>
      <c r="F119" s="7" t="s">
        <v>3218</v>
      </c>
      <c r="G119" s="7" t="s">
        <v>3601</v>
      </c>
      <c r="H119" s="7" t="n">
        <v>119</v>
      </c>
      <c r="I119" s="7" t="s">
        <v>16</v>
      </c>
      <c r="J119" s="7" t="s">
        <v>16</v>
      </c>
      <c r="K119" s="7" t="s">
        <v>6040</v>
      </c>
      <c r="L119" s="7" t="s">
        <v>6041</v>
      </c>
      <c r="M119" s="7" t="s">
        <v>6042</v>
      </c>
      <c r="N119" s="7"/>
      <c r="O119" s="7"/>
      <c r="P119" s="7" t="s">
        <v>5271</v>
      </c>
      <c r="Q119" s="7" t="s">
        <v>3702</v>
      </c>
      <c r="R119" s="7" t="s">
        <v>3671</v>
      </c>
      <c r="S119" s="7"/>
      <c r="T119" s="7" t="n">
        <v>42</v>
      </c>
      <c r="U119" s="7" t="s">
        <v>6043</v>
      </c>
      <c r="V119" s="7" t="s">
        <v>5269</v>
      </c>
      <c r="W119" s="7" t="s">
        <v>6286</v>
      </c>
      <c r="X119" s="7" t="s">
        <v>6287</v>
      </c>
      <c r="Y119" s="7"/>
      <c r="Z119" s="7" t="s">
        <v>5871</v>
      </c>
      <c r="AA119" s="7" t="s">
        <v>6046</v>
      </c>
      <c r="AB119" s="7" t="s">
        <v>6041</v>
      </c>
    </row>
    <row r="120" customFormat="false" ht="48" hidden="false" customHeight="true" outlineLevel="0" collapsed="false">
      <c r="A120" s="7" t="n">
        <v>117</v>
      </c>
      <c r="B120" s="7" t="n">
        <v>2391</v>
      </c>
      <c r="C120" s="7" t="s">
        <v>5391</v>
      </c>
      <c r="D120" s="7" t="s">
        <v>26</v>
      </c>
      <c r="E120" s="7" t="s">
        <v>3217</v>
      </c>
      <c r="F120" s="7" t="s">
        <v>3218</v>
      </c>
      <c r="G120" s="7" t="s">
        <v>3601</v>
      </c>
      <c r="H120" s="7" t="n">
        <v>120</v>
      </c>
      <c r="I120" s="7" t="s">
        <v>16</v>
      </c>
      <c r="J120" s="7" t="s">
        <v>16</v>
      </c>
      <c r="K120" s="7" t="s">
        <v>6040</v>
      </c>
      <c r="L120" s="7" t="s">
        <v>6041</v>
      </c>
      <c r="M120" s="7" t="s">
        <v>6042</v>
      </c>
      <c r="N120" s="7"/>
      <c r="O120" s="7"/>
      <c r="P120" s="7" t="s">
        <v>5268</v>
      </c>
      <c r="Q120" s="7" t="s">
        <v>3360</v>
      </c>
      <c r="R120" s="7" t="s">
        <v>3671</v>
      </c>
      <c r="S120" s="7"/>
      <c r="T120" s="7" t="n">
        <v>42</v>
      </c>
      <c r="U120" s="7" t="s">
        <v>6043</v>
      </c>
      <c r="V120" s="7" t="s">
        <v>5269</v>
      </c>
      <c r="W120" s="7" t="s">
        <v>6288</v>
      </c>
      <c r="X120" s="7" t="s">
        <v>6289</v>
      </c>
      <c r="Y120" s="7"/>
      <c r="Z120" s="7" t="s">
        <v>5871</v>
      </c>
      <c r="AA120" s="7" t="s">
        <v>6046</v>
      </c>
      <c r="AB120" s="7" t="s">
        <v>6041</v>
      </c>
    </row>
    <row r="121" customFormat="false" ht="48" hidden="false" customHeight="true" outlineLevel="0" collapsed="false">
      <c r="A121" s="7" t="n">
        <v>118</v>
      </c>
      <c r="B121" s="7" t="n">
        <v>2392</v>
      </c>
      <c r="C121" s="7" t="s">
        <v>5392</v>
      </c>
      <c r="D121" s="7" t="s">
        <v>26</v>
      </c>
      <c r="E121" s="7" t="s">
        <v>3217</v>
      </c>
      <c r="F121" s="7" t="s">
        <v>3218</v>
      </c>
      <c r="G121" s="7" t="s">
        <v>3707</v>
      </c>
      <c r="H121" s="7" t="n">
        <v>121</v>
      </c>
      <c r="I121" s="7" t="s">
        <v>16</v>
      </c>
      <c r="J121" s="7" t="s">
        <v>16</v>
      </c>
      <c r="K121" s="7" t="s">
        <v>6040</v>
      </c>
      <c r="L121" s="7" t="s">
        <v>6041</v>
      </c>
      <c r="M121" s="7" t="s">
        <v>6042</v>
      </c>
      <c r="N121" s="7"/>
      <c r="O121" s="7"/>
      <c r="P121" s="7" t="s">
        <v>5268</v>
      </c>
      <c r="Q121" s="7" t="s">
        <v>3224</v>
      </c>
      <c r="R121" s="7" t="s">
        <v>3711</v>
      </c>
      <c r="S121" s="7"/>
      <c r="T121" s="7" t="n">
        <v>44</v>
      </c>
      <c r="U121" s="7" t="s">
        <v>6043</v>
      </c>
      <c r="V121" s="7" t="s">
        <v>5269</v>
      </c>
      <c r="W121" s="7" t="s">
        <v>6290</v>
      </c>
      <c r="X121" s="7" t="s">
        <v>6291</v>
      </c>
      <c r="Y121" s="7"/>
      <c r="Z121" s="7"/>
      <c r="AA121" s="7" t="s">
        <v>6046</v>
      </c>
      <c r="AB121" s="7" t="s">
        <v>6041</v>
      </c>
    </row>
    <row r="122" customFormat="false" ht="48" hidden="false" customHeight="true" outlineLevel="0" collapsed="false">
      <c r="A122" s="7" t="n">
        <v>119</v>
      </c>
      <c r="B122" s="7" t="n">
        <v>2393</v>
      </c>
      <c r="C122" s="7" t="s">
        <v>5393</v>
      </c>
      <c r="D122" s="7" t="s">
        <v>26</v>
      </c>
      <c r="E122" s="7" t="s">
        <v>3217</v>
      </c>
      <c r="F122" s="7" t="s">
        <v>3218</v>
      </c>
      <c r="G122" s="7" t="s">
        <v>3707</v>
      </c>
      <c r="H122" s="7" t="n">
        <v>122</v>
      </c>
      <c r="I122" s="7" t="s">
        <v>16</v>
      </c>
      <c r="J122" s="7" t="s">
        <v>16</v>
      </c>
      <c r="K122" s="7" t="s">
        <v>6040</v>
      </c>
      <c r="L122" s="7" t="s">
        <v>6041</v>
      </c>
      <c r="M122" s="7" t="s">
        <v>6042</v>
      </c>
      <c r="N122" s="7"/>
      <c r="O122" s="7"/>
      <c r="P122" s="7" t="s">
        <v>5268</v>
      </c>
      <c r="Q122" s="7" t="s">
        <v>3360</v>
      </c>
      <c r="R122" s="7" t="s">
        <v>3711</v>
      </c>
      <c r="S122" s="7"/>
      <c r="T122" s="7" t="n">
        <v>44</v>
      </c>
      <c r="U122" s="7" t="s">
        <v>6043</v>
      </c>
      <c r="V122" s="7" t="s">
        <v>5269</v>
      </c>
      <c r="W122" s="7" t="s">
        <v>6292</v>
      </c>
      <c r="X122" s="7" t="s">
        <v>6293</v>
      </c>
      <c r="Y122" s="7" t="s">
        <v>6294</v>
      </c>
      <c r="Z122" s="7"/>
      <c r="AA122" s="7" t="s">
        <v>6046</v>
      </c>
      <c r="AB122" s="7" t="s">
        <v>6041</v>
      </c>
    </row>
    <row r="123" customFormat="false" ht="48" hidden="false" customHeight="true" outlineLevel="0" collapsed="false">
      <c r="A123" s="7" t="n">
        <v>120</v>
      </c>
      <c r="B123" s="7" t="n">
        <v>2394</v>
      </c>
      <c r="C123" s="7" t="s">
        <v>5394</v>
      </c>
      <c r="D123" s="7" t="s">
        <v>26</v>
      </c>
      <c r="E123" s="7" t="s">
        <v>3217</v>
      </c>
      <c r="F123" s="7" t="s">
        <v>3218</v>
      </c>
      <c r="G123" s="7" t="s">
        <v>3707</v>
      </c>
      <c r="H123" s="7" t="n">
        <v>123</v>
      </c>
      <c r="I123" s="7" t="s">
        <v>16</v>
      </c>
      <c r="J123" s="7" t="s">
        <v>16</v>
      </c>
      <c r="K123" s="7" t="s">
        <v>6040</v>
      </c>
      <c r="L123" s="7" t="s">
        <v>6041</v>
      </c>
      <c r="M123" s="7" t="s">
        <v>6042</v>
      </c>
      <c r="N123" s="7"/>
      <c r="O123" s="7"/>
      <c r="P123" s="7" t="s">
        <v>5271</v>
      </c>
      <c r="Q123" s="7" t="s">
        <v>3224</v>
      </c>
      <c r="R123" s="7" t="s">
        <v>3719</v>
      </c>
      <c r="S123" s="7"/>
      <c r="T123" s="7" t="n">
        <v>44</v>
      </c>
      <c r="U123" s="7" t="s">
        <v>6043</v>
      </c>
      <c r="V123" s="7" t="s">
        <v>5269</v>
      </c>
      <c r="W123" s="7" t="s">
        <v>6295</v>
      </c>
      <c r="X123" s="7" t="s">
        <v>6296</v>
      </c>
      <c r="Y123" s="7"/>
      <c r="Z123" s="7" t="s">
        <v>5890</v>
      </c>
      <c r="AA123" s="7" t="s">
        <v>6046</v>
      </c>
      <c r="AB123" s="7" t="s">
        <v>6041</v>
      </c>
    </row>
    <row r="124" customFormat="false" ht="48" hidden="false" customHeight="true" outlineLevel="0" collapsed="false">
      <c r="A124" s="7" t="n">
        <v>121</v>
      </c>
      <c r="B124" s="7" t="n">
        <v>2395</v>
      </c>
      <c r="C124" s="7" t="s">
        <v>5395</v>
      </c>
      <c r="D124" s="7" t="s">
        <v>26</v>
      </c>
      <c r="E124" s="7" t="s">
        <v>3217</v>
      </c>
      <c r="F124" s="7" t="s">
        <v>3218</v>
      </c>
      <c r="G124" s="7" t="s">
        <v>3707</v>
      </c>
      <c r="H124" s="7" t="n">
        <v>124</v>
      </c>
      <c r="I124" s="7" t="s">
        <v>16</v>
      </c>
      <c r="J124" s="7" t="s">
        <v>16</v>
      </c>
      <c r="K124" s="7" t="s">
        <v>6040</v>
      </c>
      <c r="L124" s="7" t="s">
        <v>6041</v>
      </c>
      <c r="M124" s="7" t="s">
        <v>6042</v>
      </c>
      <c r="N124" s="7"/>
      <c r="O124" s="7"/>
      <c r="P124" s="7" t="s">
        <v>5271</v>
      </c>
      <c r="Q124" s="7" t="s">
        <v>3723</v>
      </c>
      <c r="R124" s="7" t="s">
        <v>3719</v>
      </c>
      <c r="S124" s="7"/>
      <c r="T124" s="7" t="n">
        <v>45</v>
      </c>
      <c r="U124" s="7" t="s">
        <v>6043</v>
      </c>
      <c r="V124" s="7" t="s">
        <v>5269</v>
      </c>
      <c r="W124" s="7" t="s">
        <v>6297</v>
      </c>
      <c r="X124" s="7" t="s">
        <v>6298</v>
      </c>
      <c r="Y124" s="7"/>
      <c r="Z124" s="7" t="s">
        <v>5890</v>
      </c>
      <c r="AA124" s="7" t="s">
        <v>6046</v>
      </c>
      <c r="AB124" s="7" t="s">
        <v>6041</v>
      </c>
    </row>
    <row r="125" customFormat="false" ht="48" hidden="false" customHeight="true" outlineLevel="0" collapsed="false">
      <c r="A125" s="7" t="n">
        <v>122</v>
      </c>
      <c r="B125" s="7" t="n">
        <v>2396</v>
      </c>
      <c r="C125" s="7" t="s">
        <v>5396</v>
      </c>
      <c r="D125" s="7" t="s">
        <v>26</v>
      </c>
      <c r="E125" s="7" t="s">
        <v>3217</v>
      </c>
      <c r="F125" s="7" t="s">
        <v>3218</v>
      </c>
      <c r="G125" s="7" t="s">
        <v>3707</v>
      </c>
      <c r="H125" s="7" t="n">
        <v>125</v>
      </c>
      <c r="I125" s="7" t="s">
        <v>16</v>
      </c>
      <c r="J125" s="7" t="s">
        <v>16</v>
      </c>
      <c r="K125" s="7" t="s">
        <v>6040</v>
      </c>
      <c r="L125" s="7" t="s">
        <v>6041</v>
      </c>
      <c r="M125" s="7" t="s">
        <v>6042</v>
      </c>
      <c r="N125" s="7"/>
      <c r="O125" s="7"/>
      <c r="P125" s="7" t="s">
        <v>5268</v>
      </c>
      <c r="Q125" s="7" t="s">
        <v>3727</v>
      </c>
      <c r="R125" s="7" t="s">
        <v>3719</v>
      </c>
      <c r="S125" s="7"/>
      <c r="T125" s="7" t="n">
        <v>45</v>
      </c>
      <c r="U125" s="7" t="s">
        <v>6043</v>
      </c>
      <c r="V125" s="7" t="s">
        <v>5269</v>
      </c>
      <c r="W125" s="7" t="s">
        <v>6299</v>
      </c>
      <c r="X125" s="7" t="s">
        <v>6300</v>
      </c>
      <c r="Y125" s="7"/>
      <c r="Z125" s="7" t="s">
        <v>5890</v>
      </c>
      <c r="AA125" s="7" t="s">
        <v>6046</v>
      </c>
      <c r="AB125" s="7" t="s">
        <v>6041</v>
      </c>
    </row>
    <row r="126" customFormat="false" ht="48" hidden="false" customHeight="true" outlineLevel="0" collapsed="false">
      <c r="A126" s="7" t="n">
        <v>123</v>
      </c>
      <c r="B126" s="7" t="n">
        <v>2397</v>
      </c>
      <c r="C126" s="7" t="s">
        <v>5397</v>
      </c>
      <c r="D126" s="7" t="s">
        <v>26</v>
      </c>
      <c r="E126" s="7" t="s">
        <v>3217</v>
      </c>
      <c r="F126" s="7" t="s">
        <v>3218</v>
      </c>
      <c r="G126" s="7" t="s">
        <v>3707</v>
      </c>
      <c r="H126" s="7" t="n">
        <v>126</v>
      </c>
      <c r="I126" s="7" t="s">
        <v>16</v>
      </c>
      <c r="J126" s="7" t="s">
        <v>16</v>
      </c>
      <c r="K126" s="7" t="s">
        <v>6040</v>
      </c>
      <c r="L126" s="7" t="s">
        <v>6041</v>
      </c>
      <c r="M126" s="7" t="s">
        <v>6042</v>
      </c>
      <c r="N126" s="7"/>
      <c r="O126" s="7"/>
      <c r="P126" s="7" t="s">
        <v>5276</v>
      </c>
      <c r="Q126" s="7" t="s">
        <v>3729</v>
      </c>
      <c r="R126" s="7" t="s">
        <v>3719</v>
      </c>
      <c r="S126" s="7"/>
      <c r="T126" s="7" t="n">
        <v>45</v>
      </c>
      <c r="U126" s="7" t="s">
        <v>6043</v>
      </c>
      <c r="V126" s="7" t="s">
        <v>5269</v>
      </c>
      <c r="W126" s="7" t="s">
        <v>6301</v>
      </c>
      <c r="X126" s="7" t="s">
        <v>6302</v>
      </c>
      <c r="Y126" s="7"/>
      <c r="Z126" s="7" t="s">
        <v>5890</v>
      </c>
      <c r="AA126" s="7" t="s">
        <v>6046</v>
      </c>
      <c r="AB126" s="7" t="s">
        <v>6041</v>
      </c>
    </row>
    <row r="127" customFormat="false" ht="48" hidden="false" customHeight="true" outlineLevel="0" collapsed="false">
      <c r="A127" s="7" t="n">
        <v>124</v>
      </c>
      <c r="B127" s="7" t="n">
        <v>2398</v>
      </c>
      <c r="C127" s="7" t="s">
        <v>5398</v>
      </c>
      <c r="D127" s="7" t="s">
        <v>26</v>
      </c>
      <c r="E127" s="7" t="s">
        <v>3217</v>
      </c>
      <c r="F127" s="7" t="s">
        <v>3218</v>
      </c>
      <c r="G127" s="7" t="s">
        <v>3707</v>
      </c>
      <c r="H127" s="7" t="n">
        <v>127</v>
      </c>
      <c r="I127" s="7" t="s">
        <v>16</v>
      </c>
      <c r="J127" s="7" t="s">
        <v>16</v>
      </c>
      <c r="K127" s="7" t="s">
        <v>6040</v>
      </c>
      <c r="L127" s="7" t="s">
        <v>6041</v>
      </c>
      <c r="M127" s="7" t="s">
        <v>6042</v>
      </c>
      <c r="N127" s="7"/>
      <c r="O127" s="7"/>
      <c r="P127" s="7" t="s">
        <v>5276</v>
      </c>
      <c r="Q127" s="7" t="s">
        <v>3733</v>
      </c>
      <c r="R127" s="7" t="s">
        <v>3719</v>
      </c>
      <c r="S127" s="7"/>
      <c r="T127" s="7" t="n">
        <v>45</v>
      </c>
      <c r="U127" s="7" t="s">
        <v>6043</v>
      </c>
      <c r="V127" s="7" t="s">
        <v>5269</v>
      </c>
      <c r="W127" s="7" t="s">
        <v>6303</v>
      </c>
      <c r="X127" s="7" t="s">
        <v>6304</v>
      </c>
      <c r="Y127" s="7"/>
      <c r="Z127" s="7" t="s">
        <v>5890</v>
      </c>
      <c r="AA127" s="7" t="s">
        <v>6046</v>
      </c>
      <c r="AB127" s="7" t="s">
        <v>6041</v>
      </c>
    </row>
    <row r="128" customFormat="false" ht="48" hidden="false" customHeight="true" outlineLevel="0" collapsed="false">
      <c r="A128" s="7" t="n">
        <v>125</v>
      </c>
      <c r="B128" s="7" t="n">
        <v>2399</v>
      </c>
      <c r="C128" s="7" t="s">
        <v>5399</v>
      </c>
      <c r="D128" s="7" t="s">
        <v>26</v>
      </c>
      <c r="E128" s="7" t="s">
        <v>3217</v>
      </c>
      <c r="F128" s="7" t="s">
        <v>3218</v>
      </c>
      <c r="G128" s="7" t="s">
        <v>3707</v>
      </c>
      <c r="H128" s="7" t="n">
        <v>128</v>
      </c>
      <c r="I128" s="7" t="s">
        <v>16</v>
      </c>
      <c r="J128" s="7" t="s">
        <v>16</v>
      </c>
      <c r="K128" s="7" t="s">
        <v>6040</v>
      </c>
      <c r="L128" s="7" t="s">
        <v>6041</v>
      </c>
      <c r="M128" s="7" t="s">
        <v>6042</v>
      </c>
      <c r="N128" s="7"/>
      <c r="O128" s="7"/>
      <c r="P128" s="7" t="s">
        <v>5276</v>
      </c>
      <c r="Q128" s="7" t="s">
        <v>3736</v>
      </c>
      <c r="R128" s="7" t="s">
        <v>3719</v>
      </c>
      <c r="S128" s="7"/>
      <c r="T128" s="7" t="n">
        <v>46</v>
      </c>
      <c r="U128" s="7" t="s">
        <v>6043</v>
      </c>
      <c r="V128" s="7" t="s">
        <v>5269</v>
      </c>
      <c r="W128" s="7" t="s">
        <v>6305</v>
      </c>
      <c r="X128" s="7" t="s">
        <v>6306</v>
      </c>
      <c r="Y128" s="7"/>
      <c r="Z128" s="7" t="s">
        <v>5890</v>
      </c>
      <c r="AA128" s="7" t="s">
        <v>6046</v>
      </c>
      <c r="AB128" s="7" t="s">
        <v>6041</v>
      </c>
    </row>
    <row r="129" customFormat="false" ht="48" hidden="false" customHeight="true" outlineLevel="0" collapsed="false">
      <c r="A129" s="7" t="n">
        <v>126</v>
      </c>
      <c r="B129" s="7" t="n">
        <v>2400</v>
      </c>
      <c r="C129" s="7" t="s">
        <v>5400</v>
      </c>
      <c r="D129" s="7" t="s">
        <v>26</v>
      </c>
      <c r="E129" s="7" t="s">
        <v>3217</v>
      </c>
      <c r="F129" s="7" t="s">
        <v>3218</v>
      </c>
      <c r="G129" s="7" t="s">
        <v>3707</v>
      </c>
      <c r="H129" s="7" t="n">
        <v>129</v>
      </c>
      <c r="I129" s="7" t="s">
        <v>16</v>
      </c>
      <c r="J129" s="7" t="s">
        <v>16</v>
      </c>
      <c r="K129" s="7" t="s">
        <v>6040</v>
      </c>
      <c r="L129" s="7" t="s">
        <v>6041</v>
      </c>
      <c r="M129" s="7" t="s">
        <v>6042</v>
      </c>
      <c r="N129" s="7"/>
      <c r="O129" s="7"/>
      <c r="P129" s="7" t="s">
        <v>5268</v>
      </c>
      <c r="Q129" s="7" t="s">
        <v>3360</v>
      </c>
      <c r="R129" s="7" t="s">
        <v>3719</v>
      </c>
      <c r="S129" s="7"/>
      <c r="T129" s="7" t="n">
        <v>46</v>
      </c>
      <c r="U129" s="7" t="s">
        <v>6043</v>
      </c>
      <c r="V129" s="7" t="s">
        <v>5269</v>
      </c>
      <c r="W129" s="7" t="s">
        <v>6307</v>
      </c>
      <c r="X129" s="7" t="s">
        <v>6308</v>
      </c>
      <c r="Y129" s="7"/>
      <c r="Z129" s="7" t="s">
        <v>5890</v>
      </c>
      <c r="AA129" s="7" t="s">
        <v>6046</v>
      </c>
      <c r="AB129" s="7" t="s">
        <v>6041</v>
      </c>
    </row>
    <row r="130" customFormat="false" ht="48" hidden="false" customHeight="true" outlineLevel="0" collapsed="false">
      <c r="A130" s="7" t="n">
        <v>127</v>
      </c>
      <c r="B130" s="7" t="n">
        <v>2401</v>
      </c>
      <c r="C130" s="7" t="s">
        <v>5401</v>
      </c>
      <c r="D130" s="7" t="s">
        <v>26</v>
      </c>
      <c r="E130" s="7" t="s">
        <v>3217</v>
      </c>
      <c r="F130" s="7" t="s">
        <v>3218</v>
      </c>
      <c r="G130" s="7" t="s">
        <v>3707</v>
      </c>
      <c r="H130" s="7" t="n">
        <v>130</v>
      </c>
      <c r="I130" s="7" t="s">
        <v>16</v>
      </c>
      <c r="J130" s="7" t="s">
        <v>16</v>
      </c>
      <c r="K130" s="7" t="s">
        <v>6040</v>
      </c>
      <c r="L130" s="7" t="s">
        <v>6041</v>
      </c>
      <c r="M130" s="7" t="s">
        <v>6042</v>
      </c>
      <c r="N130" s="7"/>
      <c r="O130" s="7"/>
      <c r="P130" s="7" t="s">
        <v>5268</v>
      </c>
      <c r="Q130" s="7" t="s">
        <v>3360</v>
      </c>
      <c r="R130" s="7" t="s">
        <v>3719</v>
      </c>
      <c r="S130" s="7"/>
      <c r="T130" s="7" t="n">
        <v>46</v>
      </c>
      <c r="U130" s="7" t="s">
        <v>6043</v>
      </c>
      <c r="V130" s="7" t="s">
        <v>5269</v>
      </c>
      <c r="W130" s="7" t="s">
        <v>6309</v>
      </c>
      <c r="X130" s="7" t="s">
        <v>6310</v>
      </c>
      <c r="Y130" s="7"/>
      <c r="Z130" s="7" t="s">
        <v>5890</v>
      </c>
      <c r="AA130" s="7" t="s">
        <v>6046</v>
      </c>
      <c r="AB130" s="7" t="s">
        <v>6041</v>
      </c>
    </row>
    <row r="131" customFormat="false" ht="48" hidden="false" customHeight="true" outlineLevel="0" collapsed="false">
      <c r="A131" s="7" t="n">
        <v>128</v>
      </c>
      <c r="B131" s="7" t="n">
        <v>2402</v>
      </c>
      <c r="C131" s="7" t="s">
        <v>5402</v>
      </c>
      <c r="D131" s="7" t="s">
        <v>26</v>
      </c>
      <c r="E131" s="7" t="s">
        <v>3217</v>
      </c>
      <c r="F131" s="7" t="s">
        <v>3218</v>
      </c>
      <c r="G131" s="7" t="s">
        <v>3707</v>
      </c>
      <c r="H131" s="7" t="n">
        <v>131</v>
      </c>
      <c r="I131" s="7" t="s">
        <v>16</v>
      </c>
      <c r="J131" s="7" t="s">
        <v>16</v>
      </c>
      <c r="K131" s="7" t="s">
        <v>6040</v>
      </c>
      <c r="L131" s="7" t="s">
        <v>6041</v>
      </c>
      <c r="M131" s="7" t="s">
        <v>6042</v>
      </c>
      <c r="N131" s="7"/>
      <c r="O131" s="7"/>
      <c r="P131" s="7" t="s">
        <v>5268</v>
      </c>
      <c r="Q131" s="7" t="s">
        <v>3224</v>
      </c>
      <c r="R131" s="7" t="s">
        <v>3719</v>
      </c>
      <c r="S131" s="7"/>
      <c r="T131" s="7" t="n">
        <v>46</v>
      </c>
      <c r="U131" s="7" t="s">
        <v>6043</v>
      </c>
      <c r="V131" s="7" t="s">
        <v>5269</v>
      </c>
      <c r="W131" s="7" t="s">
        <v>6311</v>
      </c>
      <c r="X131" s="7" t="s">
        <v>6312</v>
      </c>
      <c r="Y131" s="7"/>
      <c r="Z131" s="7" t="s">
        <v>5890</v>
      </c>
      <c r="AA131" s="7" t="s">
        <v>6046</v>
      </c>
      <c r="AB131" s="7" t="s">
        <v>6041</v>
      </c>
    </row>
    <row r="132" customFormat="false" ht="48" hidden="false" customHeight="true" outlineLevel="0" collapsed="false">
      <c r="A132" s="7" t="n">
        <v>129</v>
      </c>
      <c r="B132" s="7" t="n">
        <v>2403</v>
      </c>
      <c r="C132" s="7" t="s">
        <v>5403</v>
      </c>
      <c r="D132" s="7" t="s">
        <v>26</v>
      </c>
      <c r="E132" s="7" t="s">
        <v>3217</v>
      </c>
      <c r="F132" s="7" t="s">
        <v>3218</v>
      </c>
      <c r="G132" s="7" t="s">
        <v>3707</v>
      </c>
      <c r="H132" s="7" t="n">
        <v>132</v>
      </c>
      <c r="I132" s="7" t="s">
        <v>16</v>
      </c>
      <c r="J132" s="7" t="s">
        <v>16</v>
      </c>
      <c r="K132" s="7" t="s">
        <v>6040</v>
      </c>
      <c r="L132" s="7" t="s">
        <v>6041</v>
      </c>
      <c r="M132" s="7" t="s">
        <v>6042</v>
      </c>
      <c r="N132" s="7"/>
      <c r="O132" s="7"/>
      <c r="P132" s="7" t="s">
        <v>5268</v>
      </c>
      <c r="Q132" s="7" t="s">
        <v>3360</v>
      </c>
      <c r="R132" s="7" t="s">
        <v>3719</v>
      </c>
      <c r="S132" s="7"/>
      <c r="T132" s="7" t="n">
        <v>47</v>
      </c>
      <c r="U132" s="7" t="s">
        <v>6043</v>
      </c>
      <c r="V132" s="7" t="s">
        <v>5269</v>
      </c>
      <c r="W132" s="7" t="s">
        <v>6313</v>
      </c>
      <c r="X132" s="7" t="s">
        <v>6314</v>
      </c>
      <c r="Y132" s="7"/>
      <c r="Z132" s="7" t="s">
        <v>5890</v>
      </c>
      <c r="AA132" s="7" t="s">
        <v>6046</v>
      </c>
      <c r="AB132" s="7" t="s">
        <v>6041</v>
      </c>
    </row>
    <row r="133" customFormat="false" ht="48" hidden="false" customHeight="true" outlineLevel="0" collapsed="false">
      <c r="A133" s="7" t="n">
        <v>130</v>
      </c>
      <c r="B133" s="7" t="n">
        <v>2404</v>
      </c>
      <c r="C133" s="7" t="s">
        <v>5404</v>
      </c>
      <c r="D133" s="7" t="s">
        <v>26</v>
      </c>
      <c r="E133" s="7" t="s">
        <v>3217</v>
      </c>
      <c r="F133" s="7" t="s">
        <v>3218</v>
      </c>
      <c r="G133" s="7" t="s">
        <v>3707</v>
      </c>
      <c r="H133" s="7" t="n">
        <v>133</v>
      </c>
      <c r="I133" s="7" t="s">
        <v>16</v>
      </c>
      <c r="J133" s="7" t="s">
        <v>16</v>
      </c>
      <c r="K133" s="7" t="s">
        <v>6040</v>
      </c>
      <c r="L133" s="7" t="s">
        <v>6041</v>
      </c>
      <c r="M133" s="7" t="s">
        <v>6042</v>
      </c>
      <c r="N133" s="7"/>
      <c r="O133" s="7"/>
      <c r="P133" s="7" t="s">
        <v>5274</v>
      </c>
      <c r="Q133" s="7" t="s">
        <v>3751</v>
      </c>
      <c r="R133" s="7" t="s">
        <v>3719</v>
      </c>
      <c r="S133" s="7"/>
      <c r="T133" s="7" t="n">
        <v>47</v>
      </c>
      <c r="U133" s="7" t="s">
        <v>6043</v>
      </c>
      <c r="V133" s="7" t="s">
        <v>5269</v>
      </c>
      <c r="W133" s="7" t="s">
        <v>6315</v>
      </c>
      <c r="X133" s="7" t="s">
        <v>6316</v>
      </c>
      <c r="Y133" s="7"/>
      <c r="Z133" s="7" t="s">
        <v>5890</v>
      </c>
      <c r="AA133" s="7" t="s">
        <v>6046</v>
      </c>
      <c r="AB133" s="7" t="s">
        <v>6041</v>
      </c>
    </row>
    <row r="134" customFormat="false" ht="48" hidden="false" customHeight="true" outlineLevel="0" collapsed="false">
      <c r="A134" s="7" t="n">
        <v>131</v>
      </c>
      <c r="B134" s="7" t="n">
        <v>2405</v>
      </c>
      <c r="C134" s="7" t="s">
        <v>5405</v>
      </c>
      <c r="D134" s="7" t="s">
        <v>26</v>
      </c>
      <c r="E134" s="7" t="s">
        <v>3217</v>
      </c>
      <c r="F134" s="7" t="s">
        <v>3218</v>
      </c>
      <c r="G134" s="7" t="s">
        <v>3707</v>
      </c>
      <c r="H134" s="7" t="n">
        <v>134</v>
      </c>
      <c r="I134" s="7" t="s">
        <v>16</v>
      </c>
      <c r="J134" s="7" t="s">
        <v>16</v>
      </c>
      <c r="K134" s="7" t="s">
        <v>6040</v>
      </c>
      <c r="L134" s="7" t="s">
        <v>6041</v>
      </c>
      <c r="M134" s="7" t="s">
        <v>6042</v>
      </c>
      <c r="N134" s="7"/>
      <c r="O134" s="7"/>
      <c r="P134" s="7" t="s">
        <v>5276</v>
      </c>
      <c r="Q134" s="7" t="s">
        <v>3756</v>
      </c>
      <c r="R134" s="7" t="s">
        <v>3719</v>
      </c>
      <c r="S134" s="7"/>
      <c r="T134" s="7" t="n">
        <v>47</v>
      </c>
      <c r="U134" s="7" t="s">
        <v>6043</v>
      </c>
      <c r="V134" s="7" t="s">
        <v>5269</v>
      </c>
      <c r="W134" s="7" t="s">
        <v>6317</v>
      </c>
      <c r="X134" s="7" t="s">
        <v>6318</v>
      </c>
      <c r="Y134" s="7"/>
      <c r="Z134" s="7" t="s">
        <v>5890</v>
      </c>
      <c r="AA134" s="7" t="s">
        <v>6046</v>
      </c>
      <c r="AB134" s="7" t="s">
        <v>6041</v>
      </c>
    </row>
    <row r="135" customFormat="false" ht="48" hidden="false" customHeight="true" outlineLevel="0" collapsed="false">
      <c r="A135" s="7" t="n">
        <v>132</v>
      </c>
      <c r="B135" s="7" t="n">
        <v>2406</v>
      </c>
      <c r="C135" s="7" t="s">
        <v>5406</v>
      </c>
      <c r="D135" s="7" t="s">
        <v>26</v>
      </c>
      <c r="E135" s="7" t="s">
        <v>3217</v>
      </c>
      <c r="F135" s="7" t="s">
        <v>3218</v>
      </c>
      <c r="G135" s="7" t="s">
        <v>3707</v>
      </c>
      <c r="H135" s="7" t="n">
        <v>135</v>
      </c>
      <c r="I135" s="7" t="s">
        <v>16</v>
      </c>
      <c r="J135" s="7" t="s">
        <v>16</v>
      </c>
      <c r="K135" s="7" t="s">
        <v>6040</v>
      </c>
      <c r="L135" s="7" t="s">
        <v>6041</v>
      </c>
      <c r="M135" s="7" t="s">
        <v>6047</v>
      </c>
      <c r="N135" s="7" t="s">
        <v>5272</v>
      </c>
      <c r="O135" s="7"/>
      <c r="P135" s="7" t="s">
        <v>5271</v>
      </c>
      <c r="Q135" s="7" t="s">
        <v>3761</v>
      </c>
      <c r="R135" s="7" t="s">
        <v>3719</v>
      </c>
      <c r="S135" s="7"/>
      <c r="T135" s="7" t="n">
        <v>47</v>
      </c>
      <c r="U135" s="7" t="s">
        <v>6043</v>
      </c>
      <c r="V135" s="7" t="s">
        <v>5269</v>
      </c>
      <c r="W135" s="7" t="s">
        <v>6319</v>
      </c>
      <c r="X135" s="7" t="s">
        <v>6320</v>
      </c>
      <c r="Y135" s="7"/>
      <c r="Z135" s="7" t="s">
        <v>5890</v>
      </c>
      <c r="AA135" s="7" t="s">
        <v>6046</v>
      </c>
      <c r="AB135" s="7" t="s">
        <v>6041</v>
      </c>
    </row>
    <row r="136" customFormat="false" ht="48" hidden="false" customHeight="true" outlineLevel="0" collapsed="false">
      <c r="A136" s="7" t="n">
        <v>133</v>
      </c>
      <c r="B136" s="7" t="n">
        <v>2407</v>
      </c>
      <c r="C136" s="7" t="s">
        <v>5407</v>
      </c>
      <c r="D136" s="7" t="s">
        <v>26</v>
      </c>
      <c r="E136" s="7" t="s">
        <v>3217</v>
      </c>
      <c r="F136" s="7" t="s">
        <v>3218</v>
      </c>
      <c r="G136" s="7" t="s">
        <v>3707</v>
      </c>
      <c r="H136" s="7" t="n">
        <v>136</v>
      </c>
      <c r="I136" s="7" t="s">
        <v>16</v>
      </c>
      <c r="J136" s="7" t="s">
        <v>16</v>
      </c>
      <c r="K136" s="7" t="s">
        <v>6040</v>
      </c>
      <c r="L136" s="7" t="s">
        <v>6041</v>
      </c>
      <c r="M136" s="7" t="s">
        <v>6042</v>
      </c>
      <c r="N136" s="7"/>
      <c r="O136" s="7"/>
      <c r="P136" s="7" t="s">
        <v>5271</v>
      </c>
      <c r="Q136" s="7" t="s">
        <v>3765</v>
      </c>
      <c r="R136" s="7" t="s">
        <v>3719</v>
      </c>
      <c r="S136" s="7"/>
      <c r="T136" s="7" t="n">
        <v>48</v>
      </c>
      <c r="U136" s="7" t="s">
        <v>6043</v>
      </c>
      <c r="V136" s="7" t="s">
        <v>5269</v>
      </c>
      <c r="W136" s="7" t="s">
        <v>6321</v>
      </c>
      <c r="X136" s="7" t="s">
        <v>6322</v>
      </c>
      <c r="Y136" s="7"/>
      <c r="Z136" s="7" t="s">
        <v>5890</v>
      </c>
      <c r="AA136" s="7" t="s">
        <v>6046</v>
      </c>
      <c r="AB136" s="7" t="s">
        <v>6041</v>
      </c>
    </row>
    <row r="137" customFormat="false" ht="48" hidden="false" customHeight="true" outlineLevel="0" collapsed="false">
      <c r="A137" s="7" t="n">
        <v>134</v>
      </c>
      <c r="B137" s="7" t="n">
        <v>2408</v>
      </c>
      <c r="C137" s="7" t="s">
        <v>5408</v>
      </c>
      <c r="D137" s="7" t="s">
        <v>26</v>
      </c>
      <c r="E137" s="7" t="s">
        <v>3217</v>
      </c>
      <c r="F137" s="7" t="s">
        <v>3218</v>
      </c>
      <c r="G137" s="7" t="s">
        <v>3707</v>
      </c>
      <c r="H137" s="7" t="n">
        <v>137</v>
      </c>
      <c r="I137" s="7" t="s">
        <v>16</v>
      </c>
      <c r="J137" s="7" t="s">
        <v>16</v>
      </c>
      <c r="K137" s="7" t="s">
        <v>6040</v>
      </c>
      <c r="L137" s="7" t="s">
        <v>6041</v>
      </c>
      <c r="M137" s="7" t="s">
        <v>6042</v>
      </c>
      <c r="N137" s="7"/>
      <c r="O137" s="7"/>
      <c r="P137" s="7" t="s">
        <v>5276</v>
      </c>
      <c r="Q137" s="7" t="s">
        <v>3768</v>
      </c>
      <c r="R137" s="7" t="s">
        <v>3719</v>
      </c>
      <c r="S137" s="7"/>
      <c r="T137" s="7" t="n">
        <v>48</v>
      </c>
      <c r="U137" s="7" t="s">
        <v>6043</v>
      </c>
      <c r="V137" s="7" t="s">
        <v>5269</v>
      </c>
      <c r="W137" s="7" t="s">
        <v>6323</v>
      </c>
      <c r="X137" s="7" t="s">
        <v>6324</v>
      </c>
      <c r="Y137" s="7" t="s">
        <v>6325</v>
      </c>
      <c r="Z137" s="7" t="s">
        <v>5890</v>
      </c>
      <c r="AA137" s="7" t="s">
        <v>6046</v>
      </c>
      <c r="AB137" s="7" t="s">
        <v>6041</v>
      </c>
    </row>
    <row r="138" customFormat="false" ht="48" hidden="false" customHeight="true" outlineLevel="0" collapsed="false">
      <c r="A138" s="7" t="n">
        <v>135</v>
      </c>
      <c r="B138" s="7" t="n">
        <v>2409</v>
      </c>
      <c r="C138" s="7" t="s">
        <v>5409</v>
      </c>
      <c r="D138" s="7" t="s">
        <v>26</v>
      </c>
      <c r="E138" s="7" t="s">
        <v>3217</v>
      </c>
      <c r="F138" s="7" t="s">
        <v>3218</v>
      </c>
      <c r="G138" s="7" t="s">
        <v>3707</v>
      </c>
      <c r="H138" s="7" t="n">
        <v>138</v>
      </c>
      <c r="I138" s="7" t="s">
        <v>16</v>
      </c>
      <c r="J138" s="7" t="s">
        <v>16</v>
      </c>
      <c r="K138" s="7" t="s">
        <v>6040</v>
      </c>
      <c r="L138" s="7" t="s">
        <v>6041</v>
      </c>
      <c r="M138" s="7" t="s">
        <v>6042</v>
      </c>
      <c r="N138" s="7"/>
      <c r="O138" s="7"/>
      <c r="P138" s="7" t="s">
        <v>5274</v>
      </c>
      <c r="Q138" s="7" t="s">
        <v>3772</v>
      </c>
      <c r="R138" s="7" t="s">
        <v>3776</v>
      </c>
      <c r="S138" s="7"/>
      <c r="T138" s="7" t="n">
        <v>48</v>
      </c>
      <c r="U138" s="7" t="s">
        <v>6043</v>
      </c>
      <c r="V138" s="7" t="s">
        <v>5269</v>
      </c>
      <c r="W138" s="7" t="s">
        <v>6326</v>
      </c>
      <c r="X138" s="7" t="s">
        <v>6327</v>
      </c>
      <c r="Y138" s="7"/>
      <c r="Z138" s="7" t="s">
        <v>5895</v>
      </c>
      <c r="AA138" s="7" t="s">
        <v>6046</v>
      </c>
      <c r="AB138" s="7" t="s">
        <v>6041</v>
      </c>
    </row>
    <row r="139" customFormat="false" ht="48" hidden="false" customHeight="true" outlineLevel="0" collapsed="false">
      <c r="A139" s="7" t="n">
        <v>136</v>
      </c>
      <c r="B139" s="7" t="n">
        <v>2410</v>
      </c>
      <c r="C139" s="7" t="s">
        <v>5410</v>
      </c>
      <c r="D139" s="7" t="s">
        <v>26</v>
      </c>
      <c r="E139" s="7" t="s">
        <v>3217</v>
      </c>
      <c r="F139" s="7" t="s">
        <v>3218</v>
      </c>
      <c r="G139" s="7" t="s">
        <v>3707</v>
      </c>
      <c r="H139" s="7" t="n">
        <v>139</v>
      </c>
      <c r="I139" s="7" t="s">
        <v>16</v>
      </c>
      <c r="J139" s="7" t="s">
        <v>16</v>
      </c>
      <c r="K139" s="7" t="s">
        <v>6040</v>
      </c>
      <c r="L139" s="7" t="s">
        <v>6041</v>
      </c>
      <c r="M139" s="7" t="s">
        <v>6042</v>
      </c>
      <c r="N139" s="7"/>
      <c r="O139" s="7"/>
      <c r="P139" s="7" t="s">
        <v>5276</v>
      </c>
      <c r="Q139" s="7" t="s">
        <v>3779</v>
      </c>
      <c r="R139" s="7" t="s">
        <v>3776</v>
      </c>
      <c r="S139" s="7"/>
      <c r="T139" s="7" t="n">
        <v>49</v>
      </c>
      <c r="U139" s="7" t="s">
        <v>6043</v>
      </c>
      <c r="V139" s="7" t="s">
        <v>5269</v>
      </c>
      <c r="W139" s="7" t="s">
        <v>6328</v>
      </c>
      <c r="X139" s="7" t="s">
        <v>6329</v>
      </c>
      <c r="Y139" s="7" t="s">
        <v>6330</v>
      </c>
      <c r="Z139" s="7" t="s">
        <v>5895</v>
      </c>
      <c r="AA139" s="7" t="s">
        <v>6046</v>
      </c>
      <c r="AB139" s="7" t="s">
        <v>6041</v>
      </c>
    </row>
    <row r="140" customFormat="false" ht="48" hidden="false" customHeight="true" outlineLevel="0" collapsed="false">
      <c r="A140" s="7" t="n">
        <v>137</v>
      </c>
      <c r="B140" s="7" t="n">
        <v>2411</v>
      </c>
      <c r="C140" s="7" t="s">
        <v>5411</v>
      </c>
      <c r="D140" s="7" t="s">
        <v>26</v>
      </c>
      <c r="E140" s="7" t="s">
        <v>3217</v>
      </c>
      <c r="F140" s="7" t="s">
        <v>3218</v>
      </c>
      <c r="G140" s="7" t="s">
        <v>3707</v>
      </c>
      <c r="H140" s="7" t="n">
        <v>140</v>
      </c>
      <c r="I140" s="7" t="s">
        <v>16</v>
      </c>
      <c r="J140" s="7" t="s">
        <v>16</v>
      </c>
      <c r="K140" s="7" t="s">
        <v>6040</v>
      </c>
      <c r="L140" s="7" t="s">
        <v>6041</v>
      </c>
      <c r="M140" s="7" t="s">
        <v>6042</v>
      </c>
      <c r="N140" s="7"/>
      <c r="O140" s="7"/>
      <c r="P140" s="7" t="s">
        <v>5276</v>
      </c>
      <c r="Q140" s="7" t="s">
        <v>3784</v>
      </c>
      <c r="R140" s="7" t="s">
        <v>3787</v>
      </c>
      <c r="S140" s="7"/>
      <c r="T140" s="7" t="n">
        <v>49</v>
      </c>
      <c r="U140" s="7" t="s">
        <v>6043</v>
      </c>
      <c r="V140" s="7" t="s">
        <v>5269</v>
      </c>
      <c r="W140" s="7" t="s">
        <v>6331</v>
      </c>
      <c r="X140" s="7" t="s">
        <v>6332</v>
      </c>
      <c r="Y140" s="7"/>
      <c r="Z140" s="7" t="s">
        <v>5900</v>
      </c>
      <c r="AA140" s="7" t="s">
        <v>6046</v>
      </c>
      <c r="AB140" s="7" t="s">
        <v>6041</v>
      </c>
    </row>
    <row r="141" customFormat="false" ht="48" hidden="false" customHeight="true" outlineLevel="0" collapsed="false">
      <c r="A141" s="7" t="n">
        <v>138</v>
      </c>
      <c r="B141" s="7" t="n">
        <v>2412</v>
      </c>
      <c r="C141" s="7" t="s">
        <v>5412</v>
      </c>
      <c r="D141" s="7" t="s">
        <v>26</v>
      </c>
      <c r="E141" s="7" t="s">
        <v>3217</v>
      </c>
      <c r="F141" s="7" t="s">
        <v>3218</v>
      </c>
      <c r="G141" s="7" t="s">
        <v>3707</v>
      </c>
      <c r="H141" s="7" t="n">
        <v>141</v>
      </c>
      <c r="I141" s="7" t="s">
        <v>16</v>
      </c>
      <c r="J141" s="7" t="s">
        <v>16</v>
      </c>
      <c r="K141" s="7" t="s">
        <v>6040</v>
      </c>
      <c r="L141" s="7" t="s">
        <v>6041</v>
      </c>
      <c r="M141" s="7" t="s">
        <v>6042</v>
      </c>
      <c r="N141" s="7"/>
      <c r="O141" s="7"/>
      <c r="P141" s="7" t="s">
        <v>5268</v>
      </c>
      <c r="Q141" s="7" t="s">
        <v>3224</v>
      </c>
      <c r="R141" s="7" t="s">
        <v>3787</v>
      </c>
      <c r="S141" s="7"/>
      <c r="T141" s="7" t="n">
        <v>50</v>
      </c>
      <c r="U141" s="7" t="s">
        <v>6043</v>
      </c>
      <c r="V141" s="7" t="s">
        <v>5269</v>
      </c>
      <c r="W141" s="7" t="s">
        <v>6333</v>
      </c>
      <c r="X141" s="7" t="s">
        <v>6334</v>
      </c>
      <c r="Y141" s="7"/>
      <c r="Z141" s="7" t="s">
        <v>5900</v>
      </c>
      <c r="AA141" s="7" t="s">
        <v>6046</v>
      </c>
      <c r="AB141" s="7" t="s">
        <v>6041</v>
      </c>
    </row>
    <row r="142" customFormat="false" ht="48" hidden="false" customHeight="true" outlineLevel="0" collapsed="false">
      <c r="A142" s="7" t="n">
        <v>139</v>
      </c>
      <c r="B142" s="7" t="n">
        <v>2413</v>
      </c>
      <c r="C142" s="7" t="s">
        <v>5413</v>
      </c>
      <c r="D142" s="7" t="s">
        <v>26</v>
      </c>
      <c r="E142" s="7" t="s">
        <v>3217</v>
      </c>
      <c r="F142" s="7" t="s">
        <v>3218</v>
      </c>
      <c r="G142" s="7" t="s">
        <v>3707</v>
      </c>
      <c r="H142" s="7" t="n">
        <v>142</v>
      </c>
      <c r="I142" s="7" t="s">
        <v>16</v>
      </c>
      <c r="J142" s="7" t="s">
        <v>16</v>
      </c>
      <c r="K142" s="7" t="s">
        <v>6040</v>
      </c>
      <c r="L142" s="7" t="s">
        <v>6041</v>
      </c>
      <c r="M142" s="7" t="s">
        <v>6042</v>
      </c>
      <c r="N142" s="7"/>
      <c r="O142" s="7"/>
      <c r="P142" s="7" t="s">
        <v>5268</v>
      </c>
      <c r="Q142" s="7" t="s">
        <v>3360</v>
      </c>
      <c r="R142" s="7" t="s">
        <v>3787</v>
      </c>
      <c r="S142" s="7"/>
      <c r="T142" s="7" t="n">
        <v>50</v>
      </c>
      <c r="U142" s="7" t="s">
        <v>6043</v>
      </c>
      <c r="V142" s="7" t="s">
        <v>5269</v>
      </c>
      <c r="W142" s="7" t="s">
        <v>6335</v>
      </c>
      <c r="X142" s="7" t="s">
        <v>6336</v>
      </c>
      <c r="Y142" s="7" t="s">
        <v>6337</v>
      </c>
      <c r="Z142" s="7" t="s">
        <v>5900</v>
      </c>
      <c r="AA142" s="7" t="s">
        <v>6046</v>
      </c>
      <c r="AB142" s="7" t="s">
        <v>6041</v>
      </c>
    </row>
    <row r="143" customFormat="false" ht="48" hidden="false" customHeight="true" outlineLevel="0" collapsed="false">
      <c r="A143" s="7" t="n">
        <v>140</v>
      </c>
      <c r="B143" s="7" t="n">
        <v>2414</v>
      </c>
      <c r="C143" s="7" t="s">
        <v>5414</v>
      </c>
      <c r="D143" s="7" t="s">
        <v>26</v>
      </c>
      <c r="E143" s="7" t="s">
        <v>3217</v>
      </c>
      <c r="F143" s="7" t="s">
        <v>3218</v>
      </c>
      <c r="G143" s="7" t="s">
        <v>3707</v>
      </c>
      <c r="H143" s="7" t="n">
        <v>143</v>
      </c>
      <c r="I143" s="7" t="s">
        <v>16</v>
      </c>
      <c r="J143" s="7" t="s">
        <v>16</v>
      </c>
      <c r="K143" s="7" t="s">
        <v>6040</v>
      </c>
      <c r="L143" s="7" t="s">
        <v>6041</v>
      </c>
      <c r="M143" s="7" t="s">
        <v>6042</v>
      </c>
      <c r="N143" s="7"/>
      <c r="O143" s="7"/>
      <c r="P143" s="7" t="s">
        <v>5271</v>
      </c>
      <c r="Q143" s="7" t="s">
        <v>3798</v>
      </c>
      <c r="R143" s="7" t="s">
        <v>3799</v>
      </c>
      <c r="S143" s="7"/>
      <c r="T143" s="7" t="n">
        <v>51</v>
      </c>
      <c r="U143" s="7" t="s">
        <v>6043</v>
      </c>
      <c r="V143" s="7" t="s">
        <v>5269</v>
      </c>
      <c r="W143" s="7" t="s">
        <v>6338</v>
      </c>
      <c r="X143" s="7" t="s">
        <v>6339</v>
      </c>
      <c r="Y143" s="7"/>
      <c r="Z143" s="7" t="s">
        <v>5906</v>
      </c>
      <c r="AA143" s="7" t="s">
        <v>6046</v>
      </c>
      <c r="AB143" s="7" t="s">
        <v>6041</v>
      </c>
    </row>
    <row r="144" customFormat="false" ht="48" hidden="false" customHeight="true" outlineLevel="0" collapsed="false">
      <c r="A144" s="7" t="n">
        <v>141</v>
      </c>
      <c r="B144" s="7" t="n">
        <v>2415</v>
      </c>
      <c r="C144" s="7" t="s">
        <v>5415</v>
      </c>
      <c r="D144" s="7" t="s">
        <v>26</v>
      </c>
      <c r="E144" s="7" t="s">
        <v>3217</v>
      </c>
      <c r="F144" s="7" t="s">
        <v>3218</v>
      </c>
      <c r="G144" s="7" t="s">
        <v>3707</v>
      </c>
      <c r="H144" s="7" t="n">
        <v>144</v>
      </c>
      <c r="I144" s="7" t="s">
        <v>16</v>
      </c>
      <c r="J144" s="7" t="s">
        <v>16</v>
      </c>
      <c r="K144" s="7" t="s">
        <v>6040</v>
      </c>
      <c r="L144" s="7" t="s">
        <v>6041</v>
      </c>
      <c r="M144" s="7" t="s">
        <v>6042</v>
      </c>
      <c r="N144" s="7"/>
      <c r="O144" s="7"/>
      <c r="P144" s="7" t="s">
        <v>5268</v>
      </c>
      <c r="Q144" s="7" t="s">
        <v>3804</v>
      </c>
      <c r="R144" s="7" t="s">
        <v>3799</v>
      </c>
      <c r="S144" s="7"/>
      <c r="T144" s="7" t="n">
        <v>51</v>
      </c>
      <c r="U144" s="7" t="s">
        <v>6043</v>
      </c>
      <c r="V144" s="7" t="s">
        <v>5269</v>
      </c>
      <c r="W144" s="7" t="s">
        <v>6340</v>
      </c>
      <c r="X144" s="7" t="s">
        <v>6341</v>
      </c>
      <c r="Y144" s="7"/>
      <c r="Z144" s="7" t="s">
        <v>5906</v>
      </c>
      <c r="AA144" s="7" t="s">
        <v>6046</v>
      </c>
      <c r="AB144" s="7" t="s">
        <v>6041</v>
      </c>
    </row>
    <row r="145" customFormat="false" ht="48" hidden="false" customHeight="true" outlineLevel="0" collapsed="false">
      <c r="A145" s="7" t="n">
        <v>142</v>
      </c>
      <c r="B145" s="7" t="n">
        <v>2416</v>
      </c>
      <c r="C145" s="7" t="s">
        <v>5416</v>
      </c>
      <c r="D145" s="7" t="s">
        <v>26</v>
      </c>
      <c r="E145" s="7" t="s">
        <v>3217</v>
      </c>
      <c r="F145" s="7" t="s">
        <v>3218</v>
      </c>
      <c r="G145" s="7" t="s">
        <v>3805</v>
      </c>
      <c r="H145" s="7" t="n">
        <v>145</v>
      </c>
      <c r="I145" s="7" t="s">
        <v>16</v>
      </c>
      <c r="J145" s="7" t="s">
        <v>16</v>
      </c>
      <c r="K145" s="7" t="s">
        <v>6040</v>
      </c>
      <c r="L145" s="7" t="s">
        <v>6041</v>
      </c>
      <c r="M145" s="7" t="s">
        <v>6042</v>
      </c>
      <c r="N145" s="7"/>
      <c r="O145" s="7"/>
      <c r="P145" s="7" t="s">
        <v>5271</v>
      </c>
      <c r="Q145" s="7" t="s">
        <v>3809</v>
      </c>
      <c r="R145" s="7" t="s">
        <v>3810</v>
      </c>
      <c r="S145" s="7"/>
      <c r="T145" s="7" t="n">
        <v>54</v>
      </c>
      <c r="U145" s="7" t="s">
        <v>6043</v>
      </c>
      <c r="V145" s="7" t="s">
        <v>5269</v>
      </c>
      <c r="W145" s="7" t="s">
        <v>6342</v>
      </c>
      <c r="X145" s="7" t="s">
        <v>6343</v>
      </c>
      <c r="Y145" s="7"/>
      <c r="Z145" s="7"/>
      <c r="AA145" s="7" t="s">
        <v>6046</v>
      </c>
      <c r="AB145" s="7" t="s">
        <v>6041</v>
      </c>
    </row>
    <row r="146" customFormat="false" ht="48" hidden="false" customHeight="true" outlineLevel="0" collapsed="false">
      <c r="A146" s="7" t="n">
        <v>143</v>
      </c>
      <c r="B146" s="7" t="n">
        <v>2417</v>
      </c>
      <c r="C146" s="7" t="s">
        <v>5417</v>
      </c>
      <c r="D146" s="7" t="s">
        <v>26</v>
      </c>
      <c r="E146" s="7" t="s">
        <v>3217</v>
      </c>
      <c r="F146" s="7" t="s">
        <v>3218</v>
      </c>
      <c r="G146" s="7" t="s">
        <v>3805</v>
      </c>
      <c r="H146" s="7" t="n">
        <v>146</v>
      </c>
      <c r="I146" s="7" t="s">
        <v>16</v>
      </c>
      <c r="J146" s="7" t="s">
        <v>16</v>
      </c>
      <c r="K146" s="7" t="s">
        <v>6040</v>
      </c>
      <c r="L146" s="7" t="s">
        <v>6041</v>
      </c>
      <c r="M146" s="7" t="s">
        <v>6042</v>
      </c>
      <c r="N146" s="7"/>
      <c r="O146" s="7"/>
      <c r="P146" s="7" t="s">
        <v>5276</v>
      </c>
      <c r="Q146" s="7" t="s">
        <v>3813</v>
      </c>
      <c r="R146" s="7" t="s">
        <v>3810</v>
      </c>
      <c r="S146" s="7"/>
      <c r="T146" s="7" t="n">
        <v>54</v>
      </c>
      <c r="U146" s="7" t="s">
        <v>6043</v>
      </c>
      <c r="V146" s="7" t="s">
        <v>5269</v>
      </c>
      <c r="W146" s="7" t="s">
        <v>6344</v>
      </c>
      <c r="X146" s="7" t="s">
        <v>6345</v>
      </c>
      <c r="Y146" s="7"/>
      <c r="Z146" s="7"/>
      <c r="AA146" s="7" t="s">
        <v>6046</v>
      </c>
      <c r="AB146" s="7" t="s">
        <v>6041</v>
      </c>
    </row>
    <row r="147" customFormat="false" ht="48" hidden="false" customHeight="true" outlineLevel="0" collapsed="false">
      <c r="A147" s="7" t="n">
        <v>144</v>
      </c>
      <c r="B147" s="7" t="n">
        <v>2418</v>
      </c>
      <c r="C147" s="7" t="s">
        <v>5418</v>
      </c>
      <c r="D147" s="7" t="s">
        <v>26</v>
      </c>
      <c r="E147" s="7" t="s">
        <v>3217</v>
      </c>
      <c r="F147" s="7" t="s">
        <v>3218</v>
      </c>
      <c r="G147" s="7" t="s">
        <v>3805</v>
      </c>
      <c r="H147" s="7" t="n">
        <v>147</v>
      </c>
      <c r="I147" s="7" t="s">
        <v>16</v>
      </c>
      <c r="J147" s="7" t="s">
        <v>16</v>
      </c>
      <c r="K147" s="7" t="s">
        <v>6040</v>
      </c>
      <c r="L147" s="7" t="s">
        <v>6041</v>
      </c>
      <c r="M147" s="7" t="s">
        <v>6042</v>
      </c>
      <c r="N147" s="7"/>
      <c r="O147" s="7"/>
      <c r="P147" s="7" t="s">
        <v>5268</v>
      </c>
      <c r="Q147" s="7" t="s">
        <v>3224</v>
      </c>
      <c r="R147" s="7" t="s">
        <v>3810</v>
      </c>
      <c r="S147" s="7"/>
      <c r="T147" s="7" t="n">
        <v>55</v>
      </c>
      <c r="U147" s="7" t="s">
        <v>6043</v>
      </c>
      <c r="V147" s="7" t="s">
        <v>5269</v>
      </c>
      <c r="W147" s="7" t="s">
        <v>6346</v>
      </c>
      <c r="X147" s="7" t="s">
        <v>6347</v>
      </c>
      <c r="Y147" s="7"/>
      <c r="Z147" s="7"/>
      <c r="AA147" s="7" t="s">
        <v>6046</v>
      </c>
      <c r="AB147" s="7" t="s">
        <v>6041</v>
      </c>
    </row>
    <row r="148" customFormat="false" ht="48" hidden="false" customHeight="true" outlineLevel="0" collapsed="false">
      <c r="A148" s="7" t="n">
        <v>145</v>
      </c>
      <c r="B148" s="7" t="n">
        <v>2419</v>
      </c>
      <c r="C148" s="7" t="s">
        <v>5419</v>
      </c>
      <c r="D148" s="7" t="s">
        <v>26</v>
      </c>
      <c r="E148" s="7" t="s">
        <v>3217</v>
      </c>
      <c r="F148" s="7" t="s">
        <v>3218</v>
      </c>
      <c r="G148" s="7" t="s">
        <v>3805</v>
      </c>
      <c r="H148" s="7" t="n">
        <v>148</v>
      </c>
      <c r="I148" s="7" t="s">
        <v>16</v>
      </c>
      <c r="J148" s="7" t="s">
        <v>16</v>
      </c>
      <c r="K148" s="7" t="s">
        <v>6040</v>
      </c>
      <c r="L148" s="7" t="s">
        <v>6041</v>
      </c>
      <c r="M148" s="7" t="s">
        <v>6042</v>
      </c>
      <c r="N148" s="7"/>
      <c r="O148" s="7"/>
      <c r="P148" s="7" t="s">
        <v>5274</v>
      </c>
      <c r="Q148" s="7" t="s">
        <v>3818</v>
      </c>
      <c r="R148" s="7" t="s">
        <v>3810</v>
      </c>
      <c r="S148" s="7"/>
      <c r="T148" s="7" t="n">
        <v>55</v>
      </c>
      <c r="U148" s="7" t="s">
        <v>6043</v>
      </c>
      <c r="V148" s="7" t="s">
        <v>5269</v>
      </c>
      <c r="W148" s="7" t="s">
        <v>6348</v>
      </c>
      <c r="X148" s="7" t="s">
        <v>6349</v>
      </c>
      <c r="Y148" s="7"/>
      <c r="Z148" s="7"/>
      <c r="AA148" s="7" t="s">
        <v>6046</v>
      </c>
      <c r="AB148" s="7" t="s">
        <v>6041</v>
      </c>
    </row>
    <row r="149" customFormat="false" ht="48" hidden="false" customHeight="true" outlineLevel="0" collapsed="false">
      <c r="A149" s="7" t="n">
        <v>146</v>
      </c>
      <c r="B149" s="7" t="n">
        <v>2420</v>
      </c>
      <c r="C149" s="7" t="s">
        <v>5420</v>
      </c>
      <c r="D149" s="7" t="s">
        <v>26</v>
      </c>
      <c r="E149" s="7" t="s">
        <v>3217</v>
      </c>
      <c r="F149" s="7" t="s">
        <v>3218</v>
      </c>
      <c r="G149" s="7" t="s">
        <v>3805</v>
      </c>
      <c r="H149" s="7" t="n">
        <v>149</v>
      </c>
      <c r="I149" s="7" t="s">
        <v>16</v>
      </c>
      <c r="J149" s="7" t="s">
        <v>16</v>
      </c>
      <c r="K149" s="7" t="s">
        <v>6040</v>
      </c>
      <c r="L149" s="7" t="s">
        <v>6041</v>
      </c>
      <c r="M149" s="7" t="s">
        <v>6042</v>
      </c>
      <c r="N149" s="7"/>
      <c r="O149" s="7"/>
      <c r="P149" s="7" t="s">
        <v>5274</v>
      </c>
      <c r="Q149" s="7" t="s">
        <v>3822</v>
      </c>
      <c r="R149" s="7" t="s">
        <v>3810</v>
      </c>
      <c r="S149" s="7"/>
      <c r="T149" s="7" t="n">
        <v>55</v>
      </c>
      <c r="U149" s="7" t="s">
        <v>6043</v>
      </c>
      <c r="V149" s="7" t="s">
        <v>5269</v>
      </c>
      <c r="W149" s="7" t="s">
        <v>6350</v>
      </c>
      <c r="X149" s="7" t="s">
        <v>6351</v>
      </c>
      <c r="Y149" s="7"/>
      <c r="Z149" s="7"/>
      <c r="AA149" s="7" t="s">
        <v>6046</v>
      </c>
      <c r="AB149" s="7" t="s">
        <v>6041</v>
      </c>
    </row>
    <row r="150" customFormat="false" ht="48" hidden="false" customHeight="true" outlineLevel="0" collapsed="false">
      <c r="A150" s="7" t="n">
        <v>147</v>
      </c>
      <c r="B150" s="7" t="n">
        <v>2421</v>
      </c>
      <c r="C150" s="7" t="s">
        <v>5421</v>
      </c>
      <c r="D150" s="7" t="s">
        <v>26</v>
      </c>
      <c r="E150" s="7" t="s">
        <v>3217</v>
      </c>
      <c r="F150" s="7" t="s">
        <v>3218</v>
      </c>
      <c r="G150" s="7" t="s">
        <v>3805</v>
      </c>
      <c r="H150" s="7" t="n">
        <v>150</v>
      </c>
      <c r="I150" s="7" t="s">
        <v>16</v>
      </c>
      <c r="J150" s="7" t="s">
        <v>16</v>
      </c>
      <c r="K150" s="7" t="s">
        <v>6040</v>
      </c>
      <c r="L150" s="7" t="s">
        <v>6041</v>
      </c>
      <c r="M150" s="7" t="s">
        <v>6042</v>
      </c>
      <c r="N150" s="7"/>
      <c r="O150" s="7"/>
      <c r="P150" s="7" t="s">
        <v>5276</v>
      </c>
      <c r="Q150" s="7" t="s">
        <v>3827</v>
      </c>
      <c r="R150" s="7" t="s">
        <v>3810</v>
      </c>
      <c r="S150" s="7"/>
      <c r="T150" s="7" t="n">
        <v>55</v>
      </c>
      <c r="U150" s="7" t="s">
        <v>6043</v>
      </c>
      <c r="V150" s="7" t="s">
        <v>5269</v>
      </c>
      <c r="W150" s="7" t="s">
        <v>6352</v>
      </c>
      <c r="X150" s="7" t="s">
        <v>6353</v>
      </c>
      <c r="Y150" s="7"/>
      <c r="Z150" s="7"/>
      <c r="AA150" s="7" t="s">
        <v>6046</v>
      </c>
      <c r="AB150" s="7" t="s">
        <v>6041</v>
      </c>
    </row>
    <row r="151" customFormat="false" ht="48" hidden="false" customHeight="true" outlineLevel="0" collapsed="false">
      <c r="A151" s="7" t="n">
        <v>148</v>
      </c>
      <c r="B151" s="7" t="n">
        <v>2422</v>
      </c>
      <c r="C151" s="7" t="s">
        <v>5422</v>
      </c>
      <c r="D151" s="7" t="s">
        <v>26</v>
      </c>
      <c r="E151" s="7" t="s">
        <v>3217</v>
      </c>
      <c r="F151" s="7" t="s">
        <v>3218</v>
      </c>
      <c r="G151" s="7" t="s">
        <v>3805</v>
      </c>
      <c r="H151" s="7" t="n">
        <v>151</v>
      </c>
      <c r="I151" s="7" t="s">
        <v>16</v>
      </c>
      <c r="J151" s="7" t="s">
        <v>16</v>
      </c>
      <c r="K151" s="7" t="s">
        <v>6040</v>
      </c>
      <c r="L151" s="7" t="s">
        <v>6041</v>
      </c>
      <c r="M151" s="7" t="s">
        <v>6042</v>
      </c>
      <c r="N151" s="7"/>
      <c r="O151" s="7"/>
      <c r="P151" s="7" t="s">
        <v>5276</v>
      </c>
      <c r="Q151" s="7" t="s">
        <v>3831</v>
      </c>
      <c r="R151" s="7" t="s">
        <v>3810</v>
      </c>
      <c r="S151" s="7"/>
      <c r="T151" s="7" t="n">
        <v>56</v>
      </c>
      <c r="U151" s="7" t="s">
        <v>6043</v>
      </c>
      <c r="V151" s="7" t="s">
        <v>5269</v>
      </c>
      <c r="W151" s="7" t="s">
        <v>6354</v>
      </c>
      <c r="X151" s="7" t="s">
        <v>6355</v>
      </c>
      <c r="Y151" s="7"/>
      <c r="Z151" s="7"/>
      <c r="AA151" s="7" t="s">
        <v>6046</v>
      </c>
      <c r="AB151" s="7" t="s">
        <v>6041</v>
      </c>
    </row>
    <row r="152" customFormat="false" ht="48" hidden="false" customHeight="true" outlineLevel="0" collapsed="false">
      <c r="A152" s="7" t="n">
        <v>149</v>
      </c>
      <c r="B152" s="7" t="n">
        <v>2423</v>
      </c>
      <c r="C152" s="7" t="s">
        <v>5423</v>
      </c>
      <c r="D152" s="7" t="s">
        <v>26</v>
      </c>
      <c r="E152" s="7" t="s">
        <v>3217</v>
      </c>
      <c r="F152" s="7" t="s">
        <v>3218</v>
      </c>
      <c r="G152" s="7" t="s">
        <v>3805</v>
      </c>
      <c r="H152" s="7" t="n">
        <v>152</v>
      </c>
      <c r="I152" s="7" t="s">
        <v>16</v>
      </c>
      <c r="J152" s="7" t="s">
        <v>16</v>
      </c>
      <c r="K152" s="7" t="s">
        <v>6040</v>
      </c>
      <c r="L152" s="7" t="s">
        <v>6041</v>
      </c>
      <c r="M152" s="7" t="s">
        <v>6042</v>
      </c>
      <c r="N152" s="7"/>
      <c r="O152" s="7"/>
      <c r="P152" s="7" t="s">
        <v>5268</v>
      </c>
      <c r="Q152" s="7" t="s">
        <v>3837</v>
      </c>
      <c r="R152" s="7" t="s">
        <v>3810</v>
      </c>
      <c r="S152" s="7"/>
      <c r="T152" s="7" t="n">
        <v>56</v>
      </c>
      <c r="U152" s="7" t="s">
        <v>6043</v>
      </c>
      <c r="V152" s="7" t="s">
        <v>5269</v>
      </c>
      <c r="W152" s="7" t="s">
        <v>6356</v>
      </c>
      <c r="X152" s="7" t="s">
        <v>6357</v>
      </c>
      <c r="Y152" s="7"/>
      <c r="Z152" s="7"/>
      <c r="AA152" s="7" t="s">
        <v>6046</v>
      </c>
      <c r="AB152" s="7" t="s">
        <v>6041</v>
      </c>
    </row>
    <row r="153" customFormat="false" ht="48" hidden="false" customHeight="true" outlineLevel="0" collapsed="false">
      <c r="A153" s="7" t="n">
        <v>150</v>
      </c>
      <c r="B153" s="7" t="n">
        <v>2424</v>
      </c>
      <c r="C153" s="7" t="s">
        <v>5424</v>
      </c>
      <c r="D153" s="7" t="s">
        <v>26</v>
      </c>
      <c r="E153" s="7" t="s">
        <v>3217</v>
      </c>
      <c r="F153" s="7" t="s">
        <v>3218</v>
      </c>
      <c r="G153" s="7" t="s">
        <v>3805</v>
      </c>
      <c r="H153" s="7" t="n">
        <v>153</v>
      </c>
      <c r="I153" s="7" t="s">
        <v>16</v>
      </c>
      <c r="J153" s="7" t="s">
        <v>16</v>
      </c>
      <c r="K153" s="7" t="s">
        <v>6040</v>
      </c>
      <c r="L153" s="7" t="s">
        <v>6041</v>
      </c>
      <c r="M153" s="7" t="s">
        <v>6042</v>
      </c>
      <c r="N153" s="7"/>
      <c r="O153" s="7"/>
      <c r="P153" s="7" t="s">
        <v>5274</v>
      </c>
      <c r="Q153" s="7" t="s">
        <v>3838</v>
      </c>
      <c r="R153" s="7" t="s">
        <v>3810</v>
      </c>
      <c r="S153" s="7"/>
      <c r="T153" s="7" t="n">
        <v>56</v>
      </c>
      <c r="U153" s="7" t="s">
        <v>6043</v>
      </c>
      <c r="V153" s="7" t="s">
        <v>5269</v>
      </c>
      <c r="W153" s="7" t="s">
        <v>6358</v>
      </c>
      <c r="X153" s="7" t="s">
        <v>6359</v>
      </c>
      <c r="Y153" s="7"/>
      <c r="Z153" s="7"/>
      <c r="AA153" s="7" t="s">
        <v>6046</v>
      </c>
      <c r="AB153" s="7" t="s">
        <v>6041</v>
      </c>
    </row>
    <row r="154" customFormat="false" ht="48" hidden="false" customHeight="true" outlineLevel="0" collapsed="false">
      <c r="A154" s="7" t="n">
        <v>151</v>
      </c>
      <c r="B154" s="7" t="n">
        <v>2425</v>
      </c>
      <c r="C154" s="7" t="s">
        <v>5425</v>
      </c>
      <c r="D154" s="7" t="s">
        <v>26</v>
      </c>
      <c r="E154" s="7" t="s">
        <v>3217</v>
      </c>
      <c r="F154" s="7" t="s">
        <v>3218</v>
      </c>
      <c r="G154" s="7" t="s">
        <v>3805</v>
      </c>
      <c r="H154" s="7" t="n">
        <v>154</v>
      </c>
      <c r="I154" s="7" t="s">
        <v>16</v>
      </c>
      <c r="J154" s="7" t="s">
        <v>16</v>
      </c>
      <c r="K154" s="7" t="s">
        <v>6040</v>
      </c>
      <c r="L154" s="7" t="s">
        <v>6041</v>
      </c>
      <c r="M154" s="7" t="s">
        <v>6047</v>
      </c>
      <c r="N154" s="7" t="s">
        <v>5272</v>
      </c>
      <c r="O154" s="7"/>
      <c r="P154" s="7" t="s">
        <v>5276</v>
      </c>
      <c r="Q154" s="7" t="s">
        <v>3842</v>
      </c>
      <c r="R154" s="7" t="s">
        <v>3810</v>
      </c>
      <c r="S154" s="7"/>
      <c r="T154" s="7" t="n">
        <v>57</v>
      </c>
      <c r="U154" s="7" t="s">
        <v>6043</v>
      </c>
      <c r="V154" s="7" t="s">
        <v>5269</v>
      </c>
      <c r="W154" s="7" t="s">
        <v>6360</v>
      </c>
      <c r="X154" s="7" t="s">
        <v>6361</v>
      </c>
      <c r="Y154" s="7"/>
      <c r="Z154" s="7"/>
      <c r="AA154" s="7" t="s">
        <v>6046</v>
      </c>
      <c r="AB154" s="7" t="s">
        <v>6041</v>
      </c>
    </row>
    <row r="155" customFormat="false" ht="48" hidden="false" customHeight="true" outlineLevel="0" collapsed="false">
      <c r="A155" s="7" t="n">
        <v>152</v>
      </c>
      <c r="B155" s="7" t="n">
        <v>2426</v>
      </c>
      <c r="C155" s="7" t="s">
        <v>5426</v>
      </c>
      <c r="D155" s="7" t="s">
        <v>26</v>
      </c>
      <c r="E155" s="7" t="s">
        <v>3217</v>
      </c>
      <c r="F155" s="7" t="s">
        <v>3218</v>
      </c>
      <c r="G155" s="7" t="s">
        <v>3805</v>
      </c>
      <c r="H155" s="7" t="n">
        <v>155</v>
      </c>
      <c r="I155" s="7" t="s">
        <v>16</v>
      </c>
      <c r="J155" s="7" t="s">
        <v>16</v>
      </c>
      <c r="K155" s="7" t="s">
        <v>6040</v>
      </c>
      <c r="L155" s="7" t="s">
        <v>6041</v>
      </c>
      <c r="M155" s="7" t="s">
        <v>6042</v>
      </c>
      <c r="N155" s="7"/>
      <c r="O155" s="7"/>
      <c r="P155" s="7" t="s">
        <v>5268</v>
      </c>
      <c r="Q155" s="7" t="s">
        <v>3848</v>
      </c>
      <c r="R155" s="7" t="s">
        <v>3810</v>
      </c>
      <c r="S155" s="7"/>
      <c r="T155" s="7" t="n">
        <v>57</v>
      </c>
      <c r="U155" s="7" t="s">
        <v>6043</v>
      </c>
      <c r="V155" s="7" t="s">
        <v>5269</v>
      </c>
      <c r="W155" s="7" t="s">
        <v>6362</v>
      </c>
      <c r="X155" s="7" t="s">
        <v>6363</v>
      </c>
      <c r="Y155" s="7"/>
      <c r="Z155" s="7"/>
      <c r="AA155" s="7" t="s">
        <v>6046</v>
      </c>
      <c r="AB155" s="7" t="s">
        <v>6041</v>
      </c>
    </row>
    <row r="156" customFormat="false" ht="48" hidden="false" customHeight="true" outlineLevel="0" collapsed="false">
      <c r="A156" s="7" t="n">
        <v>153</v>
      </c>
      <c r="B156" s="7" t="n">
        <v>2427</v>
      </c>
      <c r="C156" s="7" t="s">
        <v>5427</v>
      </c>
      <c r="D156" s="7" t="s">
        <v>26</v>
      </c>
      <c r="E156" s="7" t="s">
        <v>3217</v>
      </c>
      <c r="F156" s="7" t="s">
        <v>3218</v>
      </c>
      <c r="G156" s="7" t="s">
        <v>3805</v>
      </c>
      <c r="H156" s="7" t="n">
        <v>156</v>
      </c>
      <c r="I156" s="7" t="s">
        <v>16</v>
      </c>
      <c r="J156" s="7" t="s">
        <v>16</v>
      </c>
      <c r="K156" s="7" t="s">
        <v>6040</v>
      </c>
      <c r="L156" s="7" t="s">
        <v>6041</v>
      </c>
      <c r="M156" s="7" t="s">
        <v>6042</v>
      </c>
      <c r="N156" s="7"/>
      <c r="O156" s="7"/>
      <c r="P156" s="7" t="s">
        <v>5268</v>
      </c>
      <c r="Q156" s="7" t="s">
        <v>3852</v>
      </c>
      <c r="R156" s="7" t="s">
        <v>3810</v>
      </c>
      <c r="S156" s="7"/>
      <c r="T156" s="7" t="n">
        <v>57</v>
      </c>
      <c r="U156" s="7" t="s">
        <v>6043</v>
      </c>
      <c r="V156" s="7" t="s">
        <v>5269</v>
      </c>
      <c r="W156" s="7" t="s">
        <v>6364</v>
      </c>
      <c r="X156" s="7" t="s">
        <v>6365</v>
      </c>
      <c r="Y156" s="7"/>
      <c r="Z156" s="7"/>
      <c r="AA156" s="7" t="s">
        <v>6046</v>
      </c>
      <c r="AB156" s="7" t="s">
        <v>6041</v>
      </c>
    </row>
    <row r="157" customFormat="false" ht="48" hidden="false" customHeight="true" outlineLevel="0" collapsed="false">
      <c r="A157" s="7" t="n">
        <v>154</v>
      </c>
      <c r="B157" s="7" t="n">
        <v>2428</v>
      </c>
      <c r="C157" s="7" t="s">
        <v>5428</v>
      </c>
      <c r="D157" s="7" t="s">
        <v>26</v>
      </c>
      <c r="E157" s="7" t="s">
        <v>3217</v>
      </c>
      <c r="F157" s="7" t="s">
        <v>3218</v>
      </c>
      <c r="G157" s="7" t="s">
        <v>3805</v>
      </c>
      <c r="H157" s="7" t="n">
        <v>157</v>
      </c>
      <c r="I157" s="7" t="s">
        <v>16</v>
      </c>
      <c r="J157" s="7" t="s">
        <v>16</v>
      </c>
      <c r="K157" s="7" t="s">
        <v>6040</v>
      </c>
      <c r="L157" s="7" t="s">
        <v>6041</v>
      </c>
      <c r="M157" s="7" t="s">
        <v>6042</v>
      </c>
      <c r="N157" s="7"/>
      <c r="O157" s="7"/>
      <c r="P157" s="7" t="s">
        <v>5271</v>
      </c>
      <c r="Q157" s="7" t="s">
        <v>3855</v>
      </c>
      <c r="R157" s="7" t="s">
        <v>3810</v>
      </c>
      <c r="S157" s="7"/>
      <c r="T157" s="7" t="n">
        <v>57</v>
      </c>
      <c r="U157" s="7" t="s">
        <v>6043</v>
      </c>
      <c r="V157" s="7" t="s">
        <v>5269</v>
      </c>
      <c r="W157" s="7" t="s">
        <v>6366</v>
      </c>
      <c r="X157" s="7" t="s">
        <v>6367</v>
      </c>
      <c r="Y157" s="7"/>
      <c r="Z157" s="7"/>
      <c r="AA157" s="7" t="s">
        <v>6046</v>
      </c>
      <c r="AB157" s="7" t="s">
        <v>6041</v>
      </c>
    </row>
    <row r="158" customFormat="false" ht="48" hidden="false" customHeight="true" outlineLevel="0" collapsed="false">
      <c r="A158" s="7" t="n">
        <v>155</v>
      </c>
      <c r="B158" s="7" t="n">
        <v>2429</v>
      </c>
      <c r="C158" s="7" t="s">
        <v>5429</v>
      </c>
      <c r="D158" s="7" t="s">
        <v>26</v>
      </c>
      <c r="E158" s="7" t="s">
        <v>3217</v>
      </c>
      <c r="F158" s="7" t="s">
        <v>3218</v>
      </c>
      <c r="G158" s="7" t="s">
        <v>3805</v>
      </c>
      <c r="H158" s="7" t="n">
        <v>158</v>
      </c>
      <c r="I158" s="7" t="s">
        <v>16</v>
      </c>
      <c r="J158" s="7" t="s">
        <v>16</v>
      </c>
      <c r="K158" s="7" t="s">
        <v>6040</v>
      </c>
      <c r="L158" s="7" t="s">
        <v>6041</v>
      </c>
      <c r="M158" s="7" t="s">
        <v>6047</v>
      </c>
      <c r="N158" s="7" t="s">
        <v>5272</v>
      </c>
      <c r="O158" s="7"/>
      <c r="P158" s="7" t="s">
        <v>5271</v>
      </c>
      <c r="Q158" s="7" t="s">
        <v>3859</v>
      </c>
      <c r="R158" s="7" t="s">
        <v>3810</v>
      </c>
      <c r="S158" s="7"/>
      <c r="T158" s="7" t="n">
        <v>58</v>
      </c>
      <c r="U158" s="7" t="s">
        <v>6043</v>
      </c>
      <c r="V158" s="7" t="s">
        <v>5269</v>
      </c>
      <c r="W158" s="7" t="s">
        <v>6368</v>
      </c>
      <c r="X158" s="7" t="s">
        <v>6369</v>
      </c>
      <c r="Y158" s="7"/>
      <c r="Z158" s="7"/>
      <c r="AA158" s="7" t="s">
        <v>6046</v>
      </c>
      <c r="AB158" s="7" t="s">
        <v>6041</v>
      </c>
    </row>
    <row r="159" customFormat="false" ht="48" hidden="false" customHeight="true" outlineLevel="0" collapsed="false">
      <c r="A159" s="7" t="n">
        <v>156</v>
      </c>
      <c r="B159" s="7" t="n">
        <v>2430</v>
      </c>
      <c r="C159" s="7" t="s">
        <v>5430</v>
      </c>
      <c r="D159" s="7" t="s">
        <v>26</v>
      </c>
      <c r="E159" s="7" t="s">
        <v>3217</v>
      </c>
      <c r="F159" s="7" t="s">
        <v>3218</v>
      </c>
      <c r="G159" s="7" t="s">
        <v>3805</v>
      </c>
      <c r="H159" s="7" t="n">
        <v>159</v>
      </c>
      <c r="I159" s="7" t="s">
        <v>16</v>
      </c>
      <c r="J159" s="7" t="s">
        <v>16</v>
      </c>
      <c r="K159" s="7" t="s">
        <v>6040</v>
      </c>
      <c r="L159" s="7" t="s">
        <v>6041</v>
      </c>
      <c r="M159" s="7" t="s">
        <v>6047</v>
      </c>
      <c r="N159" s="7" t="s">
        <v>5272</v>
      </c>
      <c r="O159" s="7"/>
      <c r="P159" s="7" t="s">
        <v>5271</v>
      </c>
      <c r="Q159" s="7" t="s">
        <v>3863</v>
      </c>
      <c r="R159" s="7" t="s">
        <v>3810</v>
      </c>
      <c r="S159" s="7"/>
      <c r="T159" s="7" t="n">
        <v>58</v>
      </c>
      <c r="U159" s="7" t="s">
        <v>6043</v>
      </c>
      <c r="V159" s="7" t="s">
        <v>5269</v>
      </c>
      <c r="W159" s="7" t="s">
        <v>6370</v>
      </c>
      <c r="X159" s="7" t="s">
        <v>6371</v>
      </c>
      <c r="Y159" s="7"/>
      <c r="Z159" s="7"/>
      <c r="AA159" s="7" t="s">
        <v>6046</v>
      </c>
      <c r="AB159" s="7" t="s">
        <v>6041</v>
      </c>
    </row>
    <row r="160" customFormat="false" ht="48" hidden="false" customHeight="true" outlineLevel="0" collapsed="false">
      <c r="A160" s="7" t="n">
        <v>157</v>
      </c>
      <c r="B160" s="7" t="n">
        <v>2431</v>
      </c>
      <c r="C160" s="7" t="s">
        <v>5431</v>
      </c>
      <c r="D160" s="7" t="s">
        <v>26</v>
      </c>
      <c r="E160" s="7" t="s">
        <v>3217</v>
      </c>
      <c r="F160" s="7" t="s">
        <v>3218</v>
      </c>
      <c r="G160" s="7" t="s">
        <v>3805</v>
      </c>
      <c r="H160" s="7" t="n">
        <v>160</v>
      </c>
      <c r="I160" s="7" t="s">
        <v>16</v>
      </c>
      <c r="J160" s="7" t="s">
        <v>16</v>
      </c>
      <c r="K160" s="7" t="s">
        <v>6040</v>
      </c>
      <c r="L160" s="7" t="s">
        <v>6041</v>
      </c>
      <c r="M160" s="7" t="s">
        <v>6042</v>
      </c>
      <c r="N160" s="7"/>
      <c r="O160" s="7"/>
      <c r="P160" s="7" t="s">
        <v>5271</v>
      </c>
      <c r="Q160" s="7" t="s">
        <v>3867</v>
      </c>
      <c r="R160" s="7" t="s">
        <v>3810</v>
      </c>
      <c r="S160" s="7"/>
      <c r="T160" s="7" t="n">
        <v>58</v>
      </c>
      <c r="U160" s="7" t="s">
        <v>6043</v>
      </c>
      <c r="V160" s="7" t="s">
        <v>5269</v>
      </c>
      <c r="W160" s="7" t="s">
        <v>6372</v>
      </c>
      <c r="X160" s="7" t="s">
        <v>6373</v>
      </c>
      <c r="Y160" s="7"/>
      <c r="Z160" s="7"/>
      <c r="AA160" s="7" t="s">
        <v>6046</v>
      </c>
      <c r="AB160" s="7" t="s">
        <v>6041</v>
      </c>
    </row>
    <row r="161" customFormat="false" ht="48" hidden="false" customHeight="true" outlineLevel="0" collapsed="false">
      <c r="A161" s="7" t="n">
        <v>158</v>
      </c>
      <c r="B161" s="7" t="n">
        <v>2432</v>
      </c>
      <c r="C161" s="7" t="s">
        <v>5432</v>
      </c>
      <c r="D161" s="7" t="s">
        <v>26</v>
      </c>
      <c r="E161" s="7" t="s">
        <v>3217</v>
      </c>
      <c r="F161" s="7" t="s">
        <v>3218</v>
      </c>
      <c r="G161" s="7" t="s">
        <v>3805</v>
      </c>
      <c r="H161" s="7" t="n">
        <v>161</v>
      </c>
      <c r="I161" s="7" t="s">
        <v>16</v>
      </c>
      <c r="J161" s="7" t="s">
        <v>16</v>
      </c>
      <c r="K161" s="7" t="s">
        <v>6040</v>
      </c>
      <c r="L161" s="7" t="s">
        <v>6041</v>
      </c>
      <c r="M161" s="7" t="s">
        <v>6042</v>
      </c>
      <c r="N161" s="7"/>
      <c r="O161" s="7"/>
      <c r="P161" s="7" t="s">
        <v>5276</v>
      </c>
      <c r="Q161" s="7" t="s">
        <v>3869</v>
      </c>
      <c r="R161" s="7" t="s">
        <v>3810</v>
      </c>
      <c r="S161" s="7"/>
      <c r="T161" s="7" t="n">
        <v>59</v>
      </c>
      <c r="U161" s="7" t="s">
        <v>6043</v>
      </c>
      <c r="V161" s="7" t="s">
        <v>5269</v>
      </c>
      <c r="W161" s="7" t="s">
        <v>6374</v>
      </c>
      <c r="X161" s="7" t="s">
        <v>6375</v>
      </c>
      <c r="Y161" s="7"/>
      <c r="Z161" s="7"/>
      <c r="AA161" s="7" t="s">
        <v>6046</v>
      </c>
      <c r="AB161" s="7" t="s">
        <v>6041</v>
      </c>
    </row>
    <row r="162" customFormat="false" ht="48" hidden="false" customHeight="true" outlineLevel="0" collapsed="false">
      <c r="A162" s="7" t="n">
        <v>159</v>
      </c>
      <c r="B162" s="7" t="n">
        <v>2433</v>
      </c>
      <c r="C162" s="7" t="s">
        <v>5433</v>
      </c>
      <c r="D162" s="7" t="s">
        <v>26</v>
      </c>
      <c r="E162" s="7" t="s">
        <v>3217</v>
      </c>
      <c r="F162" s="7" t="s">
        <v>3218</v>
      </c>
      <c r="G162" s="7" t="s">
        <v>3805</v>
      </c>
      <c r="H162" s="7" t="n">
        <v>162</v>
      </c>
      <c r="I162" s="7" t="s">
        <v>16</v>
      </c>
      <c r="J162" s="7" t="s">
        <v>16</v>
      </c>
      <c r="K162" s="7" t="s">
        <v>6040</v>
      </c>
      <c r="L162" s="7" t="s">
        <v>6041</v>
      </c>
      <c r="M162" s="7" t="s">
        <v>6042</v>
      </c>
      <c r="N162" s="7"/>
      <c r="O162" s="7"/>
      <c r="P162" s="7" t="s">
        <v>5271</v>
      </c>
      <c r="Q162" s="7" t="s">
        <v>3874</v>
      </c>
      <c r="R162" s="7" t="s">
        <v>3810</v>
      </c>
      <c r="S162" s="7"/>
      <c r="T162" s="7" t="n">
        <v>59</v>
      </c>
      <c r="U162" s="7" t="s">
        <v>6043</v>
      </c>
      <c r="V162" s="7" t="s">
        <v>5269</v>
      </c>
      <c r="W162" s="7" t="s">
        <v>6376</v>
      </c>
      <c r="X162" s="7" t="s">
        <v>6377</v>
      </c>
      <c r="Y162" s="7"/>
      <c r="Z162" s="7"/>
      <c r="AA162" s="7" t="s">
        <v>6046</v>
      </c>
      <c r="AB162" s="7" t="s">
        <v>6041</v>
      </c>
    </row>
    <row r="163" customFormat="false" ht="48" hidden="false" customHeight="true" outlineLevel="0" collapsed="false">
      <c r="A163" s="7" t="n">
        <v>160</v>
      </c>
      <c r="B163" s="7" t="n">
        <v>2434</v>
      </c>
      <c r="C163" s="7" t="s">
        <v>5434</v>
      </c>
      <c r="D163" s="7" t="s">
        <v>26</v>
      </c>
      <c r="E163" s="7" t="s">
        <v>3217</v>
      </c>
      <c r="F163" s="7" t="s">
        <v>3218</v>
      </c>
      <c r="G163" s="7" t="s">
        <v>3805</v>
      </c>
      <c r="H163" s="7" t="n">
        <v>163</v>
      </c>
      <c r="I163" s="7" t="s">
        <v>16</v>
      </c>
      <c r="J163" s="7" t="s">
        <v>16</v>
      </c>
      <c r="K163" s="7" t="s">
        <v>6040</v>
      </c>
      <c r="L163" s="7" t="s">
        <v>6041</v>
      </c>
      <c r="M163" s="7" t="s">
        <v>6042</v>
      </c>
      <c r="N163" s="7"/>
      <c r="O163" s="7"/>
      <c r="P163" s="7" t="s">
        <v>5268</v>
      </c>
      <c r="Q163" s="7" t="s">
        <v>3879</v>
      </c>
      <c r="R163" s="7" t="s">
        <v>3810</v>
      </c>
      <c r="S163" s="7"/>
      <c r="T163" s="7" t="n">
        <v>59</v>
      </c>
      <c r="U163" s="7" t="s">
        <v>6043</v>
      </c>
      <c r="V163" s="7" t="s">
        <v>5269</v>
      </c>
      <c r="W163" s="7" t="s">
        <v>6378</v>
      </c>
      <c r="X163" s="7" t="s">
        <v>6379</v>
      </c>
      <c r="Y163" s="7"/>
      <c r="Z163" s="7"/>
      <c r="AA163" s="7" t="s">
        <v>6046</v>
      </c>
      <c r="AB163" s="7" t="s">
        <v>6041</v>
      </c>
    </row>
    <row r="164" customFormat="false" ht="48" hidden="false" customHeight="true" outlineLevel="0" collapsed="false">
      <c r="A164" s="7" t="n">
        <v>161</v>
      </c>
      <c r="B164" s="7" t="n">
        <v>2435</v>
      </c>
      <c r="C164" s="7" t="s">
        <v>5435</v>
      </c>
      <c r="D164" s="7" t="s">
        <v>26</v>
      </c>
      <c r="E164" s="7" t="s">
        <v>3217</v>
      </c>
      <c r="F164" s="7" t="s">
        <v>3218</v>
      </c>
      <c r="G164" s="7" t="s">
        <v>3805</v>
      </c>
      <c r="H164" s="7" t="n">
        <v>164</v>
      </c>
      <c r="I164" s="7" t="s">
        <v>16</v>
      </c>
      <c r="J164" s="7" t="s">
        <v>16</v>
      </c>
      <c r="K164" s="7" t="s">
        <v>6040</v>
      </c>
      <c r="L164" s="7" t="s">
        <v>6041</v>
      </c>
      <c r="M164" s="7" t="s">
        <v>6042</v>
      </c>
      <c r="N164" s="7"/>
      <c r="O164" s="7"/>
      <c r="P164" s="7" t="s">
        <v>5276</v>
      </c>
      <c r="Q164" s="7" t="s">
        <v>3881</v>
      </c>
      <c r="R164" s="7" t="s">
        <v>3810</v>
      </c>
      <c r="S164" s="7"/>
      <c r="T164" s="7" t="n">
        <v>59</v>
      </c>
      <c r="U164" s="7" t="s">
        <v>6043</v>
      </c>
      <c r="V164" s="7" t="s">
        <v>5269</v>
      </c>
      <c r="W164" s="7" t="s">
        <v>6380</v>
      </c>
      <c r="X164" s="7" t="s">
        <v>6381</v>
      </c>
      <c r="Y164" s="7"/>
      <c r="Z164" s="7"/>
      <c r="AA164" s="7" t="s">
        <v>6046</v>
      </c>
      <c r="AB164" s="7" t="s">
        <v>6041</v>
      </c>
    </row>
    <row r="165" customFormat="false" ht="48" hidden="false" customHeight="true" outlineLevel="0" collapsed="false">
      <c r="A165" s="7" t="n">
        <v>162</v>
      </c>
      <c r="B165" s="7" t="n">
        <v>2436</v>
      </c>
      <c r="C165" s="7" t="s">
        <v>5436</v>
      </c>
      <c r="D165" s="7" t="s">
        <v>26</v>
      </c>
      <c r="E165" s="7" t="s">
        <v>3217</v>
      </c>
      <c r="F165" s="7" t="s">
        <v>3218</v>
      </c>
      <c r="G165" s="7" t="s">
        <v>3805</v>
      </c>
      <c r="H165" s="7" t="n">
        <v>165</v>
      </c>
      <c r="I165" s="7" t="s">
        <v>16</v>
      </c>
      <c r="J165" s="7" t="s">
        <v>16</v>
      </c>
      <c r="K165" s="7" t="s">
        <v>6040</v>
      </c>
      <c r="L165" s="7" t="s">
        <v>6041</v>
      </c>
      <c r="M165" s="7" t="s">
        <v>6042</v>
      </c>
      <c r="N165" s="7"/>
      <c r="O165" s="7"/>
      <c r="P165" s="7" t="s">
        <v>5268</v>
      </c>
      <c r="Q165" s="7" t="s">
        <v>3837</v>
      </c>
      <c r="R165" s="7" t="s">
        <v>3810</v>
      </c>
      <c r="S165" s="7"/>
      <c r="T165" s="7" t="n">
        <v>60</v>
      </c>
      <c r="U165" s="7" t="s">
        <v>6043</v>
      </c>
      <c r="V165" s="7" t="s">
        <v>5269</v>
      </c>
      <c r="W165" s="7" t="s">
        <v>6382</v>
      </c>
      <c r="X165" s="7" t="s">
        <v>6383</v>
      </c>
      <c r="Y165" s="7"/>
      <c r="Z165" s="7"/>
      <c r="AA165" s="7" t="s">
        <v>6046</v>
      </c>
      <c r="AB165" s="7" t="s">
        <v>6041</v>
      </c>
    </row>
    <row r="166" customFormat="false" ht="48" hidden="false" customHeight="true" outlineLevel="0" collapsed="false">
      <c r="A166" s="7" t="n">
        <v>163</v>
      </c>
      <c r="B166" s="7" t="n">
        <v>2437</v>
      </c>
      <c r="C166" s="7" t="s">
        <v>5437</v>
      </c>
      <c r="D166" s="7" t="s">
        <v>26</v>
      </c>
      <c r="E166" s="7" t="s">
        <v>3217</v>
      </c>
      <c r="F166" s="7" t="s">
        <v>3218</v>
      </c>
      <c r="G166" s="7" t="s">
        <v>3805</v>
      </c>
      <c r="H166" s="7" t="n">
        <v>166</v>
      </c>
      <c r="I166" s="7" t="s">
        <v>16</v>
      </c>
      <c r="J166" s="7" t="s">
        <v>16</v>
      </c>
      <c r="K166" s="7" t="s">
        <v>6040</v>
      </c>
      <c r="L166" s="7" t="s">
        <v>6041</v>
      </c>
      <c r="M166" s="7" t="s">
        <v>6042</v>
      </c>
      <c r="N166" s="7"/>
      <c r="O166" s="7"/>
      <c r="P166" s="7" t="s">
        <v>5271</v>
      </c>
      <c r="Q166" s="7" t="s">
        <v>3889</v>
      </c>
      <c r="R166" s="7" t="s">
        <v>3810</v>
      </c>
      <c r="S166" s="7"/>
      <c r="T166" s="7" t="n">
        <v>60</v>
      </c>
      <c r="U166" s="7" t="s">
        <v>6043</v>
      </c>
      <c r="V166" s="7" t="s">
        <v>5269</v>
      </c>
      <c r="W166" s="7" t="s">
        <v>6384</v>
      </c>
      <c r="X166" s="7" t="s">
        <v>6385</v>
      </c>
      <c r="Y166" s="7"/>
      <c r="Z166" s="7"/>
      <c r="AA166" s="7" t="s">
        <v>6046</v>
      </c>
      <c r="AB166" s="7" t="s">
        <v>6041</v>
      </c>
    </row>
    <row r="167" customFormat="false" ht="48" hidden="false" customHeight="true" outlineLevel="0" collapsed="false">
      <c r="A167" s="7" t="n">
        <v>164</v>
      </c>
      <c r="B167" s="7" t="n">
        <v>2438</v>
      </c>
      <c r="C167" s="7" t="s">
        <v>5438</v>
      </c>
      <c r="D167" s="7" t="s">
        <v>26</v>
      </c>
      <c r="E167" s="7" t="s">
        <v>3217</v>
      </c>
      <c r="F167" s="7" t="s">
        <v>3218</v>
      </c>
      <c r="G167" s="7" t="s">
        <v>3805</v>
      </c>
      <c r="H167" s="7" t="n">
        <v>167</v>
      </c>
      <c r="I167" s="7" t="s">
        <v>16</v>
      </c>
      <c r="J167" s="7" t="s">
        <v>16</v>
      </c>
      <c r="K167" s="7" t="s">
        <v>6040</v>
      </c>
      <c r="L167" s="7" t="s">
        <v>6041</v>
      </c>
      <c r="M167" s="7" t="s">
        <v>6042</v>
      </c>
      <c r="N167" s="7"/>
      <c r="O167" s="7"/>
      <c r="P167" s="7" t="s">
        <v>5268</v>
      </c>
      <c r="Q167" s="7" t="s">
        <v>3837</v>
      </c>
      <c r="R167" s="7" t="s">
        <v>3810</v>
      </c>
      <c r="S167" s="7"/>
      <c r="T167" s="7" t="n">
        <v>60</v>
      </c>
      <c r="U167" s="7" t="s">
        <v>6043</v>
      </c>
      <c r="V167" s="7" t="s">
        <v>5269</v>
      </c>
      <c r="W167" s="7" t="s">
        <v>6386</v>
      </c>
      <c r="X167" s="7" t="s">
        <v>6387</v>
      </c>
      <c r="Y167" s="7"/>
      <c r="Z167" s="7"/>
      <c r="AA167" s="7" t="s">
        <v>6046</v>
      </c>
      <c r="AB167" s="7" t="s">
        <v>6041</v>
      </c>
    </row>
    <row r="168" customFormat="false" ht="48" hidden="false" customHeight="true" outlineLevel="0" collapsed="false">
      <c r="A168" s="7" t="n">
        <v>165</v>
      </c>
      <c r="B168" s="7" t="n">
        <v>2439</v>
      </c>
      <c r="C168" s="7" t="s">
        <v>5439</v>
      </c>
      <c r="D168" s="7" t="s">
        <v>26</v>
      </c>
      <c r="E168" s="7" t="s">
        <v>3217</v>
      </c>
      <c r="F168" s="7" t="s">
        <v>3218</v>
      </c>
      <c r="G168" s="7" t="s">
        <v>3805</v>
      </c>
      <c r="H168" s="7" t="n">
        <v>168</v>
      </c>
      <c r="I168" s="7" t="s">
        <v>16</v>
      </c>
      <c r="J168" s="7" t="s">
        <v>16</v>
      </c>
      <c r="K168" s="7" t="s">
        <v>6040</v>
      </c>
      <c r="L168" s="7" t="s">
        <v>6041</v>
      </c>
      <c r="M168" s="7" t="s">
        <v>6042</v>
      </c>
      <c r="N168" s="7"/>
      <c r="O168" s="7"/>
      <c r="P168" s="7" t="s">
        <v>5274</v>
      </c>
      <c r="Q168" s="7" t="s">
        <v>3894</v>
      </c>
      <c r="R168" s="7" t="s">
        <v>3810</v>
      </c>
      <c r="S168" s="7"/>
      <c r="T168" s="7" t="n">
        <v>61</v>
      </c>
      <c r="U168" s="7" t="s">
        <v>6043</v>
      </c>
      <c r="V168" s="7" t="s">
        <v>5269</v>
      </c>
      <c r="W168" s="7" t="s">
        <v>6388</v>
      </c>
      <c r="X168" s="7" t="s">
        <v>6389</v>
      </c>
      <c r="Y168" s="7"/>
      <c r="Z168" s="7"/>
      <c r="AA168" s="7" t="s">
        <v>6046</v>
      </c>
      <c r="AB168" s="7" t="s">
        <v>6041</v>
      </c>
    </row>
    <row r="169" customFormat="false" ht="48" hidden="false" customHeight="true" outlineLevel="0" collapsed="false">
      <c r="A169" s="7" t="n">
        <v>166</v>
      </c>
      <c r="B169" s="7" t="n">
        <v>2740</v>
      </c>
      <c r="C169" s="7" t="s">
        <v>5441</v>
      </c>
      <c r="D169" s="7" t="s">
        <v>29</v>
      </c>
      <c r="E169" s="7" t="s">
        <v>3217</v>
      </c>
      <c r="F169" s="7" t="s">
        <v>3898</v>
      </c>
      <c r="G169" s="7" t="s">
        <v>3899</v>
      </c>
      <c r="H169" s="7" t="n">
        <v>91</v>
      </c>
      <c r="I169" s="7" t="s">
        <v>16</v>
      </c>
      <c r="J169" s="7" t="s">
        <v>16</v>
      </c>
      <c r="K169" s="7" t="s">
        <v>6040</v>
      </c>
      <c r="L169" s="7" t="s">
        <v>6041</v>
      </c>
      <c r="M169" s="7" t="s">
        <v>6042</v>
      </c>
      <c r="N169" s="7"/>
      <c r="O169" s="7"/>
      <c r="P169" s="7" t="s">
        <v>5271</v>
      </c>
      <c r="Q169" s="7" t="s">
        <v>3903</v>
      </c>
      <c r="R169" s="7" t="s">
        <v>3905</v>
      </c>
      <c r="S169" s="7"/>
      <c r="T169" s="7" t="n">
        <v>20</v>
      </c>
      <c r="U169" s="7" t="s">
        <v>6390</v>
      </c>
      <c r="V169" s="7" t="s">
        <v>5440</v>
      </c>
      <c r="W169" s="7" t="s">
        <v>6391</v>
      </c>
      <c r="X169" s="7" t="s">
        <v>6392</v>
      </c>
      <c r="Y169" s="7"/>
      <c r="Z169" s="7" t="s">
        <v>3905</v>
      </c>
      <c r="AA169" s="7" t="s">
        <v>6046</v>
      </c>
      <c r="AB169" s="7" t="s">
        <v>6041</v>
      </c>
    </row>
    <row r="170" customFormat="false" ht="48" hidden="false" customHeight="true" outlineLevel="0" collapsed="false">
      <c r="A170" s="7" t="n">
        <v>167</v>
      </c>
      <c r="B170" s="7" t="n">
        <v>2741</v>
      </c>
      <c r="C170" s="7" t="s">
        <v>5442</v>
      </c>
      <c r="D170" s="7" t="s">
        <v>29</v>
      </c>
      <c r="E170" s="7" t="s">
        <v>3217</v>
      </c>
      <c r="F170" s="7" t="s">
        <v>3898</v>
      </c>
      <c r="G170" s="7" t="s">
        <v>3899</v>
      </c>
      <c r="H170" s="7" t="n">
        <v>92</v>
      </c>
      <c r="I170" s="7" t="s">
        <v>16</v>
      </c>
      <c r="J170" s="7" t="s">
        <v>16</v>
      </c>
      <c r="K170" s="7" t="s">
        <v>6040</v>
      </c>
      <c r="L170" s="7" t="s">
        <v>6041</v>
      </c>
      <c r="M170" s="7" t="s">
        <v>6047</v>
      </c>
      <c r="N170" s="7" t="s">
        <v>5272</v>
      </c>
      <c r="O170" s="7"/>
      <c r="P170" s="7" t="s">
        <v>5268</v>
      </c>
      <c r="Q170" s="7" t="s">
        <v>3910</v>
      </c>
      <c r="R170" s="7" t="s">
        <v>3905</v>
      </c>
      <c r="S170" s="7"/>
      <c r="T170" s="7" t="n">
        <v>20</v>
      </c>
      <c r="U170" s="7" t="s">
        <v>6390</v>
      </c>
      <c r="V170" s="7" t="s">
        <v>5440</v>
      </c>
      <c r="W170" s="7" t="s">
        <v>6393</v>
      </c>
      <c r="X170" s="7" t="s">
        <v>6394</v>
      </c>
      <c r="Y170" s="7"/>
      <c r="Z170" s="7" t="s">
        <v>3905</v>
      </c>
      <c r="AA170" s="7" t="s">
        <v>6046</v>
      </c>
      <c r="AB170" s="7" t="s">
        <v>6041</v>
      </c>
    </row>
    <row r="171" customFormat="false" ht="48" hidden="false" customHeight="true" outlineLevel="0" collapsed="false">
      <c r="A171" s="7" t="n">
        <v>168</v>
      </c>
      <c r="B171" s="7" t="n">
        <v>2742</v>
      </c>
      <c r="C171" s="7" t="s">
        <v>5443</v>
      </c>
      <c r="D171" s="7" t="s">
        <v>29</v>
      </c>
      <c r="E171" s="7" t="s">
        <v>3217</v>
      </c>
      <c r="F171" s="7" t="s">
        <v>3898</v>
      </c>
      <c r="G171" s="7" t="s">
        <v>3899</v>
      </c>
      <c r="H171" s="7" t="n">
        <v>93</v>
      </c>
      <c r="I171" s="7" t="s">
        <v>16</v>
      </c>
      <c r="J171" s="7" t="s">
        <v>16</v>
      </c>
      <c r="K171" s="7" t="s">
        <v>6040</v>
      </c>
      <c r="L171" s="7" t="s">
        <v>6041</v>
      </c>
      <c r="M171" s="7" t="s">
        <v>6042</v>
      </c>
      <c r="N171" s="7"/>
      <c r="O171" s="7"/>
      <c r="P171" s="7" t="s">
        <v>5276</v>
      </c>
      <c r="Q171" s="7" t="s">
        <v>3912</v>
      </c>
      <c r="R171" s="7" t="s">
        <v>3905</v>
      </c>
      <c r="S171" s="7"/>
      <c r="T171" s="7" t="n">
        <v>20</v>
      </c>
      <c r="U171" s="7" t="s">
        <v>6390</v>
      </c>
      <c r="V171" s="7" t="s">
        <v>5440</v>
      </c>
      <c r="W171" s="7" t="s">
        <v>6395</v>
      </c>
      <c r="X171" s="7" t="s">
        <v>6396</v>
      </c>
      <c r="Y171" s="7"/>
      <c r="Z171" s="7" t="s">
        <v>3905</v>
      </c>
      <c r="AA171" s="7" t="s">
        <v>6046</v>
      </c>
      <c r="AB171" s="7" t="s">
        <v>6041</v>
      </c>
    </row>
    <row r="172" customFormat="false" ht="48" hidden="false" customHeight="true" outlineLevel="0" collapsed="false">
      <c r="A172" s="7" t="n">
        <v>169</v>
      </c>
      <c r="B172" s="7" t="n">
        <v>2743</v>
      </c>
      <c r="C172" s="7" t="s">
        <v>5444</v>
      </c>
      <c r="D172" s="7" t="s">
        <v>29</v>
      </c>
      <c r="E172" s="7" t="s">
        <v>3217</v>
      </c>
      <c r="F172" s="7" t="s">
        <v>3898</v>
      </c>
      <c r="G172" s="7" t="s">
        <v>3899</v>
      </c>
      <c r="H172" s="7" t="n">
        <v>94</v>
      </c>
      <c r="I172" s="7" t="s">
        <v>16</v>
      </c>
      <c r="J172" s="7" t="s">
        <v>16</v>
      </c>
      <c r="K172" s="7" t="s">
        <v>6040</v>
      </c>
      <c r="L172" s="7" t="s">
        <v>6041</v>
      </c>
      <c r="M172" s="7" t="s">
        <v>6042</v>
      </c>
      <c r="N172" s="7"/>
      <c r="O172" s="7"/>
      <c r="P172" s="7" t="s">
        <v>5274</v>
      </c>
      <c r="Q172" s="7" t="s">
        <v>3915</v>
      </c>
      <c r="R172" s="7" t="s">
        <v>3905</v>
      </c>
      <c r="S172" s="7"/>
      <c r="T172" s="7" t="n">
        <v>21</v>
      </c>
      <c r="U172" s="7" t="s">
        <v>6390</v>
      </c>
      <c r="V172" s="7" t="s">
        <v>5440</v>
      </c>
      <c r="W172" s="7" t="s">
        <v>6397</v>
      </c>
      <c r="X172" s="7" t="s">
        <v>6398</v>
      </c>
      <c r="Y172" s="7"/>
      <c r="Z172" s="7" t="s">
        <v>3905</v>
      </c>
      <c r="AA172" s="7" t="s">
        <v>6046</v>
      </c>
      <c r="AB172" s="7" t="s">
        <v>6041</v>
      </c>
    </row>
    <row r="173" customFormat="false" ht="48" hidden="false" customHeight="true" outlineLevel="0" collapsed="false">
      <c r="A173" s="7" t="n">
        <v>170</v>
      </c>
      <c r="B173" s="7" t="n">
        <v>2744</v>
      </c>
      <c r="C173" s="7" t="s">
        <v>5445</v>
      </c>
      <c r="D173" s="7" t="s">
        <v>29</v>
      </c>
      <c r="E173" s="7" t="s">
        <v>3217</v>
      </c>
      <c r="F173" s="7" t="s">
        <v>3898</v>
      </c>
      <c r="G173" s="7" t="s">
        <v>3899</v>
      </c>
      <c r="H173" s="7" t="n">
        <v>95</v>
      </c>
      <c r="I173" s="7" t="s">
        <v>16</v>
      </c>
      <c r="J173" s="7" t="s">
        <v>16</v>
      </c>
      <c r="K173" s="7" t="s">
        <v>6040</v>
      </c>
      <c r="L173" s="7" t="s">
        <v>6041</v>
      </c>
      <c r="M173" s="7" t="s">
        <v>6042</v>
      </c>
      <c r="N173" s="7"/>
      <c r="O173" s="7"/>
      <c r="P173" s="7" t="s">
        <v>5268</v>
      </c>
      <c r="Q173" s="7" t="s">
        <v>3922</v>
      </c>
      <c r="R173" s="7" t="s">
        <v>3905</v>
      </c>
      <c r="S173" s="7"/>
      <c r="T173" s="7" t="n">
        <v>21</v>
      </c>
      <c r="U173" s="7" t="s">
        <v>6390</v>
      </c>
      <c r="V173" s="7" t="s">
        <v>5440</v>
      </c>
      <c r="W173" s="7" t="s">
        <v>6399</v>
      </c>
      <c r="X173" s="7" t="s">
        <v>6400</v>
      </c>
      <c r="Y173" s="7"/>
      <c r="Z173" s="7" t="s">
        <v>3905</v>
      </c>
      <c r="AA173" s="7" t="s">
        <v>6046</v>
      </c>
      <c r="AB173" s="7" t="s">
        <v>6041</v>
      </c>
    </row>
    <row r="174" customFormat="false" ht="48" hidden="false" customHeight="true" outlineLevel="0" collapsed="false">
      <c r="A174" s="7" t="n">
        <v>171</v>
      </c>
      <c r="B174" s="7" t="n">
        <v>2745</v>
      </c>
      <c r="C174" s="7" t="s">
        <v>5446</v>
      </c>
      <c r="D174" s="7" t="s">
        <v>29</v>
      </c>
      <c r="E174" s="7" t="s">
        <v>3217</v>
      </c>
      <c r="F174" s="7" t="s">
        <v>3898</v>
      </c>
      <c r="G174" s="7" t="s">
        <v>3899</v>
      </c>
      <c r="H174" s="7" t="n">
        <v>96</v>
      </c>
      <c r="I174" s="7" t="s">
        <v>16</v>
      </c>
      <c r="J174" s="7" t="s">
        <v>16</v>
      </c>
      <c r="K174" s="7" t="s">
        <v>6040</v>
      </c>
      <c r="L174" s="7" t="s">
        <v>6041</v>
      </c>
      <c r="M174" s="7" t="s">
        <v>6042</v>
      </c>
      <c r="N174" s="7"/>
      <c r="O174" s="7"/>
      <c r="P174" s="7" t="s">
        <v>5271</v>
      </c>
      <c r="Q174" s="7" t="s">
        <v>3925</v>
      </c>
      <c r="R174" s="7" t="s">
        <v>3905</v>
      </c>
      <c r="S174" s="7"/>
      <c r="T174" s="7" t="n">
        <v>21</v>
      </c>
      <c r="U174" s="7" t="s">
        <v>6390</v>
      </c>
      <c r="V174" s="7" t="s">
        <v>5440</v>
      </c>
      <c r="W174" s="7" t="s">
        <v>6401</v>
      </c>
      <c r="X174" s="7" t="s">
        <v>6402</v>
      </c>
      <c r="Y174" s="7"/>
      <c r="Z174" s="7" t="s">
        <v>3905</v>
      </c>
      <c r="AA174" s="7" t="s">
        <v>6046</v>
      </c>
      <c r="AB174" s="7" t="s">
        <v>6041</v>
      </c>
    </row>
    <row r="175" customFormat="false" ht="48" hidden="false" customHeight="true" outlineLevel="0" collapsed="false">
      <c r="A175" s="7" t="n">
        <v>172</v>
      </c>
      <c r="B175" s="7" t="n">
        <v>2746</v>
      </c>
      <c r="C175" s="7" t="s">
        <v>5447</v>
      </c>
      <c r="D175" s="7" t="s">
        <v>29</v>
      </c>
      <c r="E175" s="7" t="s">
        <v>3217</v>
      </c>
      <c r="F175" s="7" t="s">
        <v>3898</v>
      </c>
      <c r="G175" s="7" t="s">
        <v>3927</v>
      </c>
      <c r="H175" s="7" t="n">
        <v>97</v>
      </c>
      <c r="I175" s="7" t="s">
        <v>16</v>
      </c>
      <c r="J175" s="7" t="s">
        <v>16</v>
      </c>
      <c r="K175" s="7" t="s">
        <v>6040</v>
      </c>
      <c r="L175" s="7" t="s">
        <v>6041</v>
      </c>
      <c r="M175" s="7" t="s">
        <v>6042</v>
      </c>
      <c r="N175" s="7"/>
      <c r="O175" s="7"/>
      <c r="P175" s="7" t="s">
        <v>5276</v>
      </c>
      <c r="Q175" s="7" t="s">
        <v>3930</v>
      </c>
      <c r="R175" s="7" t="s">
        <v>3933</v>
      </c>
      <c r="S175" s="7"/>
      <c r="T175" s="7" t="n">
        <v>22</v>
      </c>
      <c r="U175" s="7" t="s">
        <v>6390</v>
      </c>
      <c r="V175" s="7" t="s">
        <v>5440</v>
      </c>
      <c r="W175" s="7" t="s">
        <v>6403</v>
      </c>
      <c r="X175" s="7" t="s">
        <v>6404</v>
      </c>
      <c r="Y175" s="7"/>
      <c r="Z175" s="7" t="s">
        <v>3933</v>
      </c>
      <c r="AA175" s="7" t="s">
        <v>6046</v>
      </c>
      <c r="AB175" s="7" t="s">
        <v>6041</v>
      </c>
    </row>
    <row r="176" customFormat="false" ht="48" hidden="false" customHeight="true" outlineLevel="0" collapsed="false">
      <c r="A176" s="7" t="n">
        <v>173</v>
      </c>
      <c r="B176" s="7" t="n">
        <v>2747</v>
      </c>
      <c r="C176" s="7" t="s">
        <v>5448</v>
      </c>
      <c r="D176" s="7" t="s">
        <v>29</v>
      </c>
      <c r="E176" s="7" t="s">
        <v>3217</v>
      </c>
      <c r="F176" s="7" t="s">
        <v>3898</v>
      </c>
      <c r="G176" s="7" t="s">
        <v>3927</v>
      </c>
      <c r="H176" s="7" t="n">
        <v>98</v>
      </c>
      <c r="I176" s="7" t="s">
        <v>16</v>
      </c>
      <c r="J176" s="7" t="s">
        <v>16</v>
      </c>
      <c r="K176" s="7" t="s">
        <v>6040</v>
      </c>
      <c r="L176" s="7" t="s">
        <v>6041</v>
      </c>
      <c r="M176" s="7" t="s">
        <v>6047</v>
      </c>
      <c r="N176" s="7" t="s">
        <v>5272</v>
      </c>
      <c r="O176" s="7"/>
      <c r="P176" s="7" t="s">
        <v>5271</v>
      </c>
      <c r="Q176" s="7" t="s">
        <v>3937</v>
      </c>
      <c r="R176" s="7" t="s">
        <v>3933</v>
      </c>
      <c r="S176" s="7"/>
      <c r="T176" s="7" t="n">
        <v>22</v>
      </c>
      <c r="U176" s="7" t="s">
        <v>6390</v>
      </c>
      <c r="V176" s="7" t="s">
        <v>5440</v>
      </c>
      <c r="W176" s="7" t="s">
        <v>6405</v>
      </c>
      <c r="X176" s="7" t="s">
        <v>6406</v>
      </c>
      <c r="Y176" s="7"/>
      <c r="Z176" s="7" t="s">
        <v>3933</v>
      </c>
      <c r="AA176" s="7" t="s">
        <v>6046</v>
      </c>
      <c r="AB176" s="7" t="s">
        <v>6041</v>
      </c>
    </row>
    <row r="177" customFormat="false" ht="48" hidden="false" customHeight="true" outlineLevel="0" collapsed="false">
      <c r="A177" s="7" t="n">
        <v>174</v>
      </c>
      <c r="B177" s="7" t="n">
        <v>2748</v>
      </c>
      <c r="C177" s="7" t="s">
        <v>5449</v>
      </c>
      <c r="D177" s="7" t="s">
        <v>29</v>
      </c>
      <c r="E177" s="7" t="s">
        <v>3217</v>
      </c>
      <c r="F177" s="7" t="s">
        <v>3898</v>
      </c>
      <c r="G177" s="7" t="s">
        <v>3927</v>
      </c>
      <c r="H177" s="7" t="n">
        <v>99</v>
      </c>
      <c r="I177" s="7" t="s">
        <v>16</v>
      </c>
      <c r="J177" s="7" t="s">
        <v>16</v>
      </c>
      <c r="K177" s="7" t="s">
        <v>6040</v>
      </c>
      <c r="L177" s="7" t="s">
        <v>6041</v>
      </c>
      <c r="M177" s="7" t="s">
        <v>6042</v>
      </c>
      <c r="N177" s="7"/>
      <c r="O177" s="7"/>
      <c r="P177" s="7" t="s">
        <v>5268</v>
      </c>
      <c r="Q177" s="7" t="s">
        <v>3942</v>
      </c>
      <c r="R177" s="7" t="s">
        <v>3933</v>
      </c>
      <c r="S177" s="7"/>
      <c r="T177" s="7" t="n">
        <v>22</v>
      </c>
      <c r="U177" s="7" t="s">
        <v>6390</v>
      </c>
      <c r="V177" s="7" t="s">
        <v>5440</v>
      </c>
      <c r="W177" s="7" t="s">
        <v>6407</v>
      </c>
      <c r="X177" s="7" t="s">
        <v>6408</v>
      </c>
      <c r="Y177" s="7"/>
      <c r="Z177" s="7" t="s">
        <v>3933</v>
      </c>
      <c r="AA177" s="7" t="s">
        <v>6046</v>
      </c>
      <c r="AB177" s="7" t="s">
        <v>6041</v>
      </c>
    </row>
    <row r="178" customFormat="false" ht="48" hidden="false" customHeight="true" outlineLevel="0" collapsed="false">
      <c r="A178" s="7" t="n">
        <v>175</v>
      </c>
      <c r="B178" s="7" t="n">
        <v>2749</v>
      </c>
      <c r="C178" s="7" t="s">
        <v>5450</v>
      </c>
      <c r="D178" s="7" t="s">
        <v>29</v>
      </c>
      <c r="E178" s="7" t="s">
        <v>3217</v>
      </c>
      <c r="F178" s="7" t="s">
        <v>3898</v>
      </c>
      <c r="G178" s="7" t="s">
        <v>3927</v>
      </c>
      <c r="H178" s="7" t="n">
        <v>100</v>
      </c>
      <c r="I178" s="7" t="s">
        <v>16</v>
      </c>
      <c r="J178" s="7" t="s">
        <v>16</v>
      </c>
      <c r="K178" s="7" t="s">
        <v>6040</v>
      </c>
      <c r="L178" s="7" t="s">
        <v>6041</v>
      </c>
      <c r="M178" s="7" t="s">
        <v>6042</v>
      </c>
      <c r="N178" s="7"/>
      <c r="O178" s="7"/>
      <c r="P178" s="7" t="s">
        <v>5271</v>
      </c>
      <c r="Q178" s="7" t="s">
        <v>3945</v>
      </c>
      <c r="R178" s="7" t="s">
        <v>3933</v>
      </c>
      <c r="S178" s="7"/>
      <c r="T178" s="7" t="n">
        <v>23</v>
      </c>
      <c r="U178" s="7" t="s">
        <v>6390</v>
      </c>
      <c r="V178" s="7" t="s">
        <v>5440</v>
      </c>
      <c r="W178" s="7" t="s">
        <v>6409</v>
      </c>
      <c r="X178" s="7" t="s">
        <v>6410</v>
      </c>
      <c r="Y178" s="7"/>
      <c r="Z178" s="7" t="s">
        <v>3933</v>
      </c>
      <c r="AA178" s="7" t="s">
        <v>6046</v>
      </c>
      <c r="AB178" s="7" t="s">
        <v>6041</v>
      </c>
    </row>
    <row r="179" customFormat="false" ht="48" hidden="false" customHeight="true" outlineLevel="0" collapsed="false">
      <c r="A179" s="7" t="n">
        <v>176</v>
      </c>
      <c r="B179" s="7" t="n">
        <v>2750</v>
      </c>
      <c r="C179" s="7" t="s">
        <v>5451</v>
      </c>
      <c r="D179" s="7" t="s">
        <v>29</v>
      </c>
      <c r="E179" s="7" t="s">
        <v>3217</v>
      </c>
      <c r="F179" s="7" t="s">
        <v>3898</v>
      </c>
      <c r="G179" s="7" t="s">
        <v>3927</v>
      </c>
      <c r="H179" s="7" t="n">
        <v>101</v>
      </c>
      <c r="I179" s="7" t="s">
        <v>16</v>
      </c>
      <c r="J179" s="7" t="s">
        <v>16</v>
      </c>
      <c r="K179" s="7" t="s">
        <v>6040</v>
      </c>
      <c r="L179" s="7" t="s">
        <v>6041</v>
      </c>
      <c r="M179" s="7" t="s">
        <v>6042</v>
      </c>
      <c r="N179" s="7"/>
      <c r="O179" s="7"/>
      <c r="P179" s="7" t="s">
        <v>5271</v>
      </c>
      <c r="Q179" s="7" t="s">
        <v>3949</v>
      </c>
      <c r="R179" s="7" t="s">
        <v>3933</v>
      </c>
      <c r="S179" s="7"/>
      <c r="T179" s="7" t="n">
        <v>23</v>
      </c>
      <c r="U179" s="7" t="s">
        <v>6390</v>
      </c>
      <c r="V179" s="7" t="s">
        <v>5440</v>
      </c>
      <c r="W179" s="7" t="s">
        <v>6411</v>
      </c>
      <c r="X179" s="7" t="s">
        <v>6412</v>
      </c>
      <c r="Y179" s="7"/>
      <c r="Z179" s="7" t="s">
        <v>3933</v>
      </c>
      <c r="AA179" s="7" t="s">
        <v>6046</v>
      </c>
      <c r="AB179" s="7" t="s">
        <v>6041</v>
      </c>
    </row>
    <row r="180" customFormat="false" ht="48" hidden="false" customHeight="true" outlineLevel="0" collapsed="false">
      <c r="A180" s="7" t="n">
        <v>177</v>
      </c>
      <c r="B180" s="7" t="n">
        <v>2751</v>
      </c>
      <c r="C180" s="7" t="s">
        <v>5452</v>
      </c>
      <c r="D180" s="7" t="s">
        <v>29</v>
      </c>
      <c r="E180" s="7" t="s">
        <v>3217</v>
      </c>
      <c r="F180" s="7" t="s">
        <v>3898</v>
      </c>
      <c r="G180" s="7" t="s">
        <v>3927</v>
      </c>
      <c r="H180" s="7" t="n">
        <v>102</v>
      </c>
      <c r="I180" s="7" t="s">
        <v>16</v>
      </c>
      <c r="J180" s="7" t="s">
        <v>16</v>
      </c>
      <c r="K180" s="7" t="s">
        <v>6040</v>
      </c>
      <c r="L180" s="7" t="s">
        <v>6041</v>
      </c>
      <c r="M180" s="7" t="s">
        <v>6042</v>
      </c>
      <c r="N180" s="7"/>
      <c r="O180" s="7"/>
      <c r="P180" s="7" t="s">
        <v>5276</v>
      </c>
      <c r="Q180" s="7" t="s">
        <v>3952</v>
      </c>
      <c r="R180" s="7" t="s">
        <v>3933</v>
      </c>
      <c r="S180" s="7"/>
      <c r="T180" s="7" t="n">
        <v>23</v>
      </c>
      <c r="U180" s="7" t="s">
        <v>6390</v>
      </c>
      <c r="V180" s="7" t="s">
        <v>5440</v>
      </c>
      <c r="W180" s="7" t="s">
        <v>6413</v>
      </c>
      <c r="X180" s="7" t="s">
        <v>6414</v>
      </c>
      <c r="Y180" s="7"/>
      <c r="Z180" s="7" t="s">
        <v>3933</v>
      </c>
      <c r="AA180" s="7" t="s">
        <v>6046</v>
      </c>
      <c r="AB180" s="7" t="s">
        <v>6041</v>
      </c>
    </row>
    <row r="181" customFormat="false" ht="48" hidden="false" customHeight="true" outlineLevel="0" collapsed="false">
      <c r="A181" s="7" t="n">
        <v>178</v>
      </c>
      <c r="B181" s="7" t="n">
        <v>2752</v>
      </c>
      <c r="C181" s="7" t="s">
        <v>5453</v>
      </c>
      <c r="D181" s="7" t="s">
        <v>29</v>
      </c>
      <c r="E181" s="7" t="s">
        <v>3217</v>
      </c>
      <c r="F181" s="7" t="s">
        <v>3898</v>
      </c>
      <c r="G181" s="7" t="s">
        <v>3955</v>
      </c>
      <c r="H181" s="7" t="n">
        <v>103</v>
      </c>
      <c r="I181" s="7" t="s">
        <v>16</v>
      </c>
      <c r="J181" s="7" t="s">
        <v>16</v>
      </c>
      <c r="K181" s="7" t="s">
        <v>6040</v>
      </c>
      <c r="L181" s="7" t="s">
        <v>6041</v>
      </c>
      <c r="M181" s="7" t="s">
        <v>6047</v>
      </c>
      <c r="N181" s="7" t="s">
        <v>5272</v>
      </c>
      <c r="O181" s="7"/>
      <c r="P181" s="7" t="s">
        <v>5276</v>
      </c>
      <c r="Q181" s="7" t="s">
        <v>3958</v>
      </c>
      <c r="R181" s="7" t="s">
        <v>3961</v>
      </c>
      <c r="S181" s="7"/>
      <c r="T181" s="7" t="n">
        <v>24</v>
      </c>
      <c r="U181" s="7" t="s">
        <v>6390</v>
      </c>
      <c r="V181" s="7" t="s">
        <v>5440</v>
      </c>
      <c r="W181" s="7" t="s">
        <v>6415</v>
      </c>
      <c r="X181" s="7" t="s">
        <v>6416</v>
      </c>
      <c r="Y181" s="7"/>
      <c r="Z181" s="7" t="s">
        <v>3961</v>
      </c>
      <c r="AA181" s="7" t="s">
        <v>6046</v>
      </c>
      <c r="AB181" s="7" t="s">
        <v>6041</v>
      </c>
    </row>
    <row r="182" customFormat="false" ht="48" hidden="false" customHeight="true" outlineLevel="0" collapsed="false">
      <c r="A182" s="7" t="n">
        <v>179</v>
      </c>
      <c r="B182" s="7" t="n">
        <v>2753</v>
      </c>
      <c r="C182" s="7" t="s">
        <v>5454</v>
      </c>
      <c r="D182" s="7" t="s">
        <v>29</v>
      </c>
      <c r="E182" s="7" t="s">
        <v>3217</v>
      </c>
      <c r="F182" s="7" t="s">
        <v>3898</v>
      </c>
      <c r="G182" s="7" t="s">
        <v>3955</v>
      </c>
      <c r="H182" s="7" t="n">
        <v>104</v>
      </c>
      <c r="I182" s="7" t="s">
        <v>16</v>
      </c>
      <c r="J182" s="7" t="s">
        <v>16</v>
      </c>
      <c r="K182" s="7" t="s">
        <v>6040</v>
      </c>
      <c r="L182" s="7" t="s">
        <v>6041</v>
      </c>
      <c r="M182" s="7" t="s">
        <v>6047</v>
      </c>
      <c r="N182" s="7" t="s">
        <v>5272</v>
      </c>
      <c r="O182" s="7"/>
      <c r="P182" s="7" t="s">
        <v>5268</v>
      </c>
      <c r="Q182" s="7" t="s">
        <v>3966</v>
      </c>
      <c r="R182" s="7" t="s">
        <v>3961</v>
      </c>
      <c r="S182" s="7"/>
      <c r="T182" s="7" t="n">
        <v>24</v>
      </c>
      <c r="U182" s="7" t="s">
        <v>6390</v>
      </c>
      <c r="V182" s="7" t="s">
        <v>5440</v>
      </c>
      <c r="W182" s="7" t="s">
        <v>6417</v>
      </c>
      <c r="X182" s="7" t="s">
        <v>6418</v>
      </c>
      <c r="Y182" s="7"/>
      <c r="Z182" s="7" t="s">
        <v>3961</v>
      </c>
      <c r="AA182" s="7" t="s">
        <v>6046</v>
      </c>
      <c r="AB182" s="7" t="s">
        <v>6041</v>
      </c>
    </row>
    <row r="183" customFormat="false" ht="48" hidden="false" customHeight="true" outlineLevel="0" collapsed="false">
      <c r="A183" s="7" t="n">
        <v>180</v>
      </c>
      <c r="B183" s="7" t="n">
        <v>2754</v>
      </c>
      <c r="C183" s="7" t="s">
        <v>5455</v>
      </c>
      <c r="D183" s="7" t="s">
        <v>29</v>
      </c>
      <c r="E183" s="7" t="s">
        <v>3217</v>
      </c>
      <c r="F183" s="7" t="s">
        <v>3898</v>
      </c>
      <c r="G183" s="7" t="s">
        <v>3955</v>
      </c>
      <c r="H183" s="7" t="n">
        <v>105</v>
      </c>
      <c r="I183" s="7" t="s">
        <v>16</v>
      </c>
      <c r="J183" s="7" t="s">
        <v>16</v>
      </c>
      <c r="K183" s="7" t="s">
        <v>6040</v>
      </c>
      <c r="L183" s="7" t="s">
        <v>6041</v>
      </c>
      <c r="M183" s="7" t="s">
        <v>6042</v>
      </c>
      <c r="N183" s="7"/>
      <c r="O183" s="7"/>
      <c r="P183" s="7" t="s">
        <v>5276</v>
      </c>
      <c r="Q183" s="7" t="s">
        <v>3968</v>
      </c>
      <c r="R183" s="7" t="s">
        <v>3961</v>
      </c>
      <c r="S183" s="7"/>
      <c r="T183" s="7" t="n">
        <v>24</v>
      </c>
      <c r="U183" s="7" t="s">
        <v>6390</v>
      </c>
      <c r="V183" s="7" t="s">
        <v>5440</v>
      </c>
      <c r="W183" s="7" t="s">
        <v>6419</v>
      </c>
      <c r="X183" s="7" t="s">
        <v>6420</v>
      </c>
      <c r="Y183" s="7"/>
      <c r="Z183" s="7" t="s">
        <v>3961</v>
      </c>
      <c r="AA183" s="7" t="s">
        <v>6046</v>
      </c>
      <c r="AB183" s="7" t="s">
        <v>6041</v>
      </c>
    </row>
    <row r="184" customFormat="false" ht="48" hidden="false" customHeight="true" outlineLevel="0" collapsed="false">
      <c r="A184" s="7" t="n">
        <v>181</v>
      </c>
      <c r="B184" s="7" t="n">
        <v>2755</v>
      </c>
      <c r="C184" s="7" t="s">
        <v>5456</v>
      </c>
      <c r="D184" s="7" t="s">
        <v>29</v>
      </c>
      <c r="E184" s="7" t="s">
        <v>3217</v>
      </c>
      <c r="F184" s="7" t="s">
        <v>3898</v>
      </c>
      <c r="G184" s="7" t="s">
        <v>3955</v>
      </c>
      <c r="H184" s="7" t="n">
        <v>106</v>
      </c>
      <c r="I184" s="7" t="s">
        <v>16</v>
      </c>
      <c r="J184" s="7" t="s">
        <v>16</v>
      </c>
      <c r="K184" s="7" t="s">
        <v>6040</v>
      </c>
      <c r="L184" s="7" t="s">
        <v>6041</v>
      </c>
      <c r="M184" s="7" t="s">
        <v>6042</v>
      </c>
      <c r="N184" s="7"/>
      <c r="O184" s="7"/>
      <c r="P184" s="7" t="s">
        <v>5276</v>
      </c>
      <c r="Q184" s="7" t="s">
        <v>3972</v>
      </c>
      <c r="R184" s="7" t="s">
        <v>3961</v>
      </c>
      <c r="S184" s="7"/>
      <c r="T184" s="7" t="n">
        <v>25</v>
      </c>
      <c r="U184" s="7" t="s">
        <v>6390</v>
      </c>
      <c r="V184" s="7" t="s">
        <v>5440</v>
      </c>
      <c r="W184" s="7" t="s">
        <v>6421</v>
      </c>
      <c r="X184" s="7" t="s">
        <v>6422</v>
      </c>
      <c r="Y184" s="7"/>
      <c r="Z184" s="7" t="s">
        <v>3961</v>
      </c>
      <c r="AA184" s="7" t="s">
        <v>6046</v>
      </c>
      <c r="AB184" s="7" t="s">
        <v>6041</v>
      </c>
    </row>
    <row r="185" customFormat="false" ht="48" hidden="false" customHeight="true" outlineLevel="0" collapsed="false">
      <c r="A185" s="7" t="n">
        <v>182</v>
      </c>
      <c r="B185" s="7" t="n">
        <v>2756</v>
      </c>
      <c r="C185" s="7" t="s">
        <v>5457</v>
      </c>
      <c r="D185" s="7" t="s">
        <v>29</v>
      </c>
      <c r="E185" s="7" t="s">
        <v>3217</v>
      </c>
      <c r="F185" s="7" t="s">
        <v>3898</v>
      </c>
      <c r="G185" s="7" t="s">
        <v>3955</v>
      </c>
      <c r="H185" s="7" t="n">
        <v>107</v>
      </c>
      <c r="I185" s="7" t="s">
        <v>16</v>
      </c>
      <c r="J185" s="7" t="s">
        <v>16</v>
      </c>
      <c r="K185" s="7" t="s">
        <v>6040</v>
      </c>
      <c r="L185" s="7" t="s">
        <v>6041</v>
      </c>
      <c r="M185" s="7" t="s">
        <v>6047</v>
      </c>
      <c r="N185" s="7" t="s">
        <v>5272</v>
      </c>
      <c r="O185" s="7"/>
      <c r="P185" s="7" t="s">
        <v>5271</v>
      </c>
      <c r="Q185" s="7" t="s">
        <v>3977</v>
      </c>
      <c r="R185" s="7" t="s">
        <v>3961</v>
      </c>
      <c r="S185" s="7"/>
      <c r="T185" s="7" t="n">
        <v>25</v>
      </c>
      <c r="U185" s="7" t="s">
        <v>6390</v>
      </c>
      <c r="V185" s="7" t="s">
        <v>5440</v>
      </c>
      <c r="W185" s="7" t="s">
        <v>6423</v>
      </c>
      <c r="X185" s="7" t="s">
        <v>6424</v>
      </c>
      <c r="Y185" s="7"/>
      <c r="Z185" s="7" t="s">
        <v>3961</v>
      </c>
      <c r="AA185" s="7" t="s">
        <v>6046</v>
      </c>
      <c r="AB185" s="7" t="s">
        <v>6041</v>
      </c>
    </row>
    <row r="186" customFormat="false" ht="48" hidden="false" customHeight="true" outlineLevel="0" collapsed="false">
      <c r="A186" s="7" t="n">
        <v>183</v>
      </c>
      <c r="B186" s="7" t="n">
        <v>2757</v>
      </c>
      <c r="C186" s="7" t="s">
        <v>5458</v>
      </c>
      <c r="D186" s="7" t="s">
        <v>29</v>
      </c>
      <c r="E186" s="7" t="s">
        <v>3217</v>
      </c>
      <c r="F186" s="7" t="s">
        <v>3898</v>
      </c>
      <c r="G186" s="7" t="s">
        <v>3955</v>
      </c>
      <c r="H186" s="7" t="n">
        <v>108</v>
      </c>
      <c r="I186" s="7" t="s">
        <v>16</v>
      </c>
      <c r="J186" s="7" t="s">
        <v>16</v>
      </c>
      <c r="K186" s="7" t="s">
        <v>6040</v>
      </c>
      <c r="L186" s="7" t="s">
        <v>6041</v>
      </c>
      <c r="M186" s="7" t="s">
        <v>6042</v>
      </c>
      <c r="N186" s="7"/>
      <c r="O186" s="7"/>
      <c r="P186" s="7" t="s">
        <v>5271</v>
      </c>
      <c r="Q186" s="7" t="s">
        <v>3981</v>
      </c>
      <c r="R186" s="7" t="s">
        <v>3961</v>
      </c>
      <c r="S186" s="7"/>
      <c r="T186" s="7" t="n">
        <v>25</v>
      </c>
      <c r="U186" s="7" t="s">
        <v>6390</v>
      </c>
      <c r="V186" s="7" t="s">
        <v>5440</v>
      </c>
      <c r="W186" s="7" t="s">
        <v>6425</v>
      </c>
      <c r="X186" s="7" t="s">
        <v>6426</v>
      </c>
      <c r="Y186" s="7"/>
      <c r="Z186" s="7" t="s">
        <v>3961</v>
      </c>
      <c r="AA186" s="7" t="s">
        <v>6046</v>
      </c>
      <c r="AB186" s="7" t="s">
        <v>6041</v>
      </c>
    </row>
    <row r="187" customFormat="false" ht="48" hidden="false" customHeight="true" outlineLevel="0" collapsed="false">
      <c r="A187" s="7" t="n">
        <v>184</v>
      </c>
      <c r="B187" s="7" t="n">
        <v>2758</v>
      </c>
      <c r="C187" s="7" t="s">
        <v>5459</v>
      </c>
      <c r="D187" s="7" t="s">
        <v>29</v>
      </c>
      <c r="E187" s="7" t="s">
        <v>3217</v>
      </c>
      <c r="F187" s="7" t="s">
        <v>3898</v>
      </c>
      <c r="G187" s="7" t="s">
        <v>3983</v>
      </c>
      <c r="H187" s="7" t="n">
        <v>109</v>
      </c>
      <c r="I187" s="7" t="s">
        <v>16</v>
      </c>
      <c r="J187" s="7" t="s">
        <v>16</v>
      </c>
      <c r="K187" s="7" t="s">
        <v>6040</v>
      </c>
      <c r="L187" s="7" t="s">
        <v>6041</v>
      </c>
      <c r="M187" s="7" t="s">
        <v>6047</v>
      </c>
      <c r="N187" s="7" t="s">
        <v>5272</v>
      </c>
      <c r="O187" s="7"/>
      <c r="P187" s="7" t="s">
        <v>5268</v>
      </c>
      <c r="Q187" s="7" t="s">
        <v>3987</v>
      </c>
      <c r="R187" s="7" t="s">
        <v>3905</v>
      </c>
      <c r="S187" s="7"/>
      <c r="T187" s="7" t="n">
        <v>26</v>
      </c>
      <c r="U187" s="7" t="s">
        <v>6390</v>
      </c>
      <c r="V187" s="7" t="s">
        <v>5440</v>
      </c>
      <c r="W187" s="7" t="s">
        <v>6427</v>
      </c>
      <c r="X187" s="7" t="s">
        <v>6428</v>
      </c>
      <c r="Y187" s="7"/>
      <c r="Z187" s="7" t="s">
        <v>3905</v>
      </c>
      <c r="AA187" s="7" t="s">
        <v>6046</v>
      </c>
      <c r="AB187" s="7" t="s">
        <v>6041</v>
      </c>
    </row>
    <row r="188" customFormat="false" ht="48" hidden="false" customHeight="true" outlineLevel="0" collapsed="false">
      <c r="A188" s="7" t="n">
        <v>185</v>
      </c>
      <c r="B188" s="7" t="n">
        <v>2759</v>
      </c>
      <c r="C188" s="7" t="s">
        <v>5460</v>
      </c>
      <c r="D188" s="7" t="s">
        <v>29</v>
      </c>
      <c r="E188" s="7" t="s">
        <v>3217</v>
      </c>
      <c r="F188" s="7" t="s">
        <v>3898</v>
      </c>
      <c r="G188" s="7" t="s">
        <v>3983</v>
      </c>
      <c r="H188" s="7" t="n">
        <v>110</v>
      </c>
      <c r="I188" s="7" t="s">
        <v>16</v>
      </c>
      <c r="J188" s="7" t="s">
        <v>16</v>
      </c>
      <c r="K188" s="7" t="s">
        <v>6040</v>
      </c>
      <c r="L188" s="7" t="s">
        <v>6041</v>
      </c>
      <c r="M188" s="7" t="s">
        <v>6042</v>
      </c>
      <c r="N188" s="7"/>
      <c r="O188" s="7"/>
      <c r="P188" s="7" t="s">
        <v>5276</v>
      </c>
      <c r="Q188" s="7" t="s">
        <v>3989</v>
      </c>
      <c r="R188" s="7" t="s">
        <v>3933</v>
      </c>
      <c r="S188" s="7"/>
      <c r="T188" s="7" t="n">
        <v>26</v>
      </c>
      <c r="U188" s="7" t="s">
        <v>6390</v>
      </c>
      <c r="V188" s="7" t="s">
        <v>5440</v>
      </c>
      <c r="W188" s="7" t="s">
        <v>6429</v>
      </c>
      <c r="X188" s="7" t="s">
        <v>6430</v>
      </c>
      <c r="Y188" s="7"/>
      <c r="Z188" s="7" t="s">
        <v>3933</v>
      </c>
      <c r="AA188" s="7" t="s">
        <v>6046</v>
      </c>
      <c r="AB188" s="7" t="s">
        <v>6041</v>
      </c>
    </row>
    <row r="189" customFormat="false" ht="48" hidden="false" customHeight="true" outlineLevel="0" collapsed="false">
      <c r="A189" s="7" t="n">
        <v>186</v>
      </c>
      <c r="B189" s="7" t="n">
        <v>2760</v>
      </c>
      <c r="C189" s="7" t="s">
        <v>5461</v>
      </c>
      <c r="D189" s="7" t="s">
        <v>29</v>
      </c>
      <c r="E189" s="7" t="s">
        <v>3217</v>
      </c>
      <c r="F189" s="7" t="s">
        <v>3898</v>
      </c>
      <c r="G189" s="7" t="s">
        <v>3983</v>
      </c>
      <c r="H189" s="7" t="n">
        <v>111</v>
      </c>
      <c r="I189" s="7" t="s">
        <v>16</v>
      </c>
      <c r="J189" s="7" t="s">
        <v>16</v>
      </c>
      <c r="K189" s="7" t="s">
        <v>6040</v>
      </c>
      <c r="L189" s="7" t="s">
        <v>6041</v>
      </c>
      <c r="M189" s="7" t="s">
        <v>6047</v>
      </c>
      <c r="N189" s="7" t="s">
        <v>5272</v>
      </c>
      <c r="O189" s="7"/>
      <c r="P189" s="7" t="s">
        <v>5276</v>
      </c>
      <c r="Q189" s="7" t="s">
        <v>3993</v>
      </c>
      <c r="R189" s="7" t="s">
        <v>3961</v>
      </c>
      <c r="S189" s="7"/>
      <c r="T189" s="7" t="n">
        <v>26</v>
      </c>
      <c r="U189" s="7" t="s">
        <v>6390</v>
      </c>
      <c r="V189" s="7" t="s">
        <v>5440</v>
      </c>
      <c r="W189" s="7" t="s">
        <v>6431</v>
      </c>
      <c r="X189" s="7" t="s">
        <v>6432</v>
      </c>
      <c r="Y189" s="7"/>
      <c r="Z189" s="7" t="s">
        <v>3961</v>
      </c>
      <c r="AA189" s="7" t="s">
        <v>6046</v>
      </c>
      <c r="AB189" s="7" t="s">
        <v>6041</v>
      </c>
    </row>
    <row r="190" customFormat="false" ht="48" hidden="false" customHeight="true" outlineLevel="0" collapsed="false">
      <c r="A190" s="7" t="n">
        <v>187</v>
      </c>
      <c r="B190" s="7" t="n">
        <v>1422</v>
      </c>
      <c r="C190" s="7" t="s">
        <v>5463</v>
      </c>
      <c r="D190" s="7" t="s">
        <v>22</v>
      </c>
      <c r="E190" s="7" t="s">
        <v>3996</v>
      </c>
      <c r="F190" s="7" t="s">
        <v>3997</v>
      </c>
      <c r="G190" s="7" t="s">
        <v>3998</v>
      </c>
      <c r="H190" s="7" t="n">
        <v>48</v>
      </c>
      <c r="I190" s="7" t="s">
        <v>18</v>
      </c>
      <c r="J190" s="7" t="s">
        <v>18</v>
      </c>
      <c r="K190" s="7" t="s">
        <v>6433</v>
      </c>
      <c r="L190" s="7" t="s">
        <v>6434</v>
      </c>
      <c r="M190" s="7" t="s">
        <v>6042</v>
      </c>
      <c r="N190" s="7"/>
      <c r="O190" s="7"/>
      <c r="P190" s="7" t="s">
        <v>5274</v>
      </c>
      <c r="Q190" s="7" t="s">
        <v>3999</v>
      </c>
      <c r="R190" s="7"/>
      <c r="S190" s="7"/>
      <c r="T190" s="7" t="n">
        <v>10</v>
      </c>
      <c r="U190" s="7" t="s">
        <v>6435</v>
      </c>
      <c r="V190" s="7" t="s">
        <v>5462</v>
      </c>
      <c r="W190" s="7" t="s">
        <v>6436</v>
      </c>
      <c r="X190" s="7" t="s">
        <v>6437</v>
      </c>
      <c r="Y190" s="7"/>
      <c r="Z190" s="7"/>
      <c r="AA190" s="7" t="s">
        <v>6438</v>
      </c>
      <c r="AB190" s="7" t="s">
        <v>6041</v>
      </c>
    </row>
    <row r="191" customFormat="false" ht="48" hidden="false" customHeight="true" outlineLevel="0" collapsed="false">
      <c r="A191" s="7" t="n">
        <v>188</v>
      </c>
      <c r="B191" s="7" t="n">
        <v>1270</v>
      </c>
      <c r="C191" s="7" t="s">
        <v>5465</v>
      </c>
      <c r="D191" s="7" t="s">
        <v>19</v>
      </c>
      <c r="E191" s="7" t="s">
        <v>4003</v>
      </c>
      <c r="F191" s="7" t="s">
        <v>4004</v>
      </c>
      <c r="G191" s="7" t="s">
        <v>4005</v>
      </c>
      <c r="H191" s="7" t="n">
        <v>160</v>
      </c>
      <c r="I191" s="7" t="s">
        <v>20</v>
      </c>
      <c r="J191" s="7" t="s">
        <v>28</v>
      </c>
      <c r="K191" s="7" t="s">
        <v>6433</v>
      </c>
      <c r="L191" s="7" t="s">
        <v>6434</v>
      </c>
      <c r="M191" s="7" t="s">
        <v>6042</v>
      </c>
      <c r="N191" s="7"/>
      <c r="O191" s="7"/>
      <c r="P191" s="7" t="s">
        <v>5268</v>
      </c>
      <c r="Q191" s="7" t="s">
        <v>4009</v>
      </c>
      <c r="R191" s="7"/>
      <c r="S191" s="7"/>
      <c r="T191" s="7" t="n">
        <v>36</v>
      </c>
      <c r="U191" s="7" t="s">
        <v>6439</v>
      </c>
      <c r="V191" s="7" t="s">
        <v>5464</v>
      </c>
      <c r="W191" s="7" t="s">
        <v>6440</v>
      </c>
      <c r="X191" s="7" t="s">
        <v>6441</v>
      </c>
      <c r="Y191" s="7"/>
      <c r="Z191" s="7"/>
      <c r="AA191" s="7" t="s">
        <v>6438</v>
      </c>
      <c r="AB191" s="7" t="s">
        <v>6041</v>
      </c>
    </row>
    <row r="192" customFormat="false" ht="48" hidden="false" customHeight="true" outlineLevel="0" collapsed="false">
      <c r="A192" s="7" t="n">
        <v>189</v>
      </c>
      <c r="B192" s="7" t="n">
        <v>2900</v>
      </c>
      <c r="C192" s="7" t="s">
        <v>5467</v>
      </c>
      <c r="D192" s="7" t="s">
        <v>31</v>
      </c>
      <c r="E192" s="7" t="s">
        <v>4003</v>
      </c>
      <c r="F192" s="7" t="s">
        <v>4010</v>
      </c>
      <c r="G192" s="7" t="s">
        <v>3998</v>
      </c>
      <c r="H192" s="7" t="n">
        <v>140</v>
      </c>
      <c r="I192" s="7" t="s">
        <v>18</v>
      </c>
      <c r="J192" s="7" t="s">
        <v>18</v>
      </c>
      <c r="K192" s="7" t="s">
        <v>6433</v>
      </c>
      <c r="L192" s="7" t="s">
        <v>6434</v>
      </c>
      <c r="M192" s="7" t="s">
        <v>6047</v>
      </c>
      <c r="N192" s="7" t="s">
        <v>5272</v>
      </c>
      <c r="O192" s="7"/>
      <c r="P192" s="7" t="s">
        <v>5274</v>
      </c>
      <c r="Q192" s="7" t="s">
        <v>4011</v>
      </c>
      <c r="R192" s="7"/>
      <c r="S192" s="7"/>
      <c r="T192" s="7" t="n">
        <v>23</v>
      </c>
      <c r="U192" s="7" t="s">
        <v>6442</v>
      </c>
      <c r="V192" s="7" t="s">
        <v>5466</v>
      </c>
      <c r="W192" s="7" t="s">
        <v>6443</v>
      </c>
      <c r="X192" s="7" t="s">
        <v>6444</v>
      </c>
      <c r="Y192" s="7"/>
      <c r="Z192" s="7"/>
      <c r="AA192" s="7" t="s">
        <v>6438</v>
      </c>
      <c r="AB192" s="7" t="s">
        <v>6041</v>
      </c>
    </row>
    <row r="193" customFormat="false" ht="48" hidden="false" customHeight="true" outlineLevel="0" collapsed="false">
      <c r="A193" s="7" t="n">
        <v>190</v>
      </c>
      <c r="B193" s="7" t="n">
        <v>1486</v>
      </c>
      <c r="C193" s="7" t="s">
        <v>5468</v>
      </c>
      <c r="D193" s="7" t="s">
        <v>22</v>
      </c>
      <c r="E193" s="7" t="s">
        <v>3996</v>
      </c>
      <c r="F193" s="7" t="s">
        <v>3997</v>
      </c>
      <c r="G193" s="7" t="s">
        <v>3998</v>
      </c>
      <c r="H193" s="7" t="n">
        <v>112</v>
      </c>
      <c r="I193" s="7" t="s">
        <v>18</v>
      </c>
      <c r="J193" s="7" t="s">
        <v>18</v>
      </c>
      <c r="K193" s="7" t="s">
        <v>6433</v>
      </c>
      <c r="L193" s="7" t="s">
        <v>6434</v>
      </c>
      <c r="M193" s="7" t="s">
        <v>6047</v>
      </c>
      <c r="N193" s="7" t="s">
        <v>5272</v>
      </c>
      <c r="O193" s="7"/>
      <c r="P193" s="7" t="s">
        <v>5268</v>
      </c>
      <c r="Q193" s="7" t="s">
        <v>4018</v>
      </c>
      <c r="R193" s="7"/>
      <c r="S193" s="7"/>
      <c r="T193" s="7" t="n">
        <v>21</v>
      </c>
      <c r="U193" s="7" t="s">
        <v>6435</v>
      </c>
      <c r="V193" s="7" t="s">
        <v>5462</v>
      </c>
      <c r="W193" s="7" t="s">
        <v>6445</v>
      </c>
      <c r="X193" s="7" t="s">
        <v>6446</v>
      </c>
      <c r="Y193" s="7"/>
      <c r="Z193" s="7"/>
      <c r="AA193" s="7" t="s">
        <v>6438</v>
      </c>
      <c r="AB193" s="7" t="s">
        <v>6041</v>
      </c>
    </row>
    <row r="194" customFormat="false" ht="48" hidden="false" customHeight="true" outlineLevel="0" collapsed="false">
      <c r="A194" s="7" t="n">
        <v>191</v>
      </c>
      <c r="B194" s="7" t="n">
        <v>2051</v>
      </c>
      <c r="C194" s="7" t="s">
        <v>5470</v>
      </c>
      <c r="D194" s="7" t="s">
        <v>25</v>
      </c>
      <c r="E194" s="7" t="s">
        <v>4019</v>
      </c>
      <c r="F194" s="7" t="s">
        <v>4020</v>
      </c>
      <c r="G194" s="7" t="s">
        <v>4005</v>
      </c>
      <c r="H194" s="7" t="n">
        <v>110</v>
      </c>
      <c r="I194" s="7" t="s">
        <v>20</v>
      </c>
      <c r="J194" s="7" t="s">
        <v>28</v>
      </c>
      <c r="K194" s="7" t="s">
        <v>6433</v>
      </c>
      <c r="L194" s="7" t="s">
        <v>6434</v>
      </c>
      <c r="M194" s="7" t="s">
        <v>6042</v>
      </c>
      <c r="N194" s="7"/>
      <c r="O194" s="7"/>
      <c r="P194" s="7" t="s">
        <v>5276</v>
      </c>
      <c r="Q194" s="7" t="s">
        <v>4022</v>
      </c>
      <c r="R194" s="7"/>
      <c r="S194" s="7"/>
      <c r="T194" s="7" t="n">
        <v>26</v>
      </c>
      <c r="U194" s="7" t="s">
        <v>6447</v>
      </c>
      <c r="V194" s="7" t="s">
        <v>5469</v>
      </c>
      <c r="W194" s="7" t="s">
        <v>6448</v>
      </c>
      <c r="X194" s="7" t="s">
        <v>6449</v>
      </c>
      <c r="Y194" s="7"/>
      <c r="Z194" s="7"/>
      <c r="AA194" s="7" t="s">
        <v>6438</v>
      </c>
      <c r="AB194" s="7" t="s">
        <v>6041</v>
      </c>
    </row>
    <row r="195" customFormat="false" ht="48" hidden="false" customHeight="true" outlineLevel="0" collapsed="false">
      <c r="A195" s="7" t="n">
        <v>192</v>
      </c>
      <c r="B195" s="7" t="n">
        <v>2724</v>
      </c>
      <c r="C195" s="7" t="s">
        <v>5472</v>
      </c>
      <c r="D195" s="7" t="s">
        <v>29</v>
      </c>
      <c r="E195" s="7" t="s">
        <v>3217</v>
      </c>
      <c r="F195" s="7" t="s">
        <v>3898</v>
      </c>
      <c r="G195" s="7" t="s">
        <v>4025</v>
      </c>
      <c r="H195" s="7" t="n">
        <v>75</v>
      </c>
      <c r="I195" s="7" t="s">
        <v>20</v>
      </c>
      <c r="J195" s="7" t="s">
        <v>33</v>
      </c>
      <c r="K195" s="7" t="s">
        <v>6433</v>
      </c>
      <c r="L195" s="7" t="s">
        <v>6434</v>
      </c>
      <c r="M195" s="7" t="s">
        <v>6042</v>
      </c>
      <c r="N195" s="7" t="s">
        <v>5471</v>
      </c>
      <c r="O195" s="7"/>
      <c r="P195" s="7" t="s">
        <v>5271</v>
      </c>
      <c r="Q195" s="7" t="s">
        <v>4028</v>
      </c>
      <c r="R195" s="7"/>
      <c r="S195" s="7"/>
      <c r="T195" s="7" t="n">
        <v>16</v>
      </c>
      <c r="U195" s="7" t="s">
        <v>6390</v>
      </c>
      <c r="V195" s="7" t="s">
        <v>5440</v>
      </c>
      <c r="W195" s="7" t="s">
        <v>6450</v>
      </c>
      <c r="X195" s="7" t="s">
        <v>6451</v>
      </c>
      <c r="Y195" s="7"/>
      <c r="Z195" s="7"/>
      <c r="AA195" s="7" t="s">
        <v>6452</v>
      </c>
      <c r="AB195" s="7" t="s">
        <v>6041</v>
      </c>
    </row>
    <row r="196" customFormat="false" ht="48" hidden="false" customHeight="true" outlineLevel="0" collapsed="false">
      <c r="A196" s="7" t="n">
        <v>193</v>
      </c>
      <c r="B196" s="7" t="n">
        <v>280</v>
      </c>
      <c r="C196" s="7" t="s">
        <v>5474</v>
      </c>
      <c r="D196" s="7" t="s">
        <v>15</v>
      </c>
      <c r="E196" s="7" t="s">
        <v>3996</v>
      </c>
      <c r="F196" s="7" t="s">
        <v>4030</v>
      </c>
      <c r="G196" s="7" t="s">
        <v>4031</v>
      </c>
      <c r="H196" s="7" t="n">
        <v>126</v>
      </c>
      <c r="I196" s="7" t="s">
        <v>20</v>
      </c>
      <c r="J196" s="7" t="s">
        <v>32</v>
      </c>
      <c r="K196" s="7" t="s">
        <v>6433</v>
      </c>
      <c r="L196" s="7" t="s">
        <v>6434</v>
      </c>
      <c r="M196" s="7" t="s">
        <v>6042</v>
      </c>
      <c r="N196" s="7"/>
      <c r="O196" s="7"/>
      <c r="P196" s="7" t="s">
        <v>5276</v>
      </c>
      <c r="Q196" s="7" t="s">
        <v>4034</v>
      </c>
      <c r="R196" s="7" t="s">
        <v>4037</v>
      </c>
      <c r="S196" s="7"/>
      <c r="T196" s="7" t="n">
        <v>33</v>
      </c>
      <c r="U196" s="7" t="s">
        <v>6453</v>
      </c>
      <c r="V196" s="7" t="s">
        <v>5473</v>
      </c>
      <c r="W196" s="7" t="s">
        <v>6454</v>
      </c>
      <c r="X196" s="7" t="s">
        <v>6455</v>
      </c>
      <c r="Y196" s="7"/>
      <c r="Z196" s="7" t="s">
        <v>4037</v>
      </c>
      <c r="AA196" s="7" t="s">
        <v>6456</v>
      </c>
      <c r="AB196" s="7" t="s">
        <v>6041</v>
      </c>
    </row>
    <row r="197" customFormat="false" ht="48" hidden="false" customHeight="true" outlineLevel="0" collapsed="false">
      <c r="A197" s="7" t="n">
        <v>194</v>
      </c>
      <c r="B197" s="7" t="n">
        <v>1590</v>
      </c>
      <c r="C197" s="7" t="s">
        <v>5476</v>
      </c>
      <c r="D197" s="7" t="s">
        <v>23</v>
      </c>
      <c r="E197" s="7" t="s">
        <v>3217</v>
      </c>
      <c r="F197" s="7" t="s">
        <v>4038</v>
      </c>
      <c r="G197" s="7" t="s">
        <v>4039</v>
      </c>
      <c r="H197" s="7" t="n">
        <v>56</v>
      </c>
      <c r="I197" s="7" t="s">
        <v>18</v>
      </c>
      <c r="J197" s="7" t="s">
        <v>18</v>
      </c>
      <c r="K197" s="7" t="s">
        <v>6433</v>
      </c>
      <c r="L197" s="7" t="s">
        <v>6434</v>
      </c>
      <c r="M197" s="7" t="s">
        <v>6042</v>
      </c>
      <c r="N197" s="7" t="s">
        <v>5471</v>
      </c>
      <c r="O197" s="7"/>
      <c r="P197" s="7" t="s">
        <v>5271</v>
      </c>
      <c r="Q197" s="7" t="s">
        <v>4042</v>
      </c>
      <c r="R197" s="7"/>
      <c r="S197" s="7"/>
      <c r="T197" s="7" t="n">
        <v>18</v>
      </c>
      <c r="U197" s="7" t="s">
        <v>6457</v>
      </c>
      <c r="V197" s="7" t="s">
        <v>5475</v>
      </c>
      <c r="W197" s="7" t="s">
        <v>6458</v>
      </c>
      <c r="X197" s="7" t="s">
        <v>6459</v>
      </c>
      <c r="Y197" s="7"/>
      <c r="Z197" s="7"/>
      <c r="AA197" s="7" t="s">
        <v>6452</v>
      </c>
      <c r="AB197" s="7" t="s">
        <v>6041</v>
      </c>
    </row>
    <row r="198" customFormat="false" ht="48" hidden="false" customHeight="true" outlineLevel="0" collapsed="false">
      <c r="A198" s="7" t="n">
        <v>195</v>
      </c>
      <c r="B198" s="7" t="n">
        <v>663</v>
      </c>
      <c r="C198" s="7" t="s">
        <v>5478</v>
      </c>
      <c r="D198" s="7" t="s">
        <v>17</v>
      </c>
      <c r="E198" s="7" t="s">
        <v>4044</v>
      </c>
      <c r="F198" s="7" t="s">
        <v>4045</v>
      </c>
      <c r="G198" s="7" t="s">
        <v>3998</v>
      </c>
      <c r="H198" s="7" t="n">
        <v>93</v>
      </c>
      <c r="I198" s="7" t="s">
        <v>18</v>
      </c>
      <c r="J198" s="7" t="s">
        <v>18</v>
      </c>
      <c r="K198" s="7" t="s">
        <v>6433</v>
      </c>
      <c r="L198" s="7" t="s">
        <v>6434</v>
      </c>
      <c r="M198" s="7" t="s">
        <v>6042</v>
      </c>
      <c r="N198" s="7"/>
      <c r="O198" s="7"/>
      <c r="P198" s="7" t="s">
        <v>5274</v>
      </c>
      <c r="Q198" s="7" t="s">
        <v>4046</v>
      </c>
      <c r="R198" s="7"/>
      <c r="S198" s="7"/>
      <c r="T198" s="7" t="n">
        <v>18</v>
      </c>
      <c r="U198" s="7" t="s">
        <v>6460</v>
      </c>
      <c r="V198" s="7" t="s">
        <v>5477</v>
      </c>
      <c r="W198" s="7" t="s">
        <v>6461</v>
      </c>
      <c r="X198" s="7" t="s">
        <v>6462</v>
      </c>
      <c r="Y198" s="7"/>
      <c r="Z198" s="7"/>
      <c r="AA198" s="7" t="s">
        <v>6438</v>
      </c>
      <c r="AB198" s="7" t="s">
        <v>6041</v>
      </c>
    </row>
    <row r="199" customFormat="false" ht="48" hidden="false" customHeight="true" outlineLevel="0" collapsed="false">
      <c r="A199" s="7" t="n">
        <v>196</v>
      </c>
      <c r="B199" s="7" t="n">
        <v>1509</v>
      </c>
      <c r="C199" s="7" t="s">
        <v>5479</v>
      </c>
      <c r="D199" s="7" t="s">
        <v>22</v>
      </c>
      <c r="E199" s="7" t="s">
        <v>3996</v>
      </c>
      <c r="F199" s="7" t="s">
        <v>3997</v>
      </c>
      <c r="G199" s="7" t="s">
        <v>3998</v>
      </c>
      <c r="H199" s="7" t="n">
        <v>135</v>
      </c>
      <c r="I199" s="7" t="s">
        <v>18</v>
      </c>
      <c r="J199" s="7" t="s">
        <v>18</v>
      </c>
      <c r="K199" s="7" t="s">
        <v>6433</v>
      </c>
      <c r="L199" s="7" t="s">
        <v>6434</v>
      </c>
      <c r="M199" s="7" t="s">
        <v>6042</v>
      </c>
      <c r="N199" s="7"/>
      <c r="O199" s="7"/>
      <c r="P199" s="7" t="s">
        <v>5276</v>
      </c>
      <c r="Q199" s="7" t="s">
        <v>4051</v>
      </c>
      <c r="R199" s="7"/>
      <c r="S199" s="7"/>
      <c r="T199" s="7" t="n">
        <v>24</v>
      </c>
      <c r="U199" s="7" t="s">
        <v>6435</v>
      </c>
      <c r="V199" s="7" t="s">
        <v>5462</v>
      </c>
      <c r="W199" s="7" t="s">
        <v>6463</v>
      </c>
      <c r="X199" s="7" t="s">
        <v>6464</v>
      </c>
      <c r="Y199" s="7"/>
      <c r="Z199" s="7"/>
      <c r="AA199" s="7" t="s">
        <v>6438</v>
      </c>
      <c r="AB199" s="7" t="s">
        <v>6041</v>
      </c>
    </row>
    <row r="200" customFormat="false" ht="48" hidden="false" customHeight="true" outlineLevel="0" collapsed="false">
      <c r="A200" s="7" t="n">
        <v>197</v>
      </c>
      <c r="B200" s="7" t="n">
        <v>2044</v>
      </c>
      <c r="C200" s="7" t="s">
        <v>5480</v>
      </c>
      <c r="D200" s="7" t="s">
        <v>25</v>
      </c>
      <c r="E200" s="7" t="s">
        <v>4019</v>
      </c>
      <c r="F200" s="7" t="s">
        <v>4020</v>
      </c>
      <c r="G200" s="7" t="s">
        <v>4005</v>
      </c>
      <c r="H200" s="7" t="n">
        <v>103</v>
      </c>
      <c r="I200" s="7" t="s">
        <v>20</v>
      </c>
      <c r="J200" s="7" t="s">
        <v>28</v>
      </c>
      <c r="K200" s="7" t="s">
        <v>6433</v>
      </c>
      <c r="L200" s="7" t="s">
        <v>6434</v>
      </c>
      <c r="M200" s="7" t="s">
        <v>6042</v>
      </c>
      <c r="N200" s="7"/>
      <c r="O200" s="7"/>
      <c r="P200" s="7" t="s">
        <v>5276</v>
      </c>
      <c r="Q200" s="7" t="s">
        <v>4055</v>
      </c>
      <c r="R200" s="7"/>
      <c r="S200" s="7"/>
      <c r="T200" s="7" t="n">
        <v>24</v>
      </c>
      <c r="U200" s="7" t="s">
        <v>6447</v>
      </c>
      <c r="V200" s="7" t="s">
        <v>5469</v>
      </c>
      <c r="W200" s="7" t="s">
        <v>6465</v>
      </c>
      <c r="X200" s="7" t="s">
        <v>6466</v>
      </c>
      <c r="Y200" s="7"/>
      <c r="Z200" s="7"/>
      <c r="AA200" s="7" t="s">
        <v>6438</v>
      </c>
      <c r="AB200" s="7" t="s">
        <v>6041</v>
      </c>
    </row>
    <row r="201" customFormat="false" ht="48" hidden="false" customHeight="true" outlineLevel="0" collapsed="false">
      <c r="A201" s="7" t="n">
        <v>198</v>
      </c>
      <c r="B201" s="7" t="n">
        <v>1002</v>
      </c>
      <c r="C201" s="7" t="s">
        <v>5482</v>
      </c>
      <c r="D201" s="7" t="s">
        <v>21</v>
      </c>
      <c r="E201" s="7" t="s">
        <v>4058</v>
      </c>
      <c r="F201" s="7" t="s">
        <v>4059</v>
      </c>
      <c r="G201" s="7" t="s">
        <v>4005</v>
      </c>
      <c r="H201" s="7" t="n">
        <v>102</v>
      </c>
      <c r="I201" s="7" t="s">
        <v>20</v>
      </c>
      <c r="J201" s="7" t="s">
        <v>28</v>
      </c>
      <c r="K201" s="7" t="s">
        <v>6433</v>
      </c>
      <c r="L201" s="7" t="s">
        <v>6434</v>
      </c>
      <c r="M201" s="7" t="s">
        <v>6042</v>
      </c>
      <c r="N201" s="7"/>
      <c r="O201" s="7"/>
      <c r="P201" s="7" t="s">
        <v>5276</v>
      </c>
      <c r="Q201" s="7" t="s">
        <v>4061</v>
      </c>
      <c r="R201" s="7"/>
      <c r="S201" s="7"/>
      <c r="T201" s="7" t="n">
        <v>18</v>
      </c>
      <c r="U201" s="7" t="s">
        <v>6467</v>
      </c>
      <c r="V201" s="7" t="s">
        <v>5481</v>
      </c>
      <c r="W201" s="7" t="s">
        <v>6468</v>
      </c>
      <c r="X201" s="7" t="s">
        <v>6469</v>
      </c>
      <c r="Y201" s="7"/>
      <c r="Z201" s="7"/>
      <c r="AA201" s="7" t="s">
        <v>6438</v>
      </c>
      <c r="AB201" s="7" t="s">
        <v>6041</v>
      </c>
    </row>
    <row r="202" customFormat="false" ht="48" hidden="false" customHeight="true" outlineLevel="0" collapsed="false">
      <c r="A202" s="7" t="n">
        <v>199</v>
      </c>
      <c r="B202" s="7" t="n">
        <v>288</v>
      </c>
      <c r="C202" s="7" t="s">
        <v>5483</v>
      </c>
      <c r="D202" s="7" t="s">
        <v>15</v>
      </c>
      <c r="E202" s="7" t="s">
        <v>3996</v>
      </c>
      <c r="F202" s="7" t="s">
        <v>4030</v>
      </c>
      <c r="G202" s="7" t="s">
        <v>4031</v>
      </c>
      <c r="H202" s="7" t="n">
        <v>134</v>
      </c>
      <c r="I202" s="7" t="s">
        <v>20</v>
      </c>
      <c r="J202" s="7" t="s">
        <v>32</v>
      </c>
      <c r="K202" s="7" t="s">
        <v>6433</v>
      </c>
      <c r="L202" s="7" t="s">
        <v>6434</v>
      </c>
      <c r="M202" s="7" t="s">
        <v>6047</v>
      </c>
      <c r="N202" s="7" t="s">
        <v>5272</v>
      </c>
      <c r="O202" s="7"/>
      <c r="P202" s="7" t="s">
        <v>5268</v>
      </c>
      <c r="Q202" s="7" t="s">
        <v>4068</v>
      </c>
      <c r="R202" s="7" t="s">
        <v>4069</v>
      </c>
      <c r="S202" s="7"/>
      <c r="T202" s="7" t="n">
        <v>36</v>
      </c>
      <c r="U202" s="7" t="s">
        <v>6453</v>
      </c>
      <c r="V202" s="7" t="s">
        <v>5473</v>
      </c>
      <c r="W202" s="7" t="s">
        <v>6470</v>
      </c>
      <c r="X202" s="7" t="s">
        <v>6471</v>
      </c>
      <c r="Y202" s="7"/>
      <c r="Z202" s="7" t="s">
        <v>4069</v>
      </c>
      <c r="AA202" s="7" t="s">
        <v>6456</v>
      </c>
      <c r="AB202" s="7" t="s">
        <v>6041</v>
      </c>
    </row>
    <row r="203" customFormat="false" ht="48" hidden="false" customHeight="true" outlineLevel="0" collapsed="false">
      <c r="A203" s="7" t="n">
        <v>200</v>
      </c>
      <c r="B203" s="7" t="n">
        <v>2548</v>
      </c>
      <c r="C203" s="7" t="s">
        <v>5485</v>
      </c>
      <c r="D203" s="7" t="s">
        <v>27</v>
      </c>
      <c r="E203" s="7" t="s">
        <v>3996</v>
      </c>
      <c r="F203" s="7" t="s">
        <v>4070</v>
      </c>
      <c r="G203" s="7" t="s">
        <v>4071</v>
      </c>
      <c r="H203" s="7" t="n">
        <v>109</v>
      </c>
      <c r="I203" s="7" t="s">
        <v>20</v>
      </c>
      <c r="J203" s="7" t="s">
        <v>28</v>
      </c>
      <c r="K203" s="7" t="s">
        <v>6433</v>
      </c>
      <c r="L203" s="7" t="s">
        <v>6434</v>
      </c>
      <c r="M203" s="7" t="s">
        <v>6042</v>
      </c>
      <c r="N203" s="7"/>
      <c r="O203" s="7"/>
      <c r="P203" s="7" t="s">
        <v>5271</v>
      </c>
      <c r="Q203" s="7" t="s">
        <v>4074</v>
      </c>
      <c r="R203" s="7"/>
      <c r="S203" s="7"/>
      <c r="T203" s="7" t="n">
        <v>39</v>
      </c>
      <c r="U203" s="7" t="s">
        <v>6472</v>
      </c>
      <c r="V203" s="7" t="s">
        <v>5484</v>
      </c>
      <c r="W203" s="7" t="s">
        <v>6473</v>
      </c>
      <c r="X203" s="7" t="s">
        <v>6474</v>
      </c>
      <c r="Y203" s="7"/>
      <c r="Z203" s="7"/>
      <c r="AA203" s="7" t="s">
        <v>6438</v>
      </c>
      <c r="AB203" s="7" t="s">
        <v>6041</v>
      </c>
    </row>
    <row r="204" customFormat="false" ht="48" hidden="false" customHeight="true" outlineLevel="0" collapsed="false">
      <c r="A204" s="7" t="n">
        <v>201</v>
      </c>
      <c r="B204" s="7" t="n">
        <v>2776</v>
      </c>
      <c r="C204" s="7" t="s">
        <v>5486</v>
      </c>
      <c r="D204" s="7" t="s">
        <v>31</v>
      </c>
      <c r="E204" s="7" t="s">
        <v>4003</v>
      </c>
      <c r="F204" s="7" t="s">
        <v>4010</v>
      </c>
      <c r="G204" s="7" t="s">
        <v>3998</v>
      </c>
      <c r="H204" s="7" t="n">
        <v>16</v>
      </c>
      <c r="I204" s="7" t="s">
        <v>18</v>
      </c>
      <c r="J204" s="7" t="s">
        <v>18</v>
      </c>
      <c r="K204" s="7" t="s">
        <v>6433</v>
      </c>
      <c r="L204" s="7" t="s">
        <v>6434</v>
      </c>
      <c r="M204" s="7" t="s">
        <v>6047</v>
      </c>
      <c r="N204" s="7" t="s">
        <v>5272</v>
      </c>
      <c r="O204" s="7"/>
      <c r="P204" s="7" t="s">
        <v>5271</v>
      </c>
      <c r="Q204" s="7" t="s">
        <v>4078</v>
      </c>
      <c r="R204" s="7"/>
      <c r="S204" s="7"/>
      <c r="T204" s="7" t="n">
        <v>3</v>
      </c>
      <c r="U204" s="7" t="s">
        <v>6442</v>
      </c>
      <c r="V204" s="7" t="s">
        <v>5466</v>
      </c>
      <c r="W204" s="7" t="s">
        <v>6475</v>
      </c>
      <c r="X204" s="7" t="s">
        <v>6476</v>
      </c>
      <c r="Y204" s="7"/>
      <c r="Z204" s="7"/>
      <c r="AA204" s="7" t="s">
        <v>6438</v>
      </c>
      <c r="AB204" s="7" t="s">
        <v>6041</v>
      </c>
    </row>
    <row r="205" customFormat="false" ht="48" hidden="false" customHeight="true" outlineLevel="0" collapsed="false">
      <c r="A205" s="7" t="n">
        <v>202</v>
      </c>
      <c r="B205" s="7" t="n">
        <v>1588</v>
      </c>
      <c r="C205" s="7" t="s">
        <v>5487</v>
      </c>
      <c r="D205" s="7" t="s">
        <v>23</v>
      </c>
      <c r="E205" s="7" t="s">
        <v>3217</v>
      </c>
      <c r="F205" s="7" t="s">
        <v>4038</v>
      </c>
      <c r="G205" s="7" t="s">
        <v>4039</v>
      </c>
      <c r="H205" s="7" t="n">
        <v>54</v>
      </c>
      <c r="I205" s="7" t="s">
        <v>18</v>
      </c>
      <c r="J205" s="7" t="s">
        <v>18</v>
      </c>
      <c r="K205" s="7" t="s">
        <v>6433</v>
      </c>
      <c r="L205" s="7" t="s">
        <v>6434</v>
      </c>
      <c r="M205" s="7" t="s">
        <v>6042</v>
      </c>
      <c r="N205" s="7"/>
      <c r="O205" s="7"/>
      <c r="P205" s="7" t="s">
        <v>5271</v>
      </c>
      <c r="Q205" s="7" t="s">
        <v>4082</v>
      </c>
      <c r="R205" s="7"/>
      <c r="S205" s="7"/>
      <c r="T205" s="7" t="n">
        <v>17</v>
      </c>
      <c r="U205" s="7" t="s">
        <v>6457</v>
      </c>
      <c r="V205" s="7" t="s">
        <v>5475</v>
      </c>
      <c r="W205" s="7" t="s">
        <v>6477</v>
      </c>
      <c r="X205" s="7" t="s">
        <v>6478</v>
      </c>
      <c r="Y205" s="7"/>
      <c r="Z205" s="7"/>
      <c r="AA205" s="7" t="s">
        <v>6438</v>
      </c>
      <c r="AB205" s="7" t="s">
        <v>6041</v>
      </c>
    </row>
    <row r="206" customFormat="false" ht="48" hidden="false" customHeight="true" outlineLevel="0" collapsed="false">
      <c r="A206" s="7" t="n">
        <v>203</v>
      </c>
      <c r="B206" s="7" t="n">
        <v>569</v>
      </c>
      <c r="C206" s="7" t="s">
        <v>5489</v>
      </c>
      <c r="D206" s="7" t="s">
        <v>17</v>
      </c>
      <c r="E206" s="7" t="s">
        <v>4058</v>
      </c>
      <c r="F206" s="7" t="s">
        <v>4084</v>
      </c>
      <c r="G206" s="7" t="s">
        <v>4005</v>
      </c>
      <c r="H206" s="7" t="n">
        <v>109</v>
      </c>
      <c r="I206" s="7" t="s">
        <v>20</v>
      </c>
      <c r="J206" s="7" t="s">
        <v>28</v>
      </c>
      <c r="K206" s="7" t="s">
        <v>6433</v>
      </c>
      <c r="L206" s="7" t="s">
        <v>6434</v>
      </c>
      <c r="M206" s="7" t="s">
        <v>6047</v>
      </c>
      <c r="N206" s="7" t="s">
        <v>5272</v>
      </c>
      <c r="O206" s="7"/>
      <c r="P206" s="7" t="s">
        <v>5271</v>
      </c>
      <c r="Q206" s="7" t="s">
        <v>4087</v>
      </c>
      <c r="R206" s="7"/>
      <c r="S206" s="7"/>
      <c r="T206" s="7" t="n">
        <v>39</v>
      </c>
      <c r="U206" s="7" t="s">
        <v>6479</v>
      </c>
      <c r="V206" s="7" t="s">
        <v>5488</v>
      </c>
      <c r="W206" s="7" t="s">
        <v>6480</v>
      </c>
      <c r="X206" s="7" t="s">
        <v>6481</v>
      </c>
      <c r="Y206" s="7"/>
      <c r="Z206" s="7"/>
      <c r="AA206" s="7" t="s">
        <v>6438</v>
      </c>
      <c r="AB206" s="7" t="s">
        <v>6041</v>
      </c>
    </row>
    <row r="207" customFormat="false" ht="48" hidden="false" customHeight="true" outlineLevel="0" collapsed="false">
      <c r="A207" s="7" t="n">
        <v>204</v>
      </c>
      <c r="B207" s="7" t="n">
        <v>1557</v>
      </c>
      <c r="C207" s="7" t="s">
        <v>5490</v>
      </c>
      <c r="D207" s="7" t="s">
        <v>23</v>
      </c>
      <c r="E207" s="7" t="s">
        <v>3217</v>
      </c>
      <c r="F207" s="7" t="s">
        <v>4038</v>
      </c>
      <c r="G207" s="7" t="s">
        <v>3998</v>
      </c>
      <c r="H207" s="7" t="n">
        <v>23</v>
      </c>
      <c r="I207" s="7" t="s">
        <v>18</v>
      </c>
      <c r="J207" s="7" t="s">
        <v>18</v>
      </c>
      <c r="K207" s="7" t="s">
        <v>6433</v>
      </c>
      <c r="L207" s="7" t="s">
        <v>6434</v>
      </c>
      <c r="M207" s="7" t="s">
        <v>6042</v>
      </c>
      <c r="N207" s="7"/>
      <c r="O207" s="7"/>
      <c r="P207" s="7" t="s">
        <v>5268</v>
      </c>
      <c r="Q207" s="7" t="s">
        <v>4092</v>
      </c>
      <c r="R207" s="7"/>
      <c r="S207" s="7"/>
      <c r="T207" s="7" t="n">
        <v>9</v>
      </c>
      <c r="U207" s="7" t="s">
        <v>6457</v>
      </c>
      <c r="V207" s="7" t="s">
        <v>5475</v>
      </c>
      <c r="W207" s="7" t="s">
        <v>6482</v>
      </c>
      <c r="X207" s="7" t="s">
        <v>6483</v>
      </c>
      <c r="Y207" s="7"/>
      <c r="Z207" s="7"/>
      <c r="AA207" s="7" t="s">
        <v>6438</v>
      </c>
      <c r="AB207" s="7" t="s">
        <v>6041</v>
      </c>
    </row>
    <row r="208" customFormat="false" ht="48" hidden="false" customHeight="true" outlineLevel="0" collapsed="false">
      <c r="A208" s="7" t="n">
        <v>205</v>
      </c>
      <c r="B208" s="7" t="n">
        <v>1540</v>
      </c>
      <c r="C208" s="7" t="s">
        <v>5491</v>
      </c>
      <c r="D208" s="7" t="s">
        <v>23</v>
      </c>
      <c r="E208" s="7" t="s">
        <v>3217</v>
      </c>
      <c r="F208" s="7" t="s">
        <v>4038</v>
      </c>
      <c r="G208" s="7" t="s">
        <v>3998</v>
      </c>
      <c r="H208" s="7" t="n">
        <v>6</v>
      </c>
      <c r="I208" s="7" t="s">
        <v>18</v>
      </c>
      <c r="J208" s="7" t="s">
        <v>18</v>
      </c>
      <c r="K208" s="7" t="s">
        <v>6433</v>
      </c>
      <c r="L208" s="7" t="s">
        <v>6434</v>
      </c>
      <c r="M208" s="7" t="s">
        <v>6042</v>
      </c>
      <c r="N208" s="7"/>
      <c r="O208" s="7"/>
      <c r="P208" s="7" t="s">
        <v>5276</v>
      </c>
      <c r="Q208" s="7" t="s">
        <v>4094</v>
      </c>
      <c r="R208" s="7"/>
      <c r="S208" s="7"/>
      <c r="T208" s="7" t="n">
        <v>4</v>
      </c>
      <c r="U208" s="7" t="s">
        <v>6457</v>
      </c>
      <c r="V208" s="7" t="s">
        <v>5475</v>
      </c>
      <c r="W208" s="7" t="s">
        <v>6484</v>
      </c>
      <c r="X208" s="7" t="s">
        <v>6485</v>
      </c>
      <c r="Y208" s="7"/>
      <c r="Z208" s="7"/>
      <c r="AA208" s="7" t="s">
        <v>6438</v>
      </c>
      <c r="AB208" s="7" t="s">
        <v>6041</v>
      </c>
    </row>
    <row r="209" customFormat="false" ht="48" hidden="false" customHeight="true" outlineLevel="0" collapsed="false">
      <c r="A209" s="7" t="n">
        <v>206</v>
      </c>
      <c r="B209" s="7" t="n">
        <v>953</v>
      </c>
      <c r="C209" s="7" t="s">
        <v>5492</v>
      </c>
      <c r="D209" s="7" t="s">
        <v>21</v>
      </c>
      <c r="E209" s="7" t="s">
        <v>4058</v>
      </c>
      <c r="F209" s="7" t="s">
        <v>4059</v>
      </c>
      <c r="G209" s="7" t="s">
        <v>3998</v>
      </c>
      <c r="H209" s="7" t="n">
        <v>53</v>
      </c>
      <c r="I209" s="7" t="s">
        <v>18</v>
      </c>
      <c r="J209" s="7" t="s">
        <v>18</v>
      </c>
      <c r="K209" s="7" t="s">
        <v>6433</v>
      </c>
      <c r="L209" s="7" t="s">
        <v>6434</v>
      </c>
      <c r="M209" s="7" t="s">
        <v>6047</v>
      </c>
      <c r="N209" s="7" t="s">
        <v>5272</v>
      </c>
      <c r="O209" s="7"/>
      <c r="P209" s="7" t="s">
        <v>5271</v>
      </c>
      <c r="Q209" s="7" t="s">
        <v>4098</v>
      </c>
      <c r="R209" s="7"/>
      <c r="S209" s="7"/>
      <c r="T209" s="7" t="n">
        <v>10</v>
      </c>
      <c r="U209" s="7" t="s">
        <v>6467</v>
      </c>
      <c r="V209" s="7" t="s">
        <v>5481</v>
      </c>
      <c r="W209" s="7" t="s">
        <v>6486</v>
      </c>
      <c r="X209" s="7" t="s">
        <v>6487</v>
      </c>
      <c r="Y209" s="7"/>
      <c r="Z209" s="7"/>
      <c r="AA209" s="7" t="s">
        <v>6438</v>
      </c>
      <c r="AB209" s="7" t="s">
        <v>6041</v>
      </c>
    </row>
    <row r="210" customFormat="false" ht="48" hidden="false" customHeight="true" outlineLevel="0" collapsed="false">
      <c r="A210" s="7" t="n">
        <v>207</v>
      </c>
      <c r="B210" s="7" t="n">
        <v>2859</v>
      </c>
      <c r="C210" s="7" t="s">
        <v>5493</v>
      </c>
      <c r="D210" s="7" t="s">
        <v>31</v>
      </c>
      <c r="E210" s="7" t="s">
        <v>4003</v>
      </c>
      <c r="F210" s="7" t="s">
        <v>4010</v>
      </c>
      <c r="G210" s="7" t="s">
        <v>3998</v>
      </c>
      <c r="H210" s="7" t="n">
        <v>99</v>
      </c>
      <c r="I210" s="7" t="s">
        <v>18</v>
      </c>
      <c r="J210" s="7" t="s">
        <v>18</v>
      </c>
      <c r="K210" s="7" t="s">
        <v>6433</v>
      </c>
      <c r="L210" s="7" t="s">
        <v>6434</v>
      </c>
      <c r="M210" s="7" t="s">
        <v>6042</v>
      </c>
      <c r="N210" s="7"/>
      <c r="O210" s="7"/>
      <c r="P210" s="7" t="s">
        <v>5268</v>
      </c>
      <c r="Q210" s="7" t="s">
        <v>4103</v>
      </c>
      <c r="R210" s="7"/>
      <c r="S210" s="7"/>
      <c r="T210" s="7" t="n">
        <v>17</v>
      </c>
      <c r="U210" s="7" t="s">
        <v>6442</v>
      </c>
      <c r="V210" s="7" t="s">
        <v>5466</v>
      </c>
      <c r="W210" s="7" t="s">
        <v>6488</v>
      </c>
      <c r="X210" s="7" t="s">
        <v>6489</v>
      </c>
      <c r="Y210" s="7"/>
      <c r="Z210" s="7"/>
      <c r="AA210" s="7" t="s">
        <v>6438</v>
      </c>
      <c r="AB210" s="7" t="s">
        <v>6041</v>
      </c>
    </row>
    <row r="211" customFormat="false" ht="48" hidden="false" customHeight="true" outlineLevel="0" collapsed="false">
      <c r="A211" s="7" t="n">
        <v>208</v>
      </c>
      <c r="B211" s="7" t="n">
        <v>2542</v>
      </c>
      <c r="C211" s="7" t="s">
        <v>5494</v>
      </c>
      <c r="D211" s="7" t="s">
        <v>27</v>
      </c>
      <c r="E211" s="7" t="s">
        <v>3996</v>
      </c>
      <c r="F211" s="7" t="s">
        <v>4070</v>
      </c>
      <c r="G211" s="7" t="s">
        <v>4071</v>
      </c>
      <c r="H211" s="7" t="n">
        <v>103</v>
      </c>
      <c r="I211" s="7" t="s">
        <v>20</v>
      </c>
      <c r="J211" s="7" t="s">
        <v>28</v>
      </c>
      <c r="K211" s="7" t="s">
        <v>6433</v>
      </c>
      <c r="L211" s="7" t="s">
        <v>6434</v>
      </c>
      <c r="M211" s="7" t="s">
        <v>6042</v>
      </c>
      <c r="N211" s="7"/>
      <c r="O211" s="7"/>
      <c r="P211" s="7" t="s">
        <v>5271</v>
      </c>
      <c r="Q211" s="7" t="s">
        <v>4106</v>
      </c>
      <c r="R211" s="7"/>
      <c r="S211" s="7"/>
      <c r="T211" s="7" t="n">
        <v>37</v>
      </c>
      <c r="U211" s="7" t="s">
        <v>6472</v>
      </c>
      <c r="V211" s="7" t="s">
        <v>5484</v>
      </c>
      <c r="W211" s="7" t="s">
        <v>6490</v>
      </c>
      <c r="X211" s="7" t="s">
        <v>6491</v>
      </c>
      <c r="Y211" s="7"/>
      <c r="Z211" s="7"/>
      <c r="AA211" s="7" t="s">
        <v>6438</v>
      </c>
      <c r="AB211" s="7" t="s">
        <v>6041</v>
      </c>
    </row>
    <row r="212" customFormat="false" ht="48" hidden="false" customHeight="true" outlineLevel="0" collapsed="false">
      <c r="A212" s="7" t="n">
        <v>209</v>
      </c>
      <c r="B212" s="7" t="n">
        <v>1022</v>
      </c>
      <c r="C212" s="7" t="s">
        <v>5497</v>
      </c>
      <c r="D212" s="7" t="s">
        <v>21</v>
      </c>
      <c r="E212" s="7" t="s">
        <v>3217</v>
      </c>
      <c r="F212" s="7" t="s">
        <v>4108</v>
      </c>
      <c r="G212" s="7" t="s">
        <v>3998</v>
      </c>
      <c r="H212" s="7" t="n">
        <v>17</v>
      </c>
      <c r="I212" s="7" t="s">
        <v>18</v>
      </c>
      <c r="J212" s="7" t="s">
        <v>18</v>
      </c>
      <c r="K212" s="7" t="s">
        <v>6433</v>
      </c>
      <c r="L212" s="7" t="s">
        <v>6434</v>
      </c>
      <c r="M212" s="7" t="s">
        <v>6047</v>
      </c>
      <c r="N212" s="7" t="s">
        <v>5495</v>
      </c>
      <c r="O212" s="7"/>
      <c r="P212" s="7" t="s">
        <v>5271</v>
      </c>
      <c r="Q212" s="7" t="s">
        <v>4111</v>
      </c>
      <c r="R212" s="7"/>
      <c r="S212" s="7"/>
      <c r="T212" s="7" t="n">
        <v>4</v>
      </c>
      <c r="U212" s="7" t="s">
        <v>6492</v>
      </c>
      <c r="V212" s="7" t="s">
        <v>5496</v>
      </c>
      <c r="W212" s="7" t="s">
        <v>6493</v>
      </c>
      <c r="X212" s="7" t="s">
        <v>6494</v>
      </c>
      <c r="Y212" s="7"/>
      <c r="Z212" s="7"/>
      <c r="AA212" s="7" t="s">
        <v>6452</v>
      </c>
      <c r="AB212" s="7" t="s">
        <v>6041</v>
      </c>
    </row>
    <row r="213" customFormat="false" ht="48" hidden="false" customHeight="true" outlineLevel="0" collapsed="false">
      <c r="A213" s="7" t="n">
        <v>210</v>
      </c>
      <c r="B213" s="7" t="n">
        <v>1611</v>
      </c>
      <c r="C213" s="7" t="s">
        <v>5498</v>
      </c>
      <c r="D213" s="7" t="s">
        <v>23</v>
      </c>
      <c r="E213" s="7" t="s">
        <v>3217</v>
      </c>
      <c r="F213" s="7" t="s">
        <v>4038</v>
      </c>
      <c r="G213" s="7" t="s">
        <v>4039</v>
      </c>
      <c r="H213" s="7" t="n">
        <v>77</v>
      </c>
      <c r="I213" s="7" t="s">
        <v>18</v>
      </c>
      <c r="J213" s="7" t="s">
        <v>18</v>
      </c>
      <c r="K213" s="7" t="s">
        <v>6433</v>
      </c>
      <c r="L213" s="7" t="s">
        <v>6434</v>
      </c>
      <c r="M213" s="7" t="s">
        <v>6042</v>
      </c>
      <c r="N213" s="7"/>
      <c r="O213" s="7"/>
      <c r="P213" s="7" t="s">
        <v>5271</v>
      </c>
      <c r="Q213" s="7" t="s">
        <v>4115</v>
      </c>
      <c r="R213" s="7"/>
      <c r="S213" s="7"/>
      <c r="T213" s="7" t="n">
        <v>22</v>
      </c>
      <c r="U213" s="7" t="s">
        <v>6457</v>
      </c>
      <c r="V213" s="7" t="s">
        <v>5475</v>
      </c>
      <c r="W213" s="7" t="s">
        <v>6495</v>
      </c>
      <c r="X213" s="7" t="s">
        <v>6496</v>
      </c>
      <c r="Y213" s="7"/>
      <c r="Z213" s="7"/>
      <c r="AA213" s="7" t="s">
        <v>6438</v>
      </c>
      <c r="AB213" s="7" t="s">
        <v>6041</v>
      </c>
    </row>
    <row r="214" customFormat="false" ht="48" hidden="false" customHeight="true" outlineLevel="0" collapsed="false">
      <c r="A214" s="7" t="n">
        <v>211</v>
      </c>
      <c r="B214" s="7" t="n">
        <v>2049</v>
      </c>
      <c r="C214" s="7" t="s">
        <v>5499</v>
      </c>
      <c r="D214" s="7" t="s">
        <v>25</v>
      </c>
      <c r="E214" s="7" t="s">
        <v>4019</v>
      </c>
      <c r="F214" s="7" t="s">
        <v>4020</v>
      </c>
      <c r="G214" s="7" t="s">
        <v>4005</v>
      </c>
      <c r="H214" s="7" t="n">
        <v>108</v>
      </c>
      <c r="I214" s="7" t="s">
        <v>20</v>
      </c>
      <c r="J214" s="7" t="s">
        <v>28</v>
      </c>
      <c r="K214" s="7" t="s">
        <v>6433</v>
      </c>
      <c r="L214" s="7" t="s">
        <v>6434</v>
      </c>
      <c r="M214" s="7" t="s">
        <v>6047</v>
      </c>
      <c r="N214" s="7" t="s">
        <v>5272</v>
      </c>
      <c r="O214" s="7"/>
      <c r="P214" s="7" t="s">
        <v>5276</v>
      </c>
      <c r="Q214" s="7" t="s">
        <v>4118</v>
      </c>
      <c r="R214" s="7"/>
      <c r="S214" s="7"/>
      <c r="T214" s="7" t="n">
        <v>25</v>
      </c>
      <c r="U214" s="7" t="s">
        <v>6447</v>
      </c>
      <c r="V214" s="7" t="s">
        <v>5469</v>
      </c>
      <c r="W214" s="7" t="s">
        <v>6497</v>
      </c>
      <c r="X214" s="7" t="s">
        <v>6498</v>
      </c>
      <c r="Y214" s="7"/>
      <c r="Z214" s="7"/>
      <c r="AA214" s="7" t="s">
        <v>6438</v>
      </c>
      <c r="AB214" s="7" t="s">
        <v>6041</v>
      </c>
    </row>
    <row r="215" customFormat="false" ht="48" hidden="false" customHeight="true" outlineLevel="0" collapsed="false">
      <c r="A215" s="7" t="n">
        <v>212</v>
      </c>
      <c r="B215" s="7" t="n">
        <v>1607</v>
      </c>
      <c r="C215" s="7" t="s">
        <v>5500</v>
      </c>
      <c r="D215" s="7" t="s">
        <v>23</v>
      </c>
      <c r="E215" s="7" t="s">
        <v>3217</v>
      </c>
      <c r="F215" s="7" t="s">
        <v>4038</v>
      </c>
      <c r="G215" s="7" t="s">
        <v>4039</v>
      </c>
      <c r="H215" s="7" t="n">
        <v>73</v>
      </c>
      <c r="I215" s="7" t="s">
        <v>18</v>
      </c>
      <c r="J215" s="7" t="s">
        <v>18</v>
      </c>
      <c r="K215" s="7" t="s">
        <v>6433</v>
      </c>
      <c r="L215" s="7" t="s">
        <v>6434</v>
      </c>
      <c r="M215" s="7" t="s">
        <v>6047</v>
      </c>
      <c r="N215" s="7" t="s">
        <v>5272</v>
      </c>
      <c r="O215" s="7"/>
      <c r="P215" s="7" t="s">
        <v>5268</v>
      </c>
      <c r="Q215" s="7" t="s">
        <v>4124</v>
      </c>
      <c r="R215" s="7"/>
      <c r="S215" s="7"/>
      <c r="T215" s="7" t="n">
        <v>21</v>
      </c>
      <c r="U215" s="7" t="s">
        <v>6457</v>
      </c>
      <c r="V215" s="7" t="s">
        <v>5475</v>
      </c>
      <c r="W215" s="7" t="s">
        <v>6499</v>
      </c>
      <c r="X215" s="7" t="s">
        <v>6500</v>
      </c>
      <c r="Y215" s="7"/>
      <c r="Z215" s="7"/>
      <c r="AA215" s="7" t="s">
        <v>6438</v>
      </c>
      <c r="AB215" s="7" t="s">
        <v>6041</v>
      </c>
    </row>
    <row r="216" customFormat="false" ht="48" hidden="false" customHeight="true" outlineLevel="0" collapsed="false">
      <c r="A216" s="7" t="n">
        <v>213</v>
      </c>
      <c r="B216" s="7" t="n">
        <v>1538</v>
      </c>
      <c r="C216" s="7" t="s">
        <v>5501</v>
      </c>
      <c r="D216" s="7" t="s">
        <v>23</v>
      </c>
      <c r="E216" s="7" t="s">
        <v>3217</v>
      </c>
      <c r="F216" s="7" t="s">
        <v>4038</v>
      </c>
      <c r="G216" s="7" t="s">
        <v>3998</v>
      </c>
      <c r="H216" s="7" t="n">
        <v>4</v>
      </c>
      <c r="I216" s="7" t="s">
        <v>18</v>
      </c>
      <c r="J216" s="7" t="s">
        <v>18</v>
      </c>
      <c r="K216" s="7" t="s">
        <v>6433</v>
      </c>
      <c r="L216" s="7" t="s">
        <v>6434</v>
      </c>
      <c r="M216" s="7" t="s">
        <v>6042</v>
      </c>
      <c r="N216" s="7"/>
      <c r="O216" s="7"/>
      <c r="P216" s="7" t="s">
        <v>5276</v>
      </c>
      <c r="Q216" s="7" t="s">
        <v>4126</v>
      </c>
      <c r="R216" s="7"/>
      <c r="S216" s="7"/>
      <c r="T216" s="7" t="n">
        <v>3</v>
      </c>
      <c r="U216" s="7" t="s">
        <v>6457</v>
      </c>
      <c r="V216" s="7" t="s">
        <v>5475</v>
      </c>
      <c r="W216" s="7" t="s">
        <v>6501</v>
      </c>
      <c r="X216" s="7" t="s">
        <v>6502</v>
      </c>
      <c r="Y216" s="7"/>
      <c r="Z216" s="7"/>
      <c r="AA216" s="7" t="s">
        <v>6438</v>
      </c>
      <c r="AB216" s="7" t="s">
        <v>6041</v>
      </c>
    </row>
    <row r="217" customFormat="false" ht="48" hidden="false" customHeight="true" outlineLevel="0" collapsed="false">
      <c r="A217" s="7" t="n">
        <v>214</v>
      </c>
      <c r="B217" s="7" t="n">
        <v>2607</v>
      </c>
      <c r="C217" s="7" t="s">
        <v>5503</v>
      </c>
      <c r="D217" s="7" t="s">
        <v>27</v>
      </c>
      <c r="E217" s="7" t="s">
        <v>4129</v>
      </c>
      <c r="F217" s="7" t="s">
        <v>4130</v>
      </c>
      <c r="G217" s="7" t="s">
        <v>3998</v>
      </c>
      <c r="H217" s="7" t="n">
        <v>58</v>
      </c>
      <c r="I217" s="7" t="s">
        <v>18</v>
      </c>
      <c r="J217" s="7" t="s">
        <v>18</v>
      </c>
      <c r="K217" s="7" t="s">
        <v>6433</v>
      </c>
      <c r="L217" s="7" t="s">
        <v>6434</v>
      </c>
      <c r="M217" s="7" t="s">
        <v>6047</v>
      </c>
      <c r="N217" s="7" t="s">
        <v>5272</v>
      </c>
      <c r="O217" s="7"/>
      <c r="P217" s="7" t="s">
        <v>5274</v>
      </c>
      <c r="Q217" s="7" t="s">
        <v>4131</v>
      </c>
      <c r="R217" s="7"/>
      <c r="S217" s="7"/>
      <c r="T217" s="7" t="n">
        <v>15</v>
      </c>
      <c r="U217" s="7" t="s">
        <v>6503</v>
      </c>
      <c r="V217" s="7" t="s">
        <v>5502</v>
      </c>
      <c r="W217" s="7" t="s">
        <v>6504</v>
      </c>
      <c r="X217" s="7" t="s">
        <v>6505</v>
      </c>
      <c r="Y217" s="7"/>
      <c r="Z217" s="7"/>
      <c r="AA217" s="7" t="s">
        <v>6438</v>
      </c>
      <c r="AB217" s="7" t="s">
        <v>6041</v>
      </c>
    </row>
    <row r="218" customFormat="false" ht="48" hidden="false" customHeight="true" outlineLevel="0" collapsed="false">
      <c r="A218" s="7" t="n">
        <v>215</v>
      </c>
      <c r="B218" s="7" t="n">
        <v>1533</v>
      </c>
      <c r="C218" s="7" t="s">
        <v>5504</v>
      </c>
      <c r="D218" s="7" t="s">
        <v>22</v>
      </c>
      <c r="E218" s="7" t="s">
        <v>3996</v>
      </c>
      <c r="F218" s="7" t="s">
        <v>3997</v>
      </c>
      <c r="G218" s="7" t="s">
        <v>4005</v>
      </c>
      <c r="H218" s="7" t="n">
        <v>159</v>
      </c>
      <c r="I218" s="7" t="s">
        <v>20</v>
      </c>
      <c r="J218" s="7" t="s">
        <v>28</v>
      </c>
      <c r="K218" s="7" t="s">
        <v>6433</v>
      </c>
      <c r="L218" s="7" t="s">
        <v>6434</v>
      </c>
      <c r="M218" s="7" t="s">
        <v>6047</v>
      </c>
      <c r="N218" s="7" t="s">
        <v>5272</v>
      </c>
      <c r="O218" s="7"/>
      <c r="P218" s="7" t="s">
        <v>5271</v>
      </c>
      <c r="Q218" s="7" t="s">
        <v>4137</v>
      </c>
      <c r="R218" s="7"/>
      <c r="S218" s="7"/>
      <c r="T218" s="7" t="n">
        <v>28</v>
      </c>
      <c r="U218" s="7" t="s">
        <v>6435</v>
      </c>
      <c r="V218" s="7" t="s">
        <v>5462</v>
      </c>
      <c r="W218" s="7" t="s">
        <v>6506</v>
      </c>
      <c r="X218" s="7" t="s">
        <v>6507</v>
      </c>
      <c r="Y218" s="7"/>
      <c r="Z218" s="7"/>
      <c r="AA218" s="7" t="s">
        <v>6438</v>
      </c>
      <c r="AB218" s="7" t="s">
        <v>6041</v>
      </c>
    </row>
    <row r="219" customFormat="false" ht="48" hidden="false" customHeight="true" outlineLevel="0" collapsed="false">
      <c r="A219" s="7" t="n">
        <v>216</v>
      </c>
      <c r="B219" s="7" t="n">
        <v>1368</v>
      </c>
      <c r="C219" s="7" t="s">
        <v>5506</v>
      </c>
      <c r="D219" s="7" t="s">
        <v>19</v>
      </c>
      <c r="E219" s="7" t="s">
        <v>3217</v>
      </c>
      <c r="F219" s="7" t="s">
        <v>4139</v>
      </c>
      <c r="G219" s="7" t="s">
        <v>4071</v>
      </c>
      <c r="H219" s="7" t="n">
        <v>93</v>
      </c>
      <c r="I219" s="7" t="s">
        <v>20</v>
      </c>
      <c r="J219" s="7" t="s">
        <v>28</v>
      </c>
      <c r="K219" s="7" t="s">
        <v>6433</v>
      </c>
      <c r="L219" s="7" t="s">
        <v>6434</v>
      </c>
      <c r="M219" s="7" t="s">
        <v>6047</v>
      </c>
      <c r="N219" s="7" t="s">
        <v>5272</v>
      </c>
      <c r="O219" s="7"/>
      <c r="P219" s="7" t="s">
        <v>5276</v>
      </c>
      <c r="Q219" s="7" t="s">
        <v>4141</v>
      </c>
      <c r="R219" s="7"/>
      <c r="S219" s="7"/>
      <c r="T219" s="7" t="n">
        <v>23</v>
      </c>
      <c r="U219" s="7" t="s">
        <v>6508</v>
      </c>
      <c r="V219" s="7" t="s">
        <v>5505</v>
      </c>
      <c r="W219" s="7" t="s">
        <v>6509</v>
      </c>
      <c r="X219" s="7" t="s">
        <v>6510</v>
      </c>
      <c r="Y219" s="7"/>
      <c r="Z219" s="7"/>
      <c r="AA219" s="7" t="s">
        <v>6438</v>
      </c>
      <c r="AB219" s="7" t="s">
        <v>6041</v>
      </c>
    </row>
    <row r="220" customFormat="false" ht="48" hidden="false" customHeight="true" outlineLevel="0" collapsed="false">
      <c r="A220" s="7" t="n">
        <v>217</v>
      </c>
      <c r="B220" s="7" t="n">
        <v>422</v>
      </c>
      <c r="C220" s="7" t="s">
        <v>5508</v>
      </c>
      <c r="D220" s="7" t="s">
        <v>15</v>
      </c>
      <c r="E220" s="7" t="s">
        <v>3217</v>
      </c>
      <c r="F220" s="7" t="s">
        <v>4143</v>
      </c>
      <c r="G220" s="7" t="s">
        <v>4031</v>
      </c>
      <c r="H220" s="7" t="n">
        <v>115</v>
      </c>
      <c r="I220" s="7" t="s">
        <v>20</v>
      </c>
      <c r="J220" s="7" t="s">
        <v>32</v>
      </c>
      <c r="K220" s="7" t="s">
        <v>6433</v>
      </c>
      <c r="L220" s="7" t="s">
        <v>6434</v>
      </c>
      <c r="M220" s="7" t="s">
        <v>6042</v>
      </c>
      <c r="N220" s="7"/>
      <c r="O220" s="7"/>
      <c r="P220" s="7" t="s">
        <v>5268</v>
      </c>
      <c r="Q220" s="7" t="s">
        <v>4148</v>
      </c>
      <c r="R220" s="7" t="s">
        <v>4149</v>
      </c>
      <c r="S220" s="7"/>
      <c r="T220" s="7" t="n">
        <v>31</v>
      </c>
      <c r="U220" s="7" t="s">
        <v>6511</v>
      </c>
      <c r="V220" s="7" t="s">
        <v>5507</v>
      </c>
      <c r="W220" s="7" t="s">
        <v>6512</v>
      </c>
      <c r="X220" s="7" t="s">
        <v>6513</v>
      </c>
      <c r="Y220" s="7"/>
      <c r="Z220" s="7" t="s">
        <v>4149</v>
      </c>
      <c r="AA220" s="7" t="s">
        <v>6456</v>
      </c>
      <c r="AB220" s="7" t="s">
        <v>6041</v>
      </c>
    </row>
    <row r="221" customFormat="false" ht="48" hidden="false" customHeight="true" outlineLevel="0" collapsed="false">
      <c r="A221" s="7" t="n">
        <v>218</v>
      </c>
      <c r="B221" s="7" t="n">
        <v>2501</v>
      </c>
      <c r="C221" s="7" t="s">
        <v>5509</v>
      </c>
      <c r="D221" s="7" t="s">
        <v>27</v>
      </c>
      <c r="E221" s="7" t="s">
        <v>3996</v>
      </c>
      <c r="F221" s="7" t="s">
        <v>4070</v>
      </c>
      <c r="G221" s="7" t="s">
        <v>3998</v>
      </c>
      <c r="H221" s="7" t="n">
        <v>62</v>
      </c>
      <c r="I221" s="7" t="s">
        <v>18</v>
      </c>
      <c r="J221" s="7" t="s">
        <v>18</v>
      </c>
      <c r="K221" s="7" t="s">
        <v>6433</v>
      </c>
      <c r="L221" s="7" t="s">
        <v>6434</v>
      </c>
      <c r="M221" s="7" t="s">
        <v>6042</v>
      </c>
      <c r="N221" s="7"/>
      <c r="O221" s="7"/>
      <c r="P221" s="7" t="s">
        <v>5268</v>
      </c>
      <c r="Q221" s="7" t="s">
        <v>4153</v>
      </c>
      <c r="R221" s="7"/>
      <c r="S221" s="7"/>
      <c r="T221" s="7" t="n">
        <v>24</v>
      </c>
      <c r="U221" s="7" t="s">
        <v>6472</v>
      </c>
      <c r="V221" s="7" t="s">
        <v>5484</v>
      </c>
      <c r="W221" s="7" t="s">
        <v>6514</v>
      </c>
      <c r="X221" s="7" t="s">
        <v>6515</v>
      </c>
      <c r="Y221" s="7"/>
      <c r="Z221" s="7"/>
      <c r="AA221" s="7" t="s">
        <v>6438</v>
      </c>
      <c r="AB221" s="7" t="s">
        <v>6041</v>
      </c>
    </row>
    <row r="222" customFormat="false" ht="48" hidden="false" customHeight="true" outlineLevel="0" collapsed="false">
      <c r="A222" s="7" t="n">
        <v>219</v>
      </c>
      <c r="B222" s="7" t="n">
        <v>2817</v>
      </c>
      <c r="C222" s="7" t="s">
        <v>5510</v>
      </c>
      <c r="D222" s="7" t="s">
        <v>31</v>
      </c>
      <c r="E222" s="7" t="s">
        <v>4003</v>
      </c>
      <c r="F222" s="7" t="s">
        <v>4010</v>
      </c>
      <c r="G222" s="7" t="s">
        <v>3998</v>
      </c>
      <c r="H222" s="7" t="n">
        <v>57</v>
      </c>
      <c r="I222" s="7" t="s">
        <v>18</v>
      </c>
      <c r="J222" s="7" t="s">
        <v>18</v>
      </c>
      <c r="K222" s="7" t="s">
        <v>6433</v>
      </c>
      <c r="L222" s="7" t="s">
        <v>6434</v>
      </c>
      <c r="M222" s="7" t="s">
        <v>6042</v>
      </c>
      <c r="N222" s="7" t="s">
        <v>5471</v>
      </c>
      <c r="O222" s="7"/>
      <c r="P222" s="7" t="s">
        <v>5274</v>
      </c>
      <c r="Q222" s="7" t="s">
        <v>4154</v>
      </c>
      <c r="R222" s="7"/>
      <c r="S222" s="7"/>
      <c r="T222" s="7" t="n">
        <v>11</v>
      </c>
      <c r="U222" s="7" t="s">
        <v>6442</v>
      </c>
      <c r="V222" s="7" t="s">
        <v>5466</v>
      </c>
      <c r="W222" s="7" t="s">
        <v>6516</v>
      </c>
      <c r="X222" s="7" t="s">
        <v>6517</v>
      </c>
      <c r="Y222" s="7"/>
      <c r="Z222" s="7"/>
      <c r="AA222" s="7" t="s">
        <v>6452</v>
      </c>
      <c r="AB222" s="7" t="s">
        <v>6041</v>
      </c>
    </row>
    <row r="223" customFormat="false" ht="48" hidden="false" customHeight="true" outlineLevel="0" collapsed="false">
      <c r="A223" s="7" t="n">
        <v>220</v>
      </c>
      <c r="B223" s="7" t="n">
        <v>2879</v>
      </c>
      <c r="C223" s="7" t="s">
        <v>5511</v>
      </c>
      <c r="D223" s="7" t="s">
        <v>31</v>
      </c>
      <c r="E223" s="7" t="s">
        <v>4003</v>
      </c>
      <c r="F223" s="7" t="s">
        <v>4010</v>
      </c>
      <c r="G223" s="7" t="s">
        <v>3998</v>
      </c>
      <c r="H223" s="7" t="n">
        <v>119</v>
      </c>
      <c r="I223" s="7" t="s">
        <v>18</v>
      </c>
      <c r="J223" s="7" t="s">
        <v>18</v>
      </c>
      <c r="K223" s="7" t="s">
        <v>6433</v>
      </c>
      <c r="L223" s="7" t="s">
        <v>6434</v>
      </c>
      <c r="M223" s="7" t="s">
        <v>6042</v>
      </c>
      <c r="N223" s="7" t="s">
        <v>5471</v>
      </c>
      <c r="O223" s="7"/>
      <c r="P223" s="7" t="s">
        <v>5274</v>
      </c>
      <c r="Q223" s="7" t="s">
        <v>4158</v>
      </c>
      <c r="R223" s="7"/>
      <c r="S223" s="7"/>
      <c r="T223" s="7" t="n">
        <v>20</v>
      </c>
      <c r="U223" s="7" t="s">
        <v>6442</v>
      </c>
      <c r="V223" s="7" t="s">
        <v>5466</v>
      </c>
      <c r="W223" s="7" t="s">
        <v>6518</v>
      </c>
      <c r="X223" s="7" t="s">
        <v>6519</v>
      </c>
      <c r="Y223" s="7"/>
      <c r="Z223" s="7"/>
      <c r="AA223" s="7" t="s">
        <v>6452</v>
      </c>
      <c r="AB223" s="7" t="s">
        <v>6041</v>
      </c>
    </row>
    <row r="224" customFormat="false" ht="48" hidden="false" customHeight="true" outlineLevel="0" collapsed="false">
      <c r="A224" s="7" t="n">
        <v>221</v>
      </c>
      <c r="B224" s="7" t="n">
        <v>987</v>
      </c>
      <c r="C224" s="7" t="s">
        <v>5512</v>
      </c>
      <c r="D224" s="7" t="s">
        <v>21</v>
      </c>
      <c r="E224" s="7" t="s">
        <v>4058</v>
      </c>
      <c r="F224" s="7" t="s">
        <v>4059</v>
      </c>
      <c r="G224" s="7" t="s">
        <v>3998</v>
      </c>
      <c r="H224" s="7" t="n">
        <v>87</v>
      </c>
      <c r="I224" s="7" t="s">
        <v>18</v>
      </c>
      <c r="J224" s="7" t="s">
        <v>18</v>
      </c>
      <c r="K224" s="7" t="s">
        <v>6433</v>
      </c>
      <c r="L224" s="7" t="s">
        <v>6434</v>
      </c>
      <c r="M224" s="7" t="s">
        <v>6047</v>
      </c>
      <c r="N224" s="7" t="s">
        <v>5272</v>
      </c>
      <c r="O224" s="7"/>
      <c r="P224" s="7" t="s">
        <v>5271</v>
      </c>
      <c r="Q224" s="7" t="s">
        <v>4164</v>
      </c>
      <c r="R224" s="7"/>
      <c r="S224" s="7"/>
      <c r="T224" s="7" t="n">
        <v>16</v>
      </c>
      <c r="U224" s="7" t="s">
        <v>6467</v>
      </c>
      <c r="V224" s="7" t="s">
        <v>5481</v>
      </c>
      <c r="W224" s="7" t="s">
        <v>6520</v>
      </c>
      <c r="X224" s="7" t="s">
        <v>6521</v>
      </c>
      <c r="Y224" s="7"/>
      <c r="Z224" s="7"/>
      <c r="AA224" s="7" t="s">
        <v>6438</v>
      </c>
      <c r="AB224" s="7" t="s">
        <v>6041</v>
      </c>
    </row>
    <row r="225" customFormat="false" ht="48" hidden="false" customHeight="true" outlineLevel="0" collapsed="false">
      <c r="A225" s="7" t="n">
        <v>222</v>
      </c>
      <c r="B225" s="7" t="n">
        <v>1028</v>
      </c>
      <c r="C225" s="7" t="s">
        <v>5513</v>
      </c>
      <c r="D225" s="7" t="s">
        <v>21</v>
      </c>
      <c r="E225" s="7" t="s">
        <v>3217</v>
      </c>
      <c r="F225" s="7" t="s">
        <v>4108</v>
      </c>
      <c r="G225" s="7" t="s">
        <v>3998</v>
      </c>
      <c r="H225" s="7" t="n">
        <v>23</v>
      </c>
      <c r="I225" s="7" t="s">
        <v>18</v>
      </c>
      <c r="J225" s="7" t="s">
        <v>18</v>
      </c>
      <c r="K225" s="7" t="s">
        <v>6433</v>
      </c>
      <c r="L225" s="7" t="s">
        <v>6434</v>
      </c>
      <c r="M225" s="7" t="s">
        <v>6042</v>
      </c>
      <c r="N225" s="7" t="s">
        <v>5471</v>
      </c>
      <c r="O225" s="7"/>
      <c r="P225" s="7" t="s">
        <v>5276</v>
      </c>
      <c r="Q225" s="7" t="s">
        <v>4167</v>
      </c>
      <c r="R225" s="7"/>
      <c r="S225" s="7"/>
      <c r="T225" s="7" t="n">
        <v>5</v>
      </c>
      <c r="U225" s="7" t="s">
        <v>6492</v>
      </c>
      <c r="V225" s="7" t="s">
        <v>5496</v>
      </c>
      <c r="W225" s="7" t="s">
        <v>6522</v>
      </c>
      <c r="X225" s="7" t="s">
        <v>6523</v>
      </c>
      <c r="Y225" s="7"/>
      <c r="Z225" s="7"/>
      <c r="AA225" s="7" t="s">
        <v>6452</v>
      </c>
      <c r="AB225" s="7" t="s">
        <v>6041</v>
      </c>
    </row>
    <row r="226" customFormat="false" ht="48" hidden="false" customHeight="true" outlineLevel="0" collapsed="false">
      <c r="A226" s="7" t="n">
        <v>223</v>
      </c>
      <c r="B226" s="7" t="n">
        <v>672</v>
      </c>
      <c r="C226" s="7" t="s">
        <v>5514</v>
      </c>
      <c r="D226" s="7" t="s">
        <v>17</v>
      </c>
      <c r="E226" s="7" t="s">
        <v>4044</v>
      </c>
      <c r="F226" s="7" t="s">
        <v>4045</v>
      </c>
      <c r="G226" s="7" t="s">
        <v>4005</v>
      </c>
      <c r="H226" s="7" t="n">
        <v>102</v>
      </c>
      <c r="I226" s="7" t="s">
        <v>20</v>
      </c>
      <c r="J226" s="7" t="s">
        <v>28</v>
      </c>
      <c r="K226" s="7" t="s">
        <v>6433</v>
      </c>
      <c r="L226" s="7" t="s">
        <v>6434</v>
      </c>
      <c r="M226" s="7" t="s">
        <v>6047</v>
      </c>
      <c r="N226" s="7" t="s">
        <v>5272</v>
      </c>
      <c r="O226" s="7"/>
      <c r="P226" s="7" t="s">
        <v>5268</v>
      </c>
      <c r="Q226" s="7" t="s">
        <v>4173</v>
      </c>
      <c r="R226" s="7"/>
      <c r="S226" s="7"/>
      <c r="T226" s="7" t="n">
        <v>20</v>
      </c>
      <c r="U226" s="7" t="s">
        <v>6460</v>
      </c>
      <c r="V226" s="7" t="s">
        <v>5477</v>
      </c>
      <c r="W226" s="7" t="s">
        <v>6524</v>
      </c>
      <c r="X226" s="7" t="s">
        <v>6525</v>
      </c>
      <c r="Y226" s="7"/>
      <c r="Z226" s="7"/>
      <c r="AA226" s="7" t="s">
        <v>6438</v>
      </c>
      <c r="AB226" s="7" t="s">
        <v>6041</v>
      </c>
    </row>
    <row r="227" customFormat="false" ht="48" hidden="false" customHeight="true" outlineLevel="0" collapsed="false">
      <c r="A227" s="7" t="n">
        <v>224</v>
      </c>
      <c r="B227" s="7" t="n">
        <v>1558</v>
      </c>
      <c r="C227" s="7" t="s">
        <v>5515</v>
      </c>
      <c r="D227" s="7" t="s">
        <v>23</v>
      </c>
      <c r="E227" s="7" t="s">
        <v>3217</v>
      </c>
      <c r="F227" s="7" t="s">
        <v>4038</v>
      </c>
      <c r="G227" s="7" t="s">
        <v>3998</v>
      </c>
      <c r="H227" s="7" t="n">
        <v>24</v>
      </c>
      <c r="I227" s="7" t="s">
        <v>18</v>
      </c>
      <c r="J227" s="7" t="s">
        <v>18</v>
      </c>
      <c r="K227" s="7" t="s">
        <v>6433</v>
      </c>
      <c r="L227" s="7" t="s">
        <v>6434</v>
      </c>
      <c r="M227" s="7" t="s">
        <v>6042</v>
      </c>
      <c r="N227" s="7"/>
      <c r="O227" s="7"/>
      <c r="P227" s="7" t="s">
        <v>5271</v>
      </c>
      <c r="Q227" s="7" t="s">
        <v>4176</v>
      </c>
      <c r="R227" s="7"/>
      <c r="S227" s="7"/>
      <c r="T227" s="7" t="n">
        <v>9</v>
      </c>
      <c r="U227" s="7" t="s">
        <v>6457</v>
      </c>
      <c r="V227" s="7" t="s">
        <v>5475</v>
      </c>
      <c r="W227" s="7" t="s">
        <v>6526</v>
      </c>
      <c r="X227" s="7" t="s">
        <v>6527</v>
      </c>
      <c r="Y227" s="7"/>
      <c r="Z227" s="7"/>
      <c r="AA227" s="7" t="s">
        <v>6438</v>
      </c>
      <c r="AB227" s="7" t="s">
        <v>6041</v>
      </c>
    </row>
    <row r="228" customFormat="false" ht="48" hidden="false" customHeight="true" outlineLevel="0" collapsed="false">
      <c r="A228" s="7" t="n">
        <v>225</v>
      </c>
      <c r="B228" s="7" t="n">
        <v>1499</v>
      </c>
      <c r="C228" s="7" t="s">
        <v>5516</v>
      </c>
      <c r="D228" s="7" t="s">
        <v>22</v>
      </c>
      <c r="E228" s="7" t="s">
        <v>3996</v>
      </c>
      <c r="F228" s="7" t="s">
        <v>3997</v>
      </c>
      <c r="G228" s="7" t="s">
        <v>3998</v>
      </c>
      <c r="H228" s="7" t="n">
        <v>125</v>
      </c>
      <c r="I228" s="7" t="s">
        <v>18</v>
      </c>
      <c r="J228" s="7" t="s">
        <v>18</v>
      </c>
      <c r="K228" s="7" t="s">
        <v>6433</v>
      </c>
      <c r="L228" s="7" t="s">
        <v>6434</v>
      </c>
      <c r="M228" s="7" t="s">
        <v>6042</v>
      </c>
      <c r="N228" s="7"/>
      <c r="O228" s="7"/>
      <c r="P228" s="7" t="s">
        <v>5274</v>
      </c>
      <c r="Q228" s="7" t="s">
        <v>4178</v>
      </c>
      <c r="R228" s="7"/>
      <c r="S228" s="7"/>
      <c r="T228" s="7" t="n">
        <v>23</v>
      </c>
      <c r="U228" s="7" t="s">
        <v>6435</v>
      </c>
      <c r="V228" s="7" t="s">
        <v>5462</v>
      </c>
      <c r="W228" s="7" t="s">
        <v>6528</v>
      </c>
      <c r="X228" s="7" t="s">
        <v>6529</v>
      </c>
      <c r="Y228" s="7"/>
      <c r="Z228" s="7"/>
      <c r="AA228" s="7" t="s">
        <v>6438</v>
      </c>
      <c r="AB228" s="7" t="s">
        <v>6041</v>
      </c>
    </row>
    <row r="229" customFormat="false" ht="48" hidden="false" customHeight="true" outlineLevel="0" collapsed="false">
      <c r="A229" s="7" t="n">
        <v>226</v>
      </c>
      <c r="B229" s="7" t="n">
        <v>914</v>
      </c>
      <c r="C229" s="7" t="s">
        <v>5517</v>
      </c>
      <c r="D229" s="7" t="s">
        <v>21</v>
      </c>
      <c r="E229" s="7" t="s">
        <v>4058</v>
      </c>
      <c r="F229" s="7" t="s">
        <v>4059</v>
      </c>
      <c r="G229" s="7" t="s">
        <v>3998</v>
      </c>
      <c r="H229" s="7" t="n">
        <v>14</v>
      </c>
      <c r="I229" s="7" t="s">
        <v>18</v>
      </c>
      <c r="J229" s="7" t="s">
        <v>18</v>
      </c>
      <c r="K229" s="7" t="s">
        <v>6433</v>
      </c>
      <c r="L229" s="7" t="s">
        <v>6434</v>
      </c>
      <c r="M229" s="7" t="s">
        <v>6042</v>
      </c>
      <c r="N229" s="7"/>
      <c r="O229" s="7"/>
      <c r="P229" s="7" t="s">
        <v>5276</v>
      </c>
      <c r="Q229" s="7" t="s">
        <v>4183</v>
      </c>
      <c r="R229" s="7"/>
      <c r="S229" s="7"/>
      <c r="T229" s="7" t="n">
        <v>4</v>
      </c>
      <c r="U229" s="7" t="s">
        <v>6467</v>
      </c>
      <c r="V229" s="7" t="s">
        <v>5481</v>
      </c>
      <c r="W229" s="7" t="s">
        <v>6530</v>
      </c>
      <c r="X229" s="7" t="s">
        <v>6531</v>
      </c>
      <c r="Y229" s="7"/>
      <c r="Z229" s="7"/>
      <c r="AA229" s="7" t="s">
        <v>6438</v>
      </c>
      <c r="AB229" s="7" t="s">
        <v>6041</v>
      </c>
    </row>
    <row r="230" customFormat="false" ht="48" hidden="false" customHeight="true" outlineLevel="0" collapsed="false">
      <c r="A230" s="7" t="n">
        <v>227</v>
      </c>
      <c r="B230" s="7" t="n">
        <v>2831</v>
      </c>
      <c r="C230" s="7" t="s">
        <v>5518</v>
      </c>
      <c r="D230" s="7" t="s">
        <v>31</v>
      </c>
      <c r="E230" s="7" t="s">
        <v>4003</v>
      </c>
      <c r="F230" s="7" t="s">
        <v>4010</v>
      </c>
      <c r="G230" s="7" t="s">
        <v>3998</v>
      </c>
      <c r="H230" s="7" t="n">
        <v>71</v>
      </c>
      <c r="I230" s="7" t="s">
        <v>18</v>
      </c>
      <c r="J230" s="7" t="s">
        <v>18</v>
      </c>
      <c r="K230" s="7" t="s">
        <v>6433</v>
      </c>
      <c r="L230" s="7" t="s">
        <v>6434</v>
      </c>
      <c r="M230" s="7" t="s">
        <v>6042</v>
      </c>
      <c r="N230" s="7"/>
      <c r="O230" s="7"/>
      <c r="P230" s="7" t="s">
        <v>5268</v>
      </c>
      <c r="Q230" s="7" t="s">
        <v>4189</v>
      </c>
      <c r="R230" s="7"/>
      <c r="S230" s="7"/>
      <c r="T230" s="7" t="n">
        <v>13</v>
      </c>
      <c r="U230" s="7" t="s">
        <v>6442</v>
      </c>
      <c r="V230" s="7" t="s">
        <v>5466</v>
      </c>
      <c r="W230" s="7" t="s">
        <v>6532</v>
      </c>
      <c r="X230" s="7" t="s">
        <v>6533</v>
      </c>
      <c r="Y230" s="7"/>
      <c r="Z230" s="7"/>
      <c r="AA230" s="7" t="s">
        <v>6438</v>
      </c>
      <c r="AB230" s="7" t="s">
        <v>6041</v>
      </c>
    </row>
    <row r="231" customFormat="false" ht="48" hidden="false" customHeight="true" outlineLevel="0" collapsed="false">
      <c r="A231" s="7" t="n">
        <v>228</v>
      </c>
      <c r="B231" s="7" t="n">
        <v>450</v>
      </c>
      <c r="C231" s="7" t="s">
        <v>5519</v>
      </c>
      <c r="D231" s="7" t="s">
        <v>15</v>
      </c>
      <c r="E231" s="7" t="s">
        <v>3217</v>
      </c>
      <c r="F231" s="7" t="s">
        <v>4143</v>
      </c>
      <c r="G231" s="7" t="s">
        <v>4031</v>
      </c>
      <c r="H231" s="7" t="n">
        <v>143</v>
      </c>
      <c r="I231" s="7" t="s">
        <v>20</v>
      </c>
      <c r="J231" s="7" t="s">
        <v>32</v>
      </c>
      <c r="K231" s="7" t="s">
        <v>6433</v>
      </c>
      <c r="L231" s="7" t="s">
        <v>6434</v>
      </c>
      <c r="M231" s="7" t="s">
        <v>6042</v>
      </c>
      <c r="N231" s="7"/>
      <c r="O231" s="7"/>
      <c r="P231" s="7" t="s">
        <v>5268</v>
      </c>
      <c r="Q231" s="7" t="s">
        <v>4194</v>
      </c>
      <c r="R231" s="7" t="s">
        <v>4195</v>
      </c>
      <c r="S231" s="7"/>
      <c r="T231" s="7" t="n">
        <v>40</v>
      </c>
      <c r="U231" s="7" t="s">
        <v>6511</v>
      </c>
      <c r="V231" s="7" t="s">
        <v>5507</v>
      </c>
      <c r="W231" s="7" t="s">
        <v>6534</v>
      </c>
      <c r="X231" s="7" t="s">
        <v>6535</v>
      </c>
      <c r="Y231" s="7"/>
      <c r="Z231" s="7" t="s">
        <v>4195</v>
      </c>
      <c r="AA231" s="7" t="s">
        <v>6456</v>
      </c>
      <c r="AB231" s="7" t="s">
        <v>6041</v>
      </c>
    </row>
    <row r="232" customFormat="false" ht="48" hidden="false" customHeight="true" outlineLevel="0" collapsed="false">
      <c r="A232" s="7" t="n">
        <v>229</v>
      </c>
      <c r="B232" s="7" t="n">
        <v>1592</v>
      </c>
      <c r="C232" s="7" t="s">
        <v>5520</v>
      </c>
      <c r="D232" s="7" t="s">
        <v>23</v>
      </c>
      <c r="E232" s="7" t="s">
        <v>3217</v>
      </c>
      <c r="F232" s="7" t="s">
        <v>4038</v>
      </c>
      <c r="G232" s="7" t="s">
        <v>4039</v>
      </c>
      <c r="H232" s="7" t="n">
        <v>58</v>
      </c>
      <c r="I232" s="7" t="s">
        <v>18</v>
      </c>
      <c r="J232" s="7" t="s">
        <v>18</v>
      </c>
      <c r="K232" s="7" t="s">
        <v>6433</v>
      </c>
      <c r="L232" s="7" t="s">
        <v>6434</v>
      </c>
      <c r="M232" s="7" t="s">
        <v>6042</v>
      </c>
      <c r="N232" s="7"/>
      <c r="O232" s="7"/>
      <c r="P232" s="7" t="s">
        <v>5271</v>
      </c>
      <c r="Q232" s="7" t="s">
        <v>4198</v>
      </c>
      <c r="R232" s="7"/>
      <c r="S232" s="7"/>
      <c r="T232" s="7" t="n">
        <v>18</v>
      </c>
      <c r="U232" s="7" t="s">
        <v>6457</v>
      </c>
      <c r="V232" s="7" t="s">
        <v>5475</v>
      </c>
      <c r="W232" s="7" t="s">
        <v>6536</v>
      </c>
      <c r="X232" s="7" t="s">
        <v>6537</v>
      </c>
      <c r="Y232" s="7"/>
      <c r="Z232" s="7"/>
      <c r="AA232" s="7" t="s">
        <v>6438</v>
      </c>
      <c r="AB232" s="7" t="s">
        <v>6041</v>
      </c>
    </row>
    <row r="233" customFormat="false" ht="48" hidden="false" customHeight="true" outlineLevel="0" collapsed="false">
      <c r="A233" s="7" t="n">
        <v>230</v>
      </c>
      <c r="B233" s="7" t="n">
        <v>2829</v>
      </c>
      <c r="C233" s="7" t="s">
        <v>5521</v>
      </c>
      <c r="D233" s="7" t="s">
        <v>31</v>
      </c>
      <c r="E233" s="7" t="s">
        <v>4003</v>
      </c>
      <c r="F233" s="7" t="s">
        <v>4010</v>
      </c>
      <c r="G233" s="7" t="s">
        <v>3998</v>
      </c>
      <c r="H233" s="7" t="n">
        <v>69</v>
      </c>
      <c r="I233" s="7" t="s">
        <v>18</v>
      </c>
      <c r="J233" s="7" t="s">
        <v>18</v>
      </c>
      <c r="K233" s="7" t="s">
        <v>6433</v>
      </c>
      <c r="L233" s="7" t="s">
        <v>6434</v>
      </c>
      <c r="M233" s="7" t="s">
        <v>6042</v>
      </c>
      <c r="N233" s="7" t="s">
        <v>5471</v>
      </c>
      <c r="O233" s="7"/>
      <c r="P233" s="7" t="s">
        <v>5274</v>
      </c>
      <c r="Q233" s="7" t="s">
        <v>4200</v>
      </c>
      <c r="R233" s="7"/>
      <c r="S233" s="7"/>
      <c r="T233" s="7" t="n">
        <v>12</v>
      </c>
      <c r="U233" s="7" t="s">
        <v>6442</v>
      </c>
      <c r="V233" s="7" t="s">
        <v>5466</v>
      </c>
      <c r="W233" s="7" t="s">
        <v>6538</v>
      </c>
      <c r="X233" s="7" t="s">
        <v>6539</v>
      </c>
      <c r="Y233" s="7"/>
      <c r="Z233" s="7"/>
      <c r="AA233" s="7" t="s">
        <v>6452</v>
      </c>
      <c r="AB233" s="7" t="s">
        <v>6041</v>
      </c>
    </row>
    <row r="234" customFormat="false" ht="48" hidden="false" customHeight="true" outlineLevel="0" collapsed="false">
      <c r="A234" s="7" t="n">
        <v>231</v>
      </c>
      <c r="B234" s="7" t="n">
        <v>2483</v>
      </c>
      <c r="C234" s="7" t="s">
        <v>5522</v>
      </c>
      <c r="D234" s="7" t="s">
        <v>27</v>
      </c>
      <c r="E234" s="7" t="s">
        <v>3996</v>
      </c>
      <c r="F234" s="7" t="s">
        <v>4070</v>
      </c>
      <c r="G234" s="7" t="s">
        <v>3998</v>
      </c>
      <c r="H234" s="7" t="n">
        <v>44</v>
      </c>
      <c r="I234" s="7" t="s">
        <v>18</v>
      </c>
      <c r="J234" s="7" t="s">
        <v>18</v>
      </c>
      <c r="K234" s="7" t="s">
        <v>6433</v>
      </c>
      <c r="L234" s="7" t="s">
        <v>6434</v>
      </c>
      <c r="M234" s="7" t="s">
        <v>6047</v>
      </c>
      <c r="N234" s="7" t="s">
        <v>5272</v>
      </c>
      <c r="O234" s="7"/>
      <c r="P234" s="7" t="s">
        <v>5274</v>
      </c>
      <c r="Q234" s="7" t="s">
        <v>4204</v>
      </c>
      <c r="R234" s="7"/>
      <c r="S234" s="7"/>
      <c r="T234" s="7" t="n">
        <v>18</v>
      </c>
      <c r="U234" s="7" t="s">
        <v>6472</v>
      </c>
      <c r="V234" s="7" t="s">
        <v>5484</v>
      </c>
      <c r="W234" s="7" t="s">
        <v>6540</v>
      </c>
      <c r="X234" s="7" t="s">
        <v>6541</v>
      </c>
      <c r="Y234" s="7"/>
      <c r="Z234" s="7"/>
      <c r="AA234" s="7" t="s">
        <v>6438</v>
      </c>
      <c r="AB234" s="7" t="s">
        <v>6041</v>
      </c>
    </row>
    <row r="235" customFormat="false" ht="48" hidden="false" customHeight="true" outlineLevel="0" collapsed="false">
      <c r="A235" s="7" t="n">
        <v>232</v>
      </c>
      <c r="B235" s="7" t="n">
        <v>543</v>
      </c>
      <c r="C235" s="7" t="s">
        <v>5523</v>
      </c>
      <c r="D235" s="7" t="s">
        <v>17</v>
      </c>
      <c r="E235" s="7" t="s">
        <v>4058</v>
      </c>
      <c r="F235" s="7" t="s">
        <v>4084</v>
      </c>
      <c r="G235" s="7" t="s">
        <v>3998</v>
      </c>
      <c r="H235" s="7" t="n">
        <v>83</v>
      </c>
      <c r="I235" s="7" t="s">
        <v>18</v>
      </c>
      <c r="J235" s="7" t="s">
        <v>18</v>
      </c>
      <c r="K235" s="7" t="s">
        <v>6433</v>
      </c>
      <c r="L235" s="7" t="s">
        <v>6434</v>
      </c>
      <c r="M235" s="7" t="s">
        <v>6047</v>
      </c>
      <c r="N235" s="7" t="s">
        <v>5272</v>
      </c>
      <c r="O235" s="7"/>
      <c r="P235" s="7" t="s">
        <v>5268</v>
      </c>
      <c r="Q235" s="7" t="s">
        <v>4211</v>
      </c>
      <c r="R235" s="7"/>
      <c r="S235" s="7"/>
      <c r="T235" s="7" t="n">
        <v>29</v>
      </c>
      <c r="U235" s="7" t="s">
        <v>6479</v>
      </c>
      <c r="V235" s="7" t="s">
        <v>5488</v>
      </c>
      <c r="W235" s="7" t="s">
        <v>6542</v>
      </c>
      <c r="X235" s="7" t="s">
        <v>6543</v>
      </c>
      <c r="Y235" s="7"/>
      <c r="Z235" s="7"/>
      <c r="AA235" s="7" t="s">
        <v>6438</v>
      </c>
      <c r="AB235" s="7" t="s">
        <v>6041</v>
      </c>
    </row>
    <row r="236" customFormat="false" ht="48" hidden="false" customHeight="true" outlineLevel="0" collapsed="false">
      <c r="A236" s="7" t="n">
        <v>233</v>
      </c>
      <c r="B236" s="7" t="n">
        <v>1525</v>
      </c>
      <c r="C236" s="7" t="s">
        <v>5524</v>
      </c>
      <c r="D236" s="7" t="s">
        <v>22</v>
      </c>
      <c r="E236" s="7" t="s">
        <v>3996</v>
      </c>
      <c r="F236" s="7" t="s">
        <v>3997</v>
      </c>
      <c r="G236" s="7" t="s">
        <v>4005</v>
      </c>
      <c r="H236" s="7" t="n">
        <v>151</v>
      </c>
      <c r="I236" s="7" t="s">
        <v>20</v>
      </c>
      <c r="J236" s="7" t="s">
        <v>28</v>
      </c>
      <c r="K236" s="7" t="s">
        <v>6433</v>
      </c>
      <c r="L236" s="7" t="s">
        <v>6434</v>
      </c>
      <c r="M236" s="7" t="s">
        <v>6042</v>
      </c>
      <c r="N236" s="7"/>
      <c r="O236" s="7"/>
      <c r="P236" s="7" t="s">
        <v>5271</v>
      </c>
      <c r="Q236" s="7" t="s">
        <v>4214</v>
      </c>
      <c r="R236" s="7"/>
      <c r="S236" s="7"/>
      <c r="T236" s="7" t="n">
        <v>27</v>
      </c>
      <c r="U236" s="7" t="s">
        <v>6435</v>
      </c>
      <c r="V236" s="7" t="s">
        <v>5462</v>
      </c>
      <c r="W236" s="7" t="s">
        <v>6544</v>
      </c>
      <c r="X236" s="7" t="s">
        <v>6545</v>
      </c>
      <c r="Y236" s="7"/>
      <c r="Z236" s="7"/>
      <c r="AA236" s="7" t="s">
        <v>6438</v>
      </c>
      <c r="AB236" s="7" t="s">
        <v>6041</v>
      </c>
    </row>
    <row r="237" customFormat="false" ht="48" hidden="false" customHeight="true" outlineLevel="0" collapsed="false">
      <c r="A237" s="7" t="n">
        <v>234</v>
      </c>
      <c r="B237" s="7" t="n">
        <v>2803</v>
      </c>
      <c r="C237" s="7" t="s">
        <v>5525</v>
      </c>
      <c r="D237" s="7" t="s">
        <v>31</v>
      </c>
      <c r="E237" s="7" t="s">
        <v>4003</v>
      </c>
      <c r="F237" s="7" t="s">
        <v>4010</v>
      </c>
      <c r="G237" s="7" t="s">
        <v>3998</v>
      </c>
      <c r="H237" s="7" t="n">
        <v>43</v>
      </c>
      <c r="I237" s="7" t="s">
        <v>18</v>
      </c>
      <c r="J237" s="7" t="s">
        <v>18</v>
      </c>
      <c r="K237" s="7" t="s">
        <v>6433</v>
      </c>
      <c r="L237" s="7" t="s">
        <v>6434</v>
      </c>
      <c r="M237" s="7" t="s">
        <v>6047</v>
      </c>
      <c r="N237" s="7" t="s">
        <v>5272</v>
      </c>
      <c r="O237" s="7"/>
      <c r="P237" s="7" t="s">
        <v>5271</v>
      </c>
      <c r="Q237" s="7" t="s">
        <v>4218</v>
      </c>
      <c r="R237" s="7"/>
      <c r="S237" s="7"/>
      <c r="T237" s="7" t="n">
        <v>8</v>
      </c>
      <c r="U237" s="7" t="s">
        <v>6442</v>
      </c>
      <c r="V237" s="7" t="s">
        <v>5466</v>
      </c>
      <c r="W237" s="7" t="s">
        <v>6546</v>
      </c>
      <c r="X237" s="7" t="s">
        <v>6547</v>
      </c>
      <c r="Y237" s="7"/>
      <c r="Z237" s="7"/>
      <c r="AA237" s="7" t="s">
        <v>6438</v>
      </c>
      <c r="AB237" s="7" t="s">
        <v>6041</v>
      </c>
    </row>
    <row r="238" customFormat="false" ht="48" hidden="false" customHeight="true" outlineLevel="0" collapsed="false">
      <c r="A238" s="7" t="n">
        <v>235</v>
      </c>
      <c r="B238" s="7" t="n">
        <v>1107</v>
      </c>
      <c r="C238" s="7" t="s">
        <v>5526</v>
      </c>
      <c r="D238" s="7" t="s">
        <v>21</v>
      </c>
      <c r="E238" s="7" t="s">
        <v>3217</v>
      </c>
      <c r="F238" s="7" t="s">
        <v>4108</v>
      </c>
      <c r="G238" s="7" t="s">
        <v>4005</v>
      </c>
      <c r="H238" s="7" t="n">
        <v>102</v>
      </c>
      <c r="I238" s="7" t="s">
        <v>20</v>
      </c>
      <c r="J238" s="7" t="s">
        <v>28</v>
      </c>
      <c r="K238" s="7" t="s">
        <v>6433</v>
      </c>
      <c r="L238" s="7" t="s">
        <v>6434</v>
      </c>
      <c r="M238" s="7" t="s">
        <v>6042</v>
      </c>
      <c r="N238" s="7"/>
      <c r="O238" s="7"/>
      <c r="P238" s="7" t="s">
        <v>5271</v>
      </c>
      <c r="Q238" s="7" t="s">
        <v>4222</v>
      </c>
      <c r="R238" s="7"/>
      <c r="S238" s="7"/>
      <c r="T238" s="7" t="n">
        <v>18</v>
      </c>
      <c r="U238" s="7" t="s">
        <v>6492</v>
      </c>
      <c r="V238" s="7" t="s">
        <v>5496</v>
      </c>
      <c r="W238" s="7" t="s">
        <v>6548</v>
      </c>
      <c r="X238" s="7" t="s">
        <v>6549</v>
      </c>
      <c r="Y238" s="7"/>
      <c r="Z238" s="7"/>
      <c r="AA238" s="7" t="s">
        <v>6438</v>
      </c>
      <c r="AB238" s="7" t="s">
        <v>6041</v>
      </c>
    </row>
    <row r="239" customFormat="false" ht="48" hidden="false" customHeight="true" outlineLevel="0" collapsed="false">
      <c r="A239" s="7" t="n">
        <v>236</v>
      </c>
      <c r="B239" s="7" t="n">
        <v>2156</v>
      </c>
      <c r="C239" s="7" t="s">
        <v>5528</v>
      </c>
      <c r="D239" s="7" t="s">
        <v>25</v>
      </c>
      <c r="E239" s="7" t="s">
        <v>4003</v>
      </c>
      <c r="F239" s="7" t="s">
        <v>4224</v>
      </c>
      <c r="G239" s="7" t="s">
        <v>4005</v>
      </c>
      <c r="H239" s="7" t="n">
        <v>105</v>
      </c>
      <c r="I239" s="7" t="s">
        <v>20</v>
      </c>
      <c r="J239" s="7" t="s">
        <v>28</v>
      </c>
      <c r="K239" s="7" t="s">
        <v>6433</v>
      </c>
      <c r="L239" s="7" t="s">
        <v>6434</v>
      </c>
      <c r="M239" s="7" t="s">
        <v>6042</v>
      </c>
      <c r="N239" s="7"/>
      <c r="O239" s="7"/>
      <c r="P239" s="7" t="s">
        <v>5274</v>
      </c>
      <c r="Q239" s="7" t="s">
        <v>4225</v>
      </c>
      <c r="R239" s="7"/>
      <c r="S239" s="7"/>
      <c r="T239" s="7" t="n">
        <v>20</v>
      </c>
      <c r="U239" s="7" t="s">
        <v>6550</v>
      </c>
      <c r="V239" s="7" t="s">
        <v>5527</v>
      </c>
      <c r="W239" s="7" t="s">
        <v>6551</v>
      </c>
      <c r="X239" s="7" t="s">
        <v>6552</v>
      </c>
      <c r="Y239" s="7"/>
      <c r="Z239" s="7"/>
      <c r="AA239" s="7" t="s">
        <v>6438</v>
      </c>
      <c r="AB239" s="7" t="s">
        <v>6041</v>
      </c>
    </row>
    <row r="240" customFormat="false" ht="48" hidden="false" customHeight="true" outlineLevel="0" collapsed="false">
      <c r="A240" s="7" t="n">
        <v>237</v>
      </c>
      <c r="B240" s="7" t="n">
        <v>1269</v>
      </c>
      <c r="C240" s="7" t="s">
        <v>5529</v>
      </c>
      <c r="D240" s="7" t="s">
        <v>19</v>
      </c>
      <c r="E240" s="7" t="s">
        <v>4003</v>
      </c>
      <c r="F240" s="7" t="s">
        <v>4004</v>
      </c>
      <c r="G240" s="7" t="s">
        <v>4005</v>
      </c>
      <c r="H240" s="7" t="n">
        <v>159</v>
      </c>
      <c r="I240" s="7" t="s">
        <v>20</v>
      </c>
      <c r="J240" s="7" t="s">
        <v>28</v>
      </c>
      <c r="K240" s="7" t="s">
        <v>6433</v>
      </c>
      <c r="L240" s="7" t="s">
        <v>6434</v>
      </c>
      <c r="M240" s="7" t="s">
        <v>6042</v>
      </c>
      <c r="N240" s="7"/>
      <c r="O240" s="7"/>
      <c r="P240" s="7" t="s">
        <v>5271</v>
      </c>
      <c r="Q240" s="7" t="s">
        <v>4231</v>
      </c>
      <c r="R240" s="7"/>
      <c r="S240" s="7"/>
      <c r="T240" s="7" t="n">
        <v>36</v>
      </c>
      <c r="U240" s="7" t="s">
        <v>6439</v>
      </c>
      <c r="V240" s="7" t="s">
        <v>5464</v>
      </c>
      <c r="W240" s="7" t="s">
        <v>6553</v>
      </c>
      <c r="X240" s="7" t="s">
        <v>6554</v>
      </c>
      <c r="Y240" s="7"/>
      <c r="Z240" s="7"/>
      <c r="AA240" s="7" t="s">
        <v>6438</v>
      </c>
      <c r="AB240" s="7" t="s">
        <v>6041</v>
      </c>
    </row>
    <row r="241" customFormat="false" ht="48" hidden="false" customHeight="true" outlineLevel="0" collapsed="false">
      <c r="A241" s="7" t="n">
        <v>238</v>
      </c>
      <c r="B241" s="7" t="n">
        <v>1110</v>
      </c>
      <c r="C241" s="7" t="s">
        <v>5530</v>
      </c>
      <c r="D241" s="7" t="s">
        <v>21</v>
      </c>
      <c r="E241" s="7" t="s">
        <v>3217</v>
      </c>
      <c r="F241" s="7" t="s">
        <v>4108</v>
      </c>
      <c r="G241" s="7" t="s">
        <v>4005</v>
      </c>
      <c r="H241" s="7" t="n">
        <v>105</v>
      </c>
      <c r="I241" s="7" t="s">
        <v>20</v>
      </c>
      <c r="J241" s="7" t="s">
        <v>28</v>
      </c>
      <c r="K241" s="7" t="s">
        <v>6433</v>
      </c>
      <c r="L241" s="7" t="s">
        <v>6434</v>
      </c>
      <c r="M241" s="7" t="s">
        <v>6042</v>
      </c>
      <c r="N241" s="7"/>
      <c r="O241" s="7"/>
      <c r="P241" s="7" t="s">
        <v>5274</v>
      </c>
      <c r="Q241" s="7" t="s">
        <v>4233</v>
      </c>
      <c r="R241" s="7"/>
      <c r="S241" s="7"/>
      <c r="T241" s="7" t="n">
        <v>18</v>
      </c>
      <c r="U241" s="7" t="s">
        <v>6492</v>
      </c>
      <c r="V241" s="7" t="s">
        <v>5496</v>
      </c>
      <c r="W241" s="7" t="s">
        <v>6555</v>
      </c>
      <c r="X241" s="7" t="s">
        <v>6556</v>
      </c>
      <c r="Y241" s="7"/>
      <c r="Z241" s="7"/>
      <c r="AA241" s="7" t="s">
        <v>6438</v>
      </c>
      <c r="AB241" s="7" t="s">
        <v>6041</v>
      </c>
    </row>
    <row r="242" customFormat="false" ht="48" hidden="false" customHeight="true" outlineLevel="0" collapsed="false">
      <c r="A242" s="7" t="n">
        <v>239</v>
      </c>
      <c r="B242" s="7" t="n">
        <v>1302</v>
      </c>
      <c r="C242" s="7" t="s">
        <v>5531</v>
      </c>
      <c r="D242" s="7" t="s">
        <v>19</v>
      </c>
      <c r="E242" s="7" t="s">
        <v>3217</v>
      </c>
      <c r="F242" s="7" t="s">
        <v>4139</v>
      </c>
      <c r="G242" s="7" t="s">
        <v>3998</v>
      </c>
      <c r="H242" s="7" t="n">
        <v>27</v>
      </c>
      <c r="I242" s="7" t="s">
        <v>18</v>
      </c>
      <c r="J242" s="7" t="s">
        <v>18</v>
      </c>
      <c r="K242" s="7" t="s">
        <v>6433</v>
      </c>
      <c r="L242" s="7" t="s">
        <v>6434</v>
      </c>
      <c r="M242" s="7" t="s">
        <v>6047</v>
      </c>
      <c r="N242" s="7" t="s">
        <v>5272</v>
      </c>
      <c r="O242" s="7"/>
      <c r="P242" s="7" t="s">
        <v>5271</v>
      </c>
      <c r="Q242" s="7" t="s">
        <v>4239</v>
      </c>
      <c r="R242" s="7"/>
      <c r="S242" s="7"/>
      <c r="T242" s="7" t="n">
        <v>8</v>
      </c>
      <c r="U242" s="7" t="s">
        <v>6508</v>
      </c>
      <c r="V242" s="7" t="s">
        <v>5505</v>
      </c>
      <c r="W242" s="7" t="s">
        <v>6557</v>
      </c>
      <c r="X242" s="7" t="s">
        <v>6558</v>
      </c>
      <c r="Y242" s="7"/>
      <c r="Z242" s="7"/>
      <c r="AA242" s="7" t="s">
        <v>6438</v>
      </c>
      <c r="AB242" s="7" t="s">
        <v>6041</v>
      </c>
    </row>
    <row r="243" customFormat="false" ht="48" hidden="false" customHeight="true" outlineLevel="0" collapsed="false">
      <c r="A243" s="7" t="n">
        <v>240</v>
      </c>
      <c r="B243" s="7" t="n">
        <v>440</v>
      </c>
      <c r="C243" s="7" t="s">
        <v>5532</v>
      </c>
      <c r="D243" s="7" t="s">
        <v>15</v>
      </c>
      <c r="E243" s="7" t="s">
        <v>3217</v>
      </c>
      <c r="F243" s="7" t="s">
        <v>4143</v>
      </c>
      <c r="G243" s="7" t="s">
        <v>4031</v>
      </c>
      <c r="H243" s="7" t="n">
        <v>133</v>
      </c>
      <c r="I243" s="7" t="s">
        <v>20</v>
      </c>
      <c r="J243" s="7" t="s">
        <v>32</v>
      </c>
      <c r="K243" s="7" t="s">
        <v>6433</v>
      </c>
      <c r="L243" s="7" t="s">
        <v>6434</v>
      </c>
      <c r="M243" s="7" t="s">
        <v>6042</v>
      </c>
      <c r="N243" s="7"/>
      <c r="O243" s="7"/>
      <c r="P243" s="7" t="s">
        <v>5271</v>
      </c>
      <c r="Q243" s="7" t="s">
        <v>4243</v>
      </c>
      <c r="R243" s="7" t="s">
        <v>4245</v>
      </c>
      <c r="S243" s="7"/>
      <c r="T243" s="7" t="n">
        <v>36</v>
      </c>
      <c r="U243" s="7" t="s">
        <v>6511</v>
      </c>
      <c r="V243" s="7" t="s">
        <v>5507</v>
      </c>
      <c r="W243" s="7" t="s">
        <v>6559</v>
      </c>
      <c r="X243" s="7" t="s">
        <v>6560</v>
      </c>
      <c r="Y243" s="7"/>
      <c r="Z243" s="7" t="s">
        <v>4245</v>
      </c>
      <c r="AA243" s="7" t="s">
        <v>6456</v>
      </c>
      <c r="AB243" s="7" t="s">
        <v>6041</v>
      </c>
    </row>
    <row r="244" customFormat="false" ht="48" hidden="false" customHeight="true" outlineLevel="0" collapsed="false">
      <c r="A244" s="7" t="n">
        <v>241</v>
      </c>
      <c r="B244" s="7" t="n">
        <v>1362</v>
      </c>
      <c r="C244" s="7" t="s">
        <v>5533</v>
      </c>
      <c r="D244" s="7" t="s">
        <v>19</v>
      </c>
      <c r="E244" s="7" t="s">
        <v>3217</v>
      </c>
      <c r="F244" s="7" t="s">
        <v>4139</v>
      </c>
      <c r="G244" s="7" t="s">
        <v>3998</v>
      </c>
      <c r="H244" s="7" t="n">
        <v>87</v>
      </c>
      <c r="I244" s="7" t="s">
        <v>18</v>
      </c>
      <c r="J244" s="7" t="s">
        <v>18</v>
      </c>
      <c r="K244" s="7" t="s">
        <v>6433</v>
      </c>
      <c r="L244" s="7" t="s">
        <v>6434</v>
      </c>
      <c r="M244" s="7" t="s">
        <v>6047</v>
      </c>
      <c r="N244" s="7" t="s">
        <v>5272</v>
      </c>
      <c r="O244" s="7"/>
      <c r="P244" s="7" t="s">
        <v>5271</v>
      </c>
      <c r="Q244" s="7" t="s">
        <v>4248</v>
      </c>
      <c r="R244" s="7"/>
      <c r="S244" s="7"/>
      <c r="T244" s="7" t="n">
        <v>22</v>
      </c>
      <c r="U244" s="7" t="s">
        <v>6508</v>
      </c>
      <c r="V244" s="7" t="s">
        <v>5505</v>
      </c>
      <c r="W244" s="7" t="s">
        <v>6561</v>
      </c>
      <c r="X244" s="7" t="s">
        <v>6562</v>
      </c>
      <c r="Y244" s="7"/>
      <c r="Z244" s="7"/>
      <c r="AA244" s="7" t="s">
        <v>6438</v>
      </c>
      <c r="AB244" s="7" t="s">
        <v>6041</v>
      </c>
    </row>
    <row r="245" customFormat="false" ht="48" hidden="false" customHeight="true" outlineLevel="0" collapsed="false">
      <c r="A245" s="7" t="n">
        <v>242</v>
      </c>
      <c r="B245" s="7" t="n">
        <v>1317</v>
      </c>
      <c r="C245" s="7" t="s">
        <v>5534</v>
      </c>
      <c r="D245" s="7" t="s">
        <v>19</v>
      </c>
      <c r="E245" s="7" t="s">
        <v>3217</v>
      </c>
      <c r="F245" s="7" t="s">
        <v>4139</v>
      </c>
      <c r="G245" s="7" t="s">
        <v>3998</v>
      </c>
      <c r="H245" s="7" t="n">
        <v>42</v>
      </c>
      <c r="I245" s="7" t="s">
        <v>18</v>
      </c>
      <c r="J245" s="7" t="s">
        <v>18</v>
      </c>
      <c r="K245" s="7" t="s">
        <v>6433</v>
      </c>
      <c r="L245" s="7" t="s">
        <v>6434</v>
      </c>
      <c r="M245" s="7" t="s">
        <v>6042</v>
      </c>
      <c r="N245" s="7"/>
      <c r="O245" s="7"/>
      <c r="P245" s="7" t="s">
        <v>5271</v>
      </c>
      <c r="Q245" s="7" t="s">
        <v>4251</v>
      </c>
      <c r="R245" s="7"/>
      <c r="S245" s="7"/>
      <c r="T245" s="7" t="n">
        <v>11</v>
      </c>
      <c r="U245" s="7" t="s">
        <v>6508</v>
      </c>
      <c r="V245" s="7" t="s">
        <v>5505</v>
      </c>
      <c r="W245" s="7" t="s">
        <v>6563</v>
      </c>
      <c r="X245" s="7" t="s">
        <v>6564</v>
      </c>
      <c r="Y245" s="7"/>
      <c r="Z245" s="7"/>
      <c r="AA245" s="7" t="s">
        <v>6438</v>
      </c>
      <c r="AB245" s="7" t="s">
        <v>6041</v>
      </c>
    </row>
    <row r="246" customFormat="false" ht="48" hidden="false" customHeight="true" outlineLevel="0" collapsed="false">
      <c r="A246" s="7" t="n">
        <v>243</v>
      </c>
      <c r="B246" s="7" t="n">
        <v>1521</v>
      </c>
      <c r="C246" s="7" t="s">
        <v>5535</v>
      </c>
      <c r="D246" s="7" t="s">
        <v>22</v>
      </c>
      <c r="E246" s="7" t="s">
        <v>3996</v>
      </c>
      <c r="F246" s="7" t="s">
        <v>3997</v>
      </c>
      <c r="G246" s="7" t="s">
        <v>3998</v>
      </c>
      <c r="H246" s="7" t="n">
        <v>147</v>
      </c>
      <c r="I246" s="7" t="s">
        <v>18</v>
      </c>
      <c r="J246" s="7" t="s">
        <v>18</v>
      </c>
      <c r="K246" s="7" t="s">
        <v>6433</v>
      </c>
      <c r="L246" s="7" t="s">
        <v>6434</v>
      </c>
      <c r="M246" s="7" t="s">
        <v>6042</v>
      </c>
      <c r="N246" s="7"/>
      <c r="O246" s="7"/>
      <c r="P246" s="7" t="s">
        <v>5276</v>
      </c>
      <c r="Q246" s="7" t="s">
        <v>4253</v>
      </c>
      <c r="R246" s="7"/>
      <c r="S246" s="7"/>
      <c r="T246" s="7" t="n">
        <v>26</v>
      </c>
      <c r="U246" s="7" t="s">
        <v>6435</v>
      </c>
      <c r="V246" s="7" t="s">
        <v>5462</v>
      </c>
      <c r="W246" s="7" t="s">
        <v>6565</v>
      </c>
      <c r="X246" s="7" t="s">
        <v>6566</v>
      </c>
      <c r="Y246" s="7"/>
      <c r="Z246" s="7"/>
      <c r="AA246" s="7" t="s">
        <v>6438</v>
      </c>
      <c r="AB246" s="7" t="s">
        <v>6041</v>
      </c>
    </row>
    <row r="247" customFormat="false" ht="48" hidden="false" customHeight="true" outlineLevel="0" collapsed="false">
      <c r="A247" s="7" t="n">
        <v>244</v>
      </c>
      <c r="B247" s="7" t="n">
        <v>678</v>
      </c>
      <c r="C247" s="7" t="s">
        <v>5536</v>
      </c>
      <c r="D247" s="7" t="s">
        <v>17</v>
      </c>
      <c r="E247" s="7" t="s">
        <v>4044</v>
      </c>
      <c r="F247" s="7" t="s">
        <v>4045</v>
      </c>
      <c r="G247" s="7" t="s">
        <v>4005</v>
      </c>
      <c r="H247" s="7" t="n">
        <v>108</v>
      </c>
      <c r="I247" s="7" t="s">
        <v>20</v>
      </c>
      <c r="J247" s="7" t="s">
        <v>28</v>
      </c>
      <c r="K247" s="7" t="s">
        <v>6433</v>
      </c>
      <c r="L247" s="7" t="s">
        <v>6434</v>
      </c>
      <c r="M247" s="7" t="s">
        <v>6047</v>
      </c>
      <c r="N247" s="7" t="s">
        <v>5272</v>
      </c>
      <c r="O247" s="7"/>
      <c r="P247" s="7" t="s">
        <v>5268</v>
      </c>
      <c r="Q247" s="7" t="s">
        <v>4258</v>
      </c>
      <c r="R247" s="7"/>
      <c r="S247" s="7"/>
      <c r="T247" s="7" t="n">
        <v>21</v>
      </c>
      <c r="U247" s="7" t="s">
        <v>6460</v>
      </c>
      <c r="V247" s="7" t="s">
        <v>5477</v>
      </c>
      <c r="W247" s="7" t="s">
        <v>6567</v>
      </c>
      <c r="X247" s="7" t="s">
        <v>6568</v>
      </c>
      <c r="Y247" s="7"/>
      <c r="Z247" s="7"/>
      <c r="AA247" s="7" t="s">
        <v>6438</v>
      </c>
      <c r="AB247" s="7" t="s">
        <v>6041</v>
      </c>
    </row>
    <row r="248" customFormat="false" ht="48" hidden="false" customHeight="true" outlineLevel="0" collapsed="false">
      <c r="A248" s="7" t="n">
        <v>245</v>
      </c>
      <c r="B248" s="7" t="n">
        <v>1565</v>
      </c>
      <c r="C248" s="7" t="s">
        <v>5537</v>
      </c>
      <c r="D248" s="7" t="s">
        <v>23</v>
      </c>
      <c r="E248" s="7" t="s">
        <v>3217</v>
      </c>
      <c r="F248" s="7" t="s">
        <v>4038</v>
      </c>
      <c r="G248" s="7" t="s">
        <v>3998</v>
      </c>
      <c r="H248" s="7" t="n">
        <v>31</v>
      </c>
      <c r="I248" s="7" t="s">
        <v>18</v>
      </c>
      <c r="J248" s="7" t="s">
        <v>18</v>
      </c>
      <c r="K248" s="7" t="s">
        <v>6433</v>
      </c>
      <c r="L248" s="7" t="s">
        <v>6434</v>
      </c>
      <c r="M248" s="7" t="s">
        <v>6042</v>
      </c>
      <c r="N248" s="7"/>
      <c r="O248" s="7"/>
      <c r="P248" s="7" t="s">
        <v>5274</v>
      </c>
      <c r="Q248" s="7" t="s">
        <v>4259</v>
      </c>
      <c r="R248" s="7"/>
      <c r="S248" s="7"/>
      <c r="T248" s="7" t="n">
        <v>11</v>
      </c>
      <c r="U248" s="7" t="s">
        <v>6457</v>
      </c>
      <c r="V248" s="7" t="s">
        <v>5475</v>
      </c>
      <c r="W248" s="7" t="s">
        <v>6569</v>
      </c>
      <c r="X248" s="7" t="s">
        <v>6570</v>
      </c>
      <c r="Y248" s="7"/>
      <c r="Z248" s="7"/>
      <c r="AA248" s="7" t="s">
        <v>6438</v>
      </c>
      <c r="AB248" s="7" t="s">
        <v>6041</v>
      </c>
    </row>
    <row r="249" customFormat="false" ht="48" hidden="false" customHeight="true" outlineLevel="0" collapsed="false">
      <c r="A249" s="7" t="n">
        <v>246</v>
      </c>
      <c r="B249" s="7" t="n">
        <v>2160</v>
      </c>
      <c r="C249" s="7" t="s">
        <v>5538</v>
      </c>
      <c r="D249" s="7" t="s">
        <v>25</v>
      </c>
      <c r="E249" s="7" t="s">
        <v>4003</v>
      </c>
      <c r="F249" s="7" t="s">
        <v>4224</v>
      </c>
      <c r="G249" s="7" t="s">
        <v>4005</v>
      </c>
      <c r="H249" s="7" t="n">
        <v>109</v>
      </c>
      <c r="I249" s="7" t="s">
        <v>20</v>
      </c>
      <c r="J249" s="7" t="s">
        <v>28</v>
      </c>
      <c r="K249" s="7" t="s">
        <v>6433</v>
      </c>
      <c r="L249" s="7" t="s">
        <v>6434</v>
      </c>
      <c r="M249" s="7" t="s">
        <v>6042</v>
      </c>
      <c r="N249" s="7"/>
      <c r="O249" s="7"/>
      <c r="P249" s="7" t="s">
        <v>5268</v>
      </c>
      <c r="Q249" s="7" t="s">
        <v>3516</v>
      </c>
      <c r="R249" s="7"/>
      <c r="S249" s="7"/>
      <c r="T249" s="7" t="n">
        <v>21</v>
      </c>
      <c r="U249" s="7" t="s">
        <v>6550</v>
      </c>
      <c r="V249" s="7" t="s">
        <v>5527</v>
      </c>
      <c r="W249" s="7" t="s">
        <v>6571</v>
      </c>
      <c r="X249" s="7" t="s">
        <v>6572</v>
      </c>
      <c r="Y249" s="7"/>
      <c r="Z249" s="7"/>
      <c r="AA249" s="7" t="s">
        <v>6438</v>
      </c>
      <c r="AB249" s="7" t="s">
        <v>6041</v>
      </c>
    </row>
    <row r="250" customFormat="false" ht="48" hidden="false" customHeight="true" outlineLevel="0" collapsed="false">
      <c r="A250" s="7" t="n">
        <v>247</v>
      </c>
      <c r="B250" s="7" t="n">
        <v>1530</v>
      </c>
      <c r="C250" s="7" t="s">
        <v>5539</v>
      </c>
      <c r="D250" s="7" t="s">
        <v>22</v>
      </c>
      <c r="E250" s="7" t="s">
        <v>3996</v>
      </c>
      <c r="F250" s="7" t="s">
        <v>3997</v>
      </c>
      <c r="G250" s="7" t="s">
        <v>4005</v>
      </c>
      <c r="H250" s="7" t="n">
        <v>156</v>
      </c>
      <c r="I250" s="7" t="s">
        <v>20</v>
      </c>
      <c r="J250" s="7" t="s">
        <v>28</v>
      </c>
      <c r="K250" s="7" t="s">
        <v>6433</v>
      </c>
      <c r="L250" s="7" t="s">
        <v>6434</v>
      </c>
      <c r="M250" s="7" t="s">
        <v>6047</v>
      </c>
      <c r="N250" s="7" t="s">
        <v>5272</v>
      </c>
      <c r="O250" s="7"/>
      <c r="P250" s="7" t="s">
        <v>5271</v>
      </c>
      <c r="Q250" s="7" t="s">
        <v>4268</v>
      </c>
      <c r="R250" s="7"/>
      <c r="S250" s="7"/>
      <c r="T250" s="7" t="n">
        <v>28</v>
      </c>
      <c r="U250" s="7" t="s">
        <v>6435</v>
      </c>
      <c r="V250" s="7" t="s">
        <v>5462</v>
      </c>
      <c r="W250" s="7" t="s">
        <v>6573</v>
      </c>
      <c r="X250" s="7" t="s">
        <v>6574</v>
      </c>
      <c r="Y250" s="7"/>
      <c r="Z250" s="7"/>
      <c r="AA250" s="7" t="s">
        <v>6438</v>
      </c>
      <c r="AB250" s="7" t="s">
        <v>6041</v>
      </c>
    </row>
    <row r="251" customFormat="false" ht="48" hidden="false" customHeight="true" outlineLevel="0" collapsed="false">
      <c r="A251" s="7" t="n">
        <v>248</v>
      </c>
      <c r="B251" s="7" t="n">
        <v>1531</v>
      </c>
      <c r="C251" s="7" t="s">
        <v>5540</v>
      </c>
      <c r="D251" s="7" t="s">
        <v>22</v>
      </c>
      <c r="E251" s="7" t="s">
        <v>3996</v>
      </c>
      <c r="F251" s="7" t="s">
        <v>3997</v>
      </c>
      <c r="G251" s="7" t="s">
        <v>4005</v>
      </c>
      <c r="H251" s="7" t="n">
        <v>157</v>
      </c>
      <c r="I251" s="7" t="s">
        <v>20</v>
      </c>
      <c r="J251" s="7" t="s">
        <v>28</v>
      </c>
      <c r="K251" s="7" t="s">
        <v>6433</v>
      </c>
      <c r="L251" s="7" t="s">
        <v>6434</v>
      </c>
      <c r="M251" s="7" t="s">
        <v>6047</v>
      </c>
      <c r="N251" s="7" t="s">
        <v>5272</v>
      </c>
      <c r="O251" s="7"/>
      <c r="P251" s="7" t="s">
        <v>5268</v>
      </c>
      <c r="Q251" s="7" t="s">
        <v>4273</v>
      </c>
      <c r="R251" s="7"/>
      <c r="S251" s="7"/>
      <c r="T251" s="7" t="n">
        <v>28</v>
      </c>
      <c r="U251" s="7" t="s">
        <v>6435</v>
      </c>
      <c r="V251" s="7" t="s">
        <v>5462</v>
      </c>
      <c r="W251" s="7" t="s">
        <v>6575</v>
      </c>
      <c r="X251" s="7" t="s">
        <v>6576</v>
      </c>
      <c r="Y251" s="7"/>
      <c r="Z251" s="7"/>
      <c r="AA251" s="7" t="s">
        <v>6438</v>
      </c>
      <c r="AB251" s="7" t="s">
        <v>6041</v>
      </c>
    </row>
    <row r="252" customFormat="false" ht="48" hidden="false" customHeight="true" outlineLevel="0" collapsed="false">
      <c r="A252" s="7" t="n">
        <v>249</v>
      </c>
      <c r="B252" s="7" t="n">
        <v>671</v>
      </c>
      <c r="C252" s="7" t="s">
        <v>5541</v>
      </c>
      <c r="D252" s="7" t="s">
        <v>17</v>
      </c>
      <c r="E252" s="7" t="s">
        <v>4044</v>
      </c>
      <c r="F252" s="7" t="s">
        <v>4045</v>
      </c>
      <c r="G252" s="7" t="s">
        <v>4005</v>
      </c>
      <c r="H252" s="7" t="n">
        <v>101</v>
      </c>
      <c r="I252" s="7" t="s">
        <v>20</v>
      </c>
      <c r="J252" s="7" t="s">
        <v>28</v>
      </c>
      <c r="K252" s="7" t="s">
        <v>6433</v>
      </c>
      <c r="L252" s="7" t="s">
        <v>6434</v>
      </c>
      <c r="M252" s="7" t="s">
        <v>6047</v>
      </c>
      <c r="N252" s="7" t="s">
        <v>5272</v>
      </c>
      <c r="O252" s="7"/>
      <c r="P252" s="7" t="s">
        <v>5274</v>
      </c>
      <c r="Q252" s="7" t="s">
        <v>4274</v>
      </c>
      <c r="R252" s="7"/>
      <c r="S252" s="7"/>
      <c r="T252" s="7" t="n">
        <v>20</v>
      </c>
      <c r="U252" s="7" t="s">
        <v>6460</v>
      </c>
      <c r="V252" s="7" t="s">
        <v>5477</v>
      </c>
      <c r="W252" s="7" t="s">
        <v>6577</v>
      </c>
      <c r="X252" s="7" t="s">
        <v>6578</v>
      </c>
      <c r="Y252" s="7"/>
      <c r="Z252" s="7"/>
      <c r="AA252" s="7" t="s">
        <v>6438</v>
      </c>
      <c r="AB252" s="7" t="s">
        <v>6041</v>
      </c>
    </row>
    <row r="253" customFormat="false" ht="48" hidden="false" customHeight="true" outlineLevel="0" collapsed="false">
      <c r="A253" s="7" t="n">
        <v>250</v>
      </c>
      <c r="B253" s="7" t="n">
        <v>676</v>
      </c>
      <c r="C253" s="7" t="s">
        <v>5542</v>
      </c>
      <c r="D253" s="7" t="s">
        <v>17</v>
      </c>
      <c r="E253" s="7" t="s">
        <v>4044</v>
      </c>
      <c r="F253" s="7" t="s">
        <v>4045</v>
      </c>
      <c r="G253" s="7" t="s">
        <v>4005</v>
      </c>
      <c r="H253" s="7" t="n">
        <v>106</v>
      </c>
      <c r="I253" s="7" t="s">
        <v>20</v>
      </c>
      <c r="J253" s="7" t="s">
        <v>28</v>
      </c>
      <c r="K253" s="7" t="s">
        <v>6433</v>
      </c>
      <c r="L253" s="7" t="s">
        <v>6434</v>
      </c>
      <c r="M253" s="7" t="s">
        <v>6042</v>
      </c>
      <c r="N253" s="7"/>
      <c r="O253" s="7"/>
      <c r="P253" s="7" t="s">
        <v>5276</v>
      </c>
      <c r="Q253" s="7" t="s">
        <v>4279</v>
      </c>
      <c r="R253" s="7"/>
      <c r="S253" s="7"/>
      <c r="T253" s="7" t="n">
        <v>20</v>
      </c>
      <c r="U253" s="7" t="s">
        <v>6460</v>
      </c>
      <c r="V253" s="7" t="s">
        <v>5477</v>
      </c>
      <c r="W253" s="7" t="s">
        <v>6579</v>
      </c>
      <c r="X253" s="7" t="s">
        <v>6580</v>
      </c>
      <c r="Y253" s="7"/>
      <c r="Z253" s="7"/>
      <c r="AA253" s="7" t="s">
        <v>6438</v>
      </c>
      <c r="AB253" s="7" t="s">
        <v>6041</v>
      </c>
    </row>
    <row r="254" customFormat="false" ht="48" hidden="false" customHeight="true" outlineLevel="0" collapsed="false">
      <c r="A254" s="7" t="n">
        <v>251</v>
      </c>
      <c r="B254" s="7" t="n">
        <v>2902</v>
      </c>
      <c r="C254" s="7" t="s">
        <v>5543</v>
      </c>
      <c r="D254" s="7" t="s">
        <v>31</v>
      </c>
      <c r="E254" s="7" t="s">
        <v>4003</v>
      </c>
      <c r="F254" s="7" t="s">
        <v>4010</v>
      </c>
      <c r="G254" s="7" t="s">
        <v>3998</v>
      </c>
      <c r="H254" s="7" t="n">
        <v>142</v>
      </c>
      <c r="I254" s="7" t="s">
        <v>18</v>
      </c>
      <c r="J254" s="7" t="s">
        <v>18</v>
      </c>
      <c r="K254" s="7" t="s">
        <v>6433</v>
      </c>
      <c r="L254" s="7" t="s">
        <v>6434</v>
      </c>
      <c r="M254" s="7" t="s">
        <v>6042</v>
      </c>
      <c r="N254" s="7"/>
      <c r="O254" s="7"/>
      <c r="P254" s="7" t="s">
        <v>5274</v>
      </c>
      <c r="Q254" s="7" t="s">
        <v>4282</v>
      </c>
      <c r="R254" s="7"/>
      <c r="S254" s="7"/>
      <c r="T254" s="7" t="n">
        <v>23</v>
      </c>
      <c r="U254" s="7" t="s">
        <v>6442</v>
      </c>
      <c r="V254" s="7" t="s">
        <v>5466</v>
      </c>
      <c r="W254" s="7" t="s">
        <v>6581</v>
      </c>
      <c r="X254" s="7" t="s">
        <v>6582</v>
      </c>
      <c r="Y254" s="7"/>
      <c r="Z254" s="7"/>
      <c r="AA254" s="7" t="s">
        <v>6438</v>
      </c>
      <c r="AB254" s="7" t="s">
        <v>6041</v>
      </c>
    </row>
    <row r="255" customFormat="false" ht="48" hidden="false" customHeight="true" outlineLevel="0" collapsed="false">
      <c r="A255" s="7" t="n">
        <v>252</v>
      </c>
      <c r="B255" s="7" t="n">
        <v>513</v>
      </c>
      <c r="C255" s="7" t="s">
        <v>5544</v>
      </c>
      <c r="D255" s="7" t="s">
        <v>17</v>
      </c>
      <c r="E255" s="7" t="s">
        <v>4058</v>
      </c>
      <c r="F255" s="7" t="s">
        <v>4084</v>
      </c>
      <c r="G255" s="7" t="s">
        <v>3998</v>
      </c>
      <c r="H255" s="7" t="n">
        <v>53</v>
      </c>
      <c r="I255" s="7" t="s">
        <v>18</v>
      </c>
      <c r="J255" s="7" t="s">
        <v>18</v>
      </c>
      <c r="K255" s="7" t="s">
        <v>6433</v>
      </c>
      <c r="L255" s="7" t="s">
        <v>6434</v>
      </c>
      <c r="M255" s="7" t="s">
        <v>6047</v>
      </c>
      <c r="N255" s="7" t="s">
        <v>5272</v>
      </c>
      <c r="O255" s="7"/>
      <c r="P255" s="7" t="s">
        <v>5268</v>
      </c>
      <c r="Q255" s="7" t="s">
        <v>4289</v>
      </c>
      <c r="R255" s="7"/>
      <c r="S255" s="7"/>
      <c r="T255" s="7" t="n">
        <v>21</v>
      </c>
      <c r="U255" s="7" t="s">
        <v>6479</v>
      </c>
      <c r="V255" s="7" t="s">
        <v>5488</v>
      </c>
      <c r="W255" s="7" t="s">
        <v>6583</v>
      </c>
      <c r="X255" s="7" t="s">
        <v>6584</v>
      </c>
      <c r="Y255" s="7"/>
      <c r="Z255" s="7"/>
      <c r="AA255" s="7" t="s">
        <v>6438</v>
      </c>
      <c r="AB255" s="7" t="s">
        <v>6041</v>
      </c>
    </row>
    <row r="256" customFormat="false" ht="48" hidden="false" customHeight="true" outlineLevel="0" collapsed="false">
      <c r="A256" s="7" t="n">
        <v>253</v>
      </c>
      <c r="B256" s="7" t="n">
        <v>2153</v>
      </c>
      <c r="C256" s="7" t="s">
        <v>5545</v>
      </c>
      <c r="D256" s="7" t="s">
        <v>25</v>
      </c>
      <c r="E256" s="7" t="s">
        <v>4003</v>
      </c>
      <c r="F256" s="7" t="s">
        <v>4224</v>
      </c>
      <c r="G256" s="7" t="s">
        <v>4005</v>
      </c>
      <c r="H256" s="7" t="n">
        <v>102</v>
      </c>
      <c r="I256" s="7" t="s">
        <v>20</v>
      </c>
      <c r="J256" s="7" t="s">
        <v>28</v>
      </c>
      <c r="K256" s="7" t="s">
        <v>6433</v>
      </c>
      <c r="L256" s="7" t="s">
        <v>6434</v>
      </c>
      <c r="M256" s="7" t="s">
        <v>6047</v>
      </c>
      <c r="N256" s="7" t="s">
        <v>5272</v>
      </c>
      <c r="O256" s="7"/>
      <c r="P256" s="7" t="s">
        <v>5274</v>
      </c>
      <c r="Q256" s="7" t="s">
        <v>4290</v>
      </c>
      <c r="R256" s="7"/>
      <c r="S256" s="7"/>
      <c r="T256" s="7" t="n">
        <v>20</v>
      </c>
      <c r="U256" s="7" t="s">
        <v>6550</v>
      </c>
      <c r="V256" s="7" t="s">
        <v>5527</v>
      </c>
      <c r="W256" s="7" t="s">
        <v>6585</v>
      </c>
      <c r="X256" s="7" t="s">
        <v>6586</v>
      </c>
      <c r="Y256" s="7"/>
      <c r="Z256" s="7"/>
      <c r="AA256" s="7" t="s">
        <v>6438</v>
      </c>
      <c r="AB256" s="7" t="s">
        <v>6041</v>
      </c>
    </row>
    <row r="257" customFormat="false" ht="48" hidden="false" customHeight="true" outlineLevel="0" collapsed="false">
      <c r="A257" s="7" t="n">
        <v>254</v>
      </c>
      <c r="B257" s="7" t="n">
        <v>2155</v>
      </c>
      <c r="C257" s="7" t="s">
        <v>5546</v>
      </c>
      <c r="D257" s="7" t="s">
        <v>25</v>
      </c>
      <c r="E257" s="7" t="s">
        <v>4003</v>
      </c>
      <c r="F257" s="7" t="s">
        <v>4224</v>
      </c>
      <c r="G257" s="7" t="s">
        <v>4005</v>
      </c>
      <c r="H257" s="7" t="n">
        <v>104</v>
      </c>
      <c r="I257" s="7" t="s">
        <v>20</v>
      </c>
      <c r="J257" s="7" t="s">
        <v>28</v>
      </c>
      <c r="K257" s="7" t="s">
        <v>6433</v>
      </c>
      <c r="L257" s="7" t="s">
        <v>6434</v>
      </c>
      <c r="M257" s="7" t="s">
        <v>6042</v>
      </c>
      <c r="N257" s="7"/>
      <c r="O257" s="7"/>
      <c r="P257" s="7" t="s">
        <v>5271</v>
      </c>
      <c r="Q257" s="7" t="s">
        <v>4296</v>
      </c>
      <c r="R257" s="7"/>
      <c r="S257" s="7"/>
      <c r="T257" s="7" t="n">
        <v>20</v>
      </c>
      <c r="U257" s="7" t="s">
        <v>6550</v>
      </c>
      <c r="V257" s="7" t="s">
        <v>5527</v>
      </c>
      <c r="W257" s="7" t="s">
        <v>6587</v>
      </c>
      <c r="X257" s="7" t="s">
        <v>6588</v>
      </c>
      <c r="Y257" s="7"/>
      <c r="Z257" s="7"/>
      <c r="AA257" s="7" t="s">
        <v>6438</v>
      </c>
      <c r="AB257" s="7" t="s">
        <v>6041</v>
      </c>
    </row>
    <row r="258" customFormat="false" ht="48" hidden="false" customHeight="true" outlineLevel="0" collapsed="false">
      <c r="A258" s="7" t="n">
        <v>255</v>
      </c>
      <c r="B258" s="7" t="n">
        <v>2771</v>
      </c>
      <c r="C258" s="7" t="s">
        <v>5547</v>
      </c>
      <c r="D258" s="7" t="s">
        <v>31</v>
      </c>
      <c r="E258" s="7" t="s">
        <v>4003</v>
      </c>
      <c r="F258" s="7" t="s">
        <v>4010</v>
      </c>
      <c r="G258" s="7" t="s">
        <v>3998</v>
      </c>
      <c r="H258" s="7" t="n">
        <v>11</v>
      </c>
      <c r="I258" s="7" t="s">
        <v>18</v>
      </c>
      <c r="J258" s="7" t="s">
        <v>18</v>
      </c>
      <c r="K258" s="7" t="s">
        <v>6433</v>
      </c>
      <c r="L258" s="7" t="s">
        <v>6434</v>
      </c>
      <c r="M258" s="7" t="s">
        <v>6047</v>
      </c>
      <c r="N258" s="7" t="s">
        <v>5272</v>
      </c>
      <c r="O258" s="7"/>
      <c r="P258" s="7" t="s">
        <v>5274</v>
      </c>
      <c r="Q258" s="7" t="s">
        <v>4298</v>
      </c>
      <c r="R258" s="7"/>
      <c r="S258" s="7"/>
      <c r="T258" s="7" t="n">
        <v>2</v>
      </c>
      <c r="U258" s="7" t="s">
        <v>6442</v>
      </c>
      <c r="V258" s="7" t="s">
        <v>5466</v>
      </c>
      <c r="W258" s="7" t="s">
        <v>6589</v>
      </c>
      <c r="X258" s="7" t="s">
        <v>6590</v>
      </c>
      <c r="Y258" s="7"/>
      <c r="Z258" s="7"/>
      <c r="AA258" s="7" t="s">
        <v>6438</v>
      </c>
      <c r="AB258" s="7" t="s">
        <v>6041</v>
      </c>
    </row>
    <row r="259" customFormat="false" ht="48" hidden="false" customHeight="true" outlineLevel="0" collapsed="false">
      <c r="A259" s="7" t="n">
        <v>256</v>
      </c>
      <c r="B259" s="7" t="n">
        <v>194</v>
      </c>
      <c r="C259" s="7" t="s">
        <v>5548</v>
      </c>
      <c r="D259" s="7" t="s">
        <v>15</v>
      </c>
      <c r="E259" s="7" t="s">
        <v>3996</v>
      </c>
      <c r="F259" s="7" t="s">
        <v>4030</v>
      </c>
      <c r="G259" s="7" t="s">
        <v>4302</v>
      </c>
      <c r="H259" s="7" t="n">
        <v>40</v>
      </c>
      <c r="I259" s="7" t="s">
        <v>20</v>
      </c>
      <c r="J259" s="7" t="s">
        <v>30</v>
      </c>
      <c r="K259" s="7" t="s">
        <v>6433</v>
      </c>
      <c r="L259" s="7" t="s">
        <v>6434</v>
      </c>
      <c r="M259" s="7" t="s">
        <v>6042</v>
      </c>
      <c r="N259" s="7"/>
      <c r="O259" s="7"/>
      <c r="P259" s="7" t="s">
        <v>5271</v>
      </c>
      <c r="Q259" s="7" t="s">
        <v>4305</v>
      </c>
      <c r="R259" s="7"/>
      <c r="S259" s="7"/>
      <c r="T259" s="7" t="n">
        <v>12</v>
      </c>
      <c r="U259" s="7" t="s">
        <v>6453</v>
      </c>
      <c r="V259" s="7" t="s">
        <v>5473</v>
      </c>
      <c r="W259" s="7" t="s">
        <v>6591</v>
      </c>
      <c r="X259" s="7" t="s">
        <v>6592</v>
      </c>
      <c r="Y259" s="7"/>
      <c r="Z259" s="7"/>
      <c r="AA259" s="7" t="s">
        <v>6438</v>
      </c>
      <c r="AB259" s="7" t="s">
        <v>6041</v>
      </c>
    </row>
    <row r="260" customFormat="false" ht="48" hidden="false" customHeight="true" outlineLevel="0" collapsed="false">
      <c r="A260" s="7" t="n">
        <v>257</v>
      </c>
      <c r="B260" s="7" t="n">
        <v>1529</v>
      </c>
      <c r="C260" s="7" t="s">
        <v>5549</v>
      </c>
      <c r="D260" s="7" t="s">
        <v>22</v>
      </c>
      <c r="E260" s="7" t="s">
        <v>3996</v>
      </c>
      <c r="F260" s="7" t="s">
        <v>3997</v>
      </c>
      <c r="G260" s="7" t="s">
        <v>4005</v>
      </c>
      <c r="H260" s="7" t="n">
        <v>155</v>
      </c>
      <c r="I260" s="7" t="s">
        <v>20</v>
      </c>
      <c r="J260" s="7" t="s">
        <v>28</v>
      </c>
      <c r="K260" s="7" t="s">
        <v>6433</v>
      </c>
      <c r="L260" s="7" t="s">
        <v>6434</v>
      </c>
      <c r="M260" s="7" t="s">
        <v>6042</v>
      </c>
      <c r="N260" s="7"/>
      <c r="O260" s="7"/>
      <c r="P260" s="7" t="s">
        <v>5268</v>
      </c>
      <c r="Q260" s="7" t="s">
        <v>4310</v>
      </c>
      <c r="R260" s="7"/>
      <c r="S260" s="7"/>
      <c r="T260" s="7" t="n">
        <v>28</v>
      </c>
      <c r="U260" s="7" t="s">
        <v>6435</v>
      </c>
      <c r="V260" s="7" t="s">
        <v>5462</v>
      </c>
      <c r="W260" s="7" t="s">
        <v>6593</v>
      </c>
      <c r="X260" s="7" t="s">
        <v>6594</v>
      </c>
      <c r="Y260" s="7"/>
      <c r="Z260" s="7"/>
      <c r="AA260" s="7" t="s">
        <v>6438</v>
      </c>
      <c r="AB260" s="7" t="s">
        <v>6041</v>
      </c>
    </row>
    <row r="261" customFormat="false" ht="48" hidden="false" customHeight="true" outlineLevel="0" collapsed="false">
      <c r="A261" s="7" t="n">
        <v>258</v>
      </c>
      <c r="B261" s="7" t="n">
        <v>408</v>
      </c>
      <c r="C261" s="7" t="s">
        <v>5550</v>
      </c>
      <c r="D261" s="7" t="s">
        <v>15</v>
      </c>
      <c r="E261" s="7" t="s">
        <v>3217</v>
      </c>
      <c r="F261" s="7" t="s">
        <v>4143</v>
      </c>
      <c r="G261" s="7" t="s">
        <v>4031</v>
      </c>
      <c r="H261" s="7" t="n">
        <v>101</v>
      </c>
      <c r="I261" s="7" t="s">
        <v>20</v>
      </c>
      <c r="J261" s="7" t="s">
        <v>32</v>
      </c>
      <c r="K261" s="7" t="s">
        <v>6433</v>
      </c>
      <c r="L261" s="7" t="s">
        <v>6434</v>
      </c>
      <c r="M261" s="7" t="s">
        <v>6047</v>
      </c>
      <c r="N261" s="7" t="s">
        <v>5272</v>
      </c>
      <c r="O261" s="7"/>
      <c r="P261" s="7" t="s">
        <v>5274</v>
      </c>
      <c r="Q261" s="7" t="s">
        <v>4312</v>
      </c>
      <c r="R261" s="7" t="s">
        <v>4316</v>
      </c>
      <c r="S261" s="7"/>
      <c r="T261" s="7" t="n">
        <v>27</v>
      </c>
      <c r="U261" s="7" t="s">
        <v>6511</v>
      </c>
      <c r="V261" s="7" t="s">
        <v>5507</v>
      </c>
      <c r="W261" s="7" t="s">
        <v>6595</v>
      </c>
      <c r="X261" s="7" t="s">
        <v>6596</v>
      </c>
      <c r="Y261" s="7"/>
      <c r="Z261" s="7" t="s">
        <v>4316</v>
      </c>
      <c r="AA261" s="7" t="s">
        <v>6456</v>
      </c>
      <c r="AB261" s="7" t="s">
        <v>6041</v>
      </c>
    </row>
    <row r="262" customFormat="false" ht="48" hidden="false" customHeight="true" outlineLevel="0" collapsed="false">
      <c r="A262" s="7" t="n">
        <v>259</v>
      </c>
      <c r="B262" s="7" t="n">
        <v>1369</v>
      </c>
      <c r="C262" s="7" t="s">
        <v>5551</v>
      </c>
      <c r="D262" s="7" t="s">
        <v>19</v>
      </c>
      <c r="E262" s="7" t="s">
        <v>3217</v>
      </c>
      <c r="F262" s="7" t="s">
        <v>4139</v>
      </c>
      <c r="G262" s="7" t="s">
        <v>4071</v>
      </c>
      <c r="H262" s="7" t="n">
        <v>94</v>
      </c>
      <c r="I262" s="7" t="s">
        <v>20</v>
      </c>
      <c r="J262" s="7" t="s">
        <v>28</v>
      </c>
      <c r="K262" s="7" t="s">
        <v>6433</v>
      </c>
      <c r="L262" s="7" t="s">
        <v>6434</v>
      </c>
      <c r="M262" s="7" t="s">
        <v>6047</v>
      </c>
      <c r="N262" s="7" t="s">
        <v>5272</v>
      </c>
      <c r="O262" s="7"/>
      <c r="P262" s="7" t="s">
        <v>5276</v>
      </c>
      <c r="Q262" s="7" t="s">
        <v>4318</v>
      </c>
      <c r="R262" s="7"/>
      <c r="S262" s="7"/>
      <c r="T262" s="7" t="n">
        <v>23</v>
      </c>
      <c r="U262" s="7" t="s">
        <v>6508</v>
      </c>
      <c r="V262" s="7" t="s">
        <v>5505</v>
      </c>
      <c r="W262" s="7" t="s">
        <v>6597</v>
      </c>
      <c r="X262" s="7" t="s">
        <v>6598</v>
      </c>
      <c r="Y262" s="7"/>
      <c r="Z262" s="7"/>
      <c r="AA262" s="7" t="s">
        <v>6438</v>
      </c>
      <c r="AB262" s="7" t="s">
        <v>6041</v>
      </c>
    </row>
    <row r="263" customFormat="false" ht="48" hidden="false" customHeight="true" outlineLevel="0" collapsed="false">
      <c r="A263" s="7" t="n">
        <v>260</v>
      </c>
      <c r="B263" s="7" t="n">
        <v>2267</v>
      </c>
      <c r="C263" s="7" t="s">
        <v>5553</v>
      </c>
      <c r="D263" s="7" t="s">
        <v>25</v>
      </c>
      <c r="E263" s="7" t="s">
        <v>3217</v>
      </c>
      <c r="F263" s="7" t="s">
        <v>4320</v>
      </c>
      <c r="G263" s="7" t="s">
        <v>4005</v>
      </c>
      <c r="H263" s="7" t="n">
        <v>106</v>
      </c>
      <c r="I263" s="7" t="s">
        <v>20</v>
      </c>
      <c r="J263" s="7" t="s">
        <v>28</v>
      </c>
      <c r="K263" s="7" t="s">
        <v>6433</v>
      </c>
      <c r="L263" s="7" t="s">
        <v>6434</v>
      </c>
      <c r="M263" s="7" t="s">
        <v>6047</v>
      </c>
      <c r="N263" s="7" t="s">
        <v>5272</v>
      </c>
      <c r="O263" s="7"/>
      <c r="P263" s="7" t="s">
        <v>5276</v>
      </c>
      <c r="Q263" s="7" t="s">
        <v>4322</v>
      </c>
      <c r="R263" s="7"/>
      <c r="S263" s="7"/>
      <c r="T263" s="7" t="n">
        <v>21</v>
      </c>
      <c r="U263" s="7" t="s">
        <v>6599</v>
      </c>
      <c r="V263" s="7" t="s">
        <v>5552</v>
      </c>
      <c r="W263" s="7" t="s">
        <v>6600</v>
      </c>
      <c r="X263" s="7" t="s">
        <v>6601</v>
      </c>
      <c r="Y263" s="7"/>
      <c r="Z263" s="7"/>
      <c r="AA263" s="7" t="s">
        <v>6438</v>
      </c>
      <c r="AB263" s="7" t="s">
        <v>6041</v>
      </c>
    </row>
    <row r="264" customFormat="false" ht="48" hidden="false" customHeight="true" outlineLevel="0" collapsed="false">
      <c r="A264" s="7" t="n">
        <v>261</v>
      </c>
      <c r="B264" s="7" t="n">
        <v>204</v>
      </c>
      <c r="C264" s="7" t="s">
        <v>5554</v>
      </c>
      <c r="D264" s="7" t="s">
        <v>15</v>
      </c>
      <c r="E264" s="7" t="s">
        <v>3996</v>
      </c>
      <c r="F264" s="7" t="s">
        <v>4030</v>
      </c>
      <c r="G264" s="7" t="s">
        <v>4302</v>
      </c>
      <c r="H264" s="7" t="n">
        <v>50</v>
      </c>
      <c r="I264" s="7" t="s">
        <v>20</v>
      </c>
      <c r="J264" s="7" t="s">
        <v>30</v>
      </c>
      <c r="K264" s="7" t="s">
        <v>6433</v>
      </c>
      <c r="L264" s="7" t="s">
        <v>6434</v>
      </c>
      <c r="M264" s="7" t="s">
        <v>6047</v>
      </c>
      <c r="N264" s="7" t="s">
        <v>5272</v>
      </c>
      <c r="O264" s="7"/>
      <c r="P264" s="7" t="s">
        <v>5271</v>
      </c>
      <c r="Q264" s="7" t="s">
        <v>4327</v>
      </c>
      <c r="R264" s="7"/>
      <c r="S264" s="7"/>
      <c r="T264" s="7" t="n">
        <v>13</v>
      </c>
      <c r="U264" s="7" t="s">
        <v>6453</v>
      </c>
      <c r="V264" s="7" t="s">
        <v>5473</v>
      </c>
      <c r="W264" s="7" t="s">
        <v>6602</v>
      </c>
      <c r="X264" s="7" t="s">
        <v>6603</v>
      </c>
      <c r="Y264" s="7"/>
      <c r="Z264" s="7"/>
      <c r="AA264" s="7" t="s">
        <v>6438</v>
      </c>
      <c r="AB264" s="7" t="s">
        <v>6041</v>
      </c>
    </row>
    <row r="265" customFormat="false" ht="48" hidden="false" customHeight="true" outlineLevel="0" collapsed="false">
      <c r="A265" s="7" t="n">
        <v>262</v>
      </c>
      <c r="B265" s="7" t="n">
        <v>2269</v>
      </c>
      <c r="C265" s="7" t="s">
        <v>5555</v>
      </c>
      <c r="D265" s="7" t="s">
        <v>25</v>
      </c>
      <c r="E265" s="7" t="s">
        <v>3217</v>
      </c>
      <c r="F265" s="7" t="s">
        <v>4320</v>
      </c>
      <c r="G265" s="7" t="s">
        <v>4005</v>
      </c>
      <c r="H265" s="7" t="n">
        <v>108</v>
      </c>
      <c r="I265" s="7" t="s">
        <v>20</v>
      </c>
      <c r="J265" s="7" t="s">
        <v>28</v>
      </c>
      <c r="K265" s="7" t="s">
        <v>6433</v>
      </c>
      <c r="L265" s="7" t="s">
        <v>6434</v>
      </c>
      <c r="M265" s="7" t="s">
        <v>6047</v>
      </c>
      <c r="N265" s="7" t="s">
        <v>5272</v>
      </c>
      <c r="O265" s="7"/>
      <c r="P265" s="7" t="s">
        <v>5268</v>
      </c>
      <c r="Q265" s="7" t="s">
        <v>4332</v>
      </c>
      <c r="R265" s="7"/>
      <c r="S265" s="7"/>
      <c r="T265" s="7" t="n">
        <v>22</v>
      </c>
      <c r="U265" s="7" t="s">
        <v>6599</v>
      </c>
      <c r="V265" s="7" t="s">
        <v>5552</v>
      </c>
      <c r="W265" s="7" t="s">
        <v>6604</v>
      </c>
      <c r="X265" s="7" t="s">
        <v>6605</v>
      </c>
      <c r="Y265" s="7"/>
      <c r="Z265" s="7"/>
      <c r="AA265" s="7" t="s">
        <v>6438</v>
      </c>
      <c r="AB265" s="7" t="s">
        <v>6041</v>
      </c>
    </row>
    <row r="266" customFormat="false" ht="48" hidden="false" customHeight="true" outlineLevel="0" collapsed="false">
      <c r="A266" s="7" t="n">
        <v>263</v>
      </c>
      <c r="B266" s="7" t="n">
        <v>2611</v>
      </c>
      <c r="C266" s="7" t="s">
        <v>5556</v>
      </c>
      <c r="D266" s="7" t="s">
        <v>27</v>
      </c>
      <c r="E266" s="7" t="s">
        <v>4129</v>
      </c>
      <c r="F266" s="7" t="s">
        <v>4130</v>
      </c>
      <c r="G266" s="7" t="s">
        <v>3998</v>
      </c>
      <c r="H266" s="7" t="n">
        <v>62</v>
      </c>
      <c r="I266" s="7" t="s">
        <v>18</v>
      </c>
      <c r="J266" s="7" t="s">
        <v>18</v>
      </c>
      <c r="K266" s="7" t="s">
        <v>6433</v>
      </c>
      <c r="L266" s="7" t="s">
        <v>6434</v>
      </c>
      <c r="M266" s="7" t="s">
        <v>6042</v>
      </c>
      <c r="N266" s="7"/>
      <c r="O266" s="7"/>
      <c r="P266" s="7" t="s">
        <v>5268</v>
      </c>
      <c r="Q266" s="7" t="s">
        <v>4336</v>
      </c>
      <c r="R266" s="7"/>
      <c r="S266" s="7"/>
      <c r="T266" s="7" t="n">
        <v>16</v>
      </c>
      <c r="U266" s="7" t="s">
        <v>6503</v>
      </c>
      <c r="V266" s="7" t="s">
        <v>5502</v>
      </c>
      <c r="W266" s="7" t="s">
        <v>6606</v>
      </c>
      <c r="X266" s="7" t="s">
        <v>6607</v>
      </c>
      <c r="Y266" s="7"/>
      <c r="Z266" s="7"/>
      <c r="AA266" s="7" t="s">
        <v>6438</v>
      </c>
      <c r="AB266" s="7" t="s">
        <v>6041</v>
      </c>
    </row>
    <row r="267" customFormat="false" ht="48" hidden="false" customHeight="true" outlineLevel="0" collapsed="false">
      <c r="A267" s="7" t="n">
        <v>264</v>
      </c>
      <c r="B267" s="7" t="n">
        <v>2262</v>
      </c>
      <c r="C267" s="7" t="s">
        <v>5557</v>
      </c>
      <c r="D267" s="7" t="s">
        <v>25</v>
      </c>
      <c r="E267" s="7" t="s">
        <v>3217</v>
      </c>
      <c r="F267" s="7" t="s">
        <v>4320</v>
      </c>
      <c r="G267" s="7" t="s">
        <v>4005</v>
      </c>
      <c r="H267" s="7" t="n">
        <v>101</v>
      </c>
      <c r="I267" s="7" t="s">
        <v>20</v>
      </c>
      <c r="J267" s="7" t="s">
        <v>28</v>
      </c>
      <c r="K267" s="7" t="s">
        <v>6433</v>
      </c>
      <c r="L267" s="7" t="s">
        <v>6434</v>
      </c>
      <c r="M267" s="7" t="s">
        <v>6047</v>
      </c>
      <c r="N267" s="7" t="s">
        <v>5272</v>
      </c>
      <c r="O267" s="7"/>
      <c r="P267" s="7" t="s">
        <v>5276</v>
      </c>
      <c r="Q267" s="7" t="s">
        <v>4338</v>
      </c>
      <c r="R267" s="7"/>
      <c r="S267" s="7"/>
      <c r="T267" s="7" t="n">
        <v>20</v>
      </c>
      <c r="U267" s="7" t="s">
        <v>6599</v>
      </c>
      <c r="V267" s="7" t="s">
        <v>5552</v>
      </c>
      <c r="W267" s="7" t="s">
        <v>6608</v>
      </c>
      <c r="X267" s="7" t="s">
        <v>6609</v>
      </c>
      <c r="Y267" s="7"/>
      <c r="Z267" s="7"/>
      <c r="AA267" s="7" t="s">
        <v>6438</v>
      </c>
      <c r="AB267" s="7" t="s">
        <v>6041</v>
      </c>
    </row>
    <row r="268" customFormat="false" ht="48" hidden="false" customHeight="true" outlineLevel="0" collapsed="false">
      <c r="A268" s="7" t="n">
        <v>265</v>
      </c>
      <c r="B268" s="7" t="n">
        <v>2266</v>
      </c>
      <c r="C268" s="7" t="s">
        <v>5558</v>
      </c>
      <c r="D268" s="7" t="s">
        <v>25</v>
      </c>
      <c r="E268" s="7" t="s">
        <v>3217</v>
      </c>
      <c r="F268" s="7" t="s">
        <v>4320</v>
      </c>
      <c r="G268" s="7" t="s">
        <v>4005</v>
      </c>
      <c r="H268" s="7" t="n">
        <v>105</v>
      </c>
      <c r="I268" s="7" t="s">
        <v>20</v>
      </c>
      <c r="J268" s="7" t="s">
        <v>28</v>
      </c>
      <c r="K268" s="7" t="s">
        <v>6433</v>
      </c>
      <c r="L268" s="7" t="s">
        <v>6434</v>
      </c>
      <c r="M268" s="7" t="s">
        <v>6042</v>
      </c>
      <c r="N268" s="7" t="s">
        <v>5471</v>
      </c>
      <c r="O268" s="7"/>
      <c r="P268" s="7" t="s">
        <v>5271</v>
      </c>
      <c r="Q268" s="7" t="s">
        <v>3881</v>
      </c>
      <c r="R268" s="7"/>
      <c r="S268" s="7"/>
      <c r="T268" s="7" t="n">
        <v>21</v>
      </c>
      <c r="U268" s="7" t="s">
        <v>6599</v>
      </c>
      <c r="V268" s="7" t="s">
        <v>5552</v>
      </c>
      <c r="W268" s="7" t="s">
        <v>6610</v>
      </c>
      <c r="X268" s="7" t="s">
        <v>6611</v>
      </c>
      <c r="Y268" s="7"/>
      <c r="Z268" s="7"/>
      <c r="AA268" s="7" t="s">
        <v>6452</v>
      </c>
      <c r="AB268" s="7" t="s">
        <v>6041</v>
      </c>
    </row>
    <row r="269" customFormat="false" ht="48" hidden="false" customHeight="true" outlineLevel="0" collapsed="false">
      <c r="A269" s="7" t="n">
        <v>266</v>
      </c>
      <c r="B269" s="7" t="n">
        <v>566</v>
      </c>
      <c r="C269" s="7" t="s">
        <v>5559</v>
      </c>
      <c r="D269" s="7" t="s">
        <v>17</v>
      </c>
      <c r="E269" s="7" t="s">
        <v>4058</v>
      </c>
      <c r="F269" s="7" t="s">
        <v>4084</v>
      </c>
      <c r="G269" s="7" t="s">
        <v>4005</v>
      </c>
      <c r="H269" s="7" t="n">
        <v>106</v>
      </c>
      <c r="I269" s="7" t="s">
        <v>20</v>
      </c>
      <c r="J269" s="7" t="s">
        <v>28</v>
      </c>
      <c r="K269" s="7" t="s">
        <v>6433</v>
      </c>
      <c r="L269" s="7" t="s">
        <v>6434</v>
      </c>
      <c r="M269" s="7" t="s">
        <v>6047</v>
      </c>
      <c r="N269" s="7" t="s">
        <v>5272</v>
      </c>
      <c r="O269" s="7"/>
      <c r="P269" s="7" t="s">
        <v>5271</v>
      </c>
      <c r="Q269" s="7" t="s">
        <v>4346</v>
      </c>
      <c r="R269" s="7"/>
      <c r="S269" s="7"/>
      <c r="T269" s="7" t="n">
        <v>37</v>
      </c>
      <c r="U269" s="7" t="s">
        <v>6479</v>
      </c>
      <c r="V269" s="7" t="s">
        <v>5488</v>
      </c>
      <c r="W269" s="7" t="s">
        <v>6612</v>
      </c>
      <c r="X269" s="7" t="s">
        <v>6613</v>
      </c>
      <c r="Y269" s="7"/>
      <c r="Z269" s="7"/>
      <c r="AA269" s="7" t="s">
        <v>6438</v>
      </c>
      <c r="AB269" s="7" t="s">
        <v>6041</v>
      </c>
    </row>
    <row r="270" customFormat="false" ht="48" hidden="false" customHeight="true" outlineLevel="0" collapsed="false">
      <c r="A270" s="7" t="n">
        <v>267</v>
      </c>
      <c r="B270" s="7" t="n">
        <v>2516</v>
      </c>
      <c r="C270" s="7" t="s">
        <v>5560</v>
      </c>
      <c r="D270" s="7" t="s">
        <v>27</v>
      </c>
      <c r="E270" s="7" t="s">
        <v>3996</v>
      </c>
      <c r="F270" s="7" t="s">
        <v>4070</v>
      </c>
      <c r="G270" s="7" t="s">
        <v>3998</v>
      </c>
      <c r="H270" s="7" t="n">
        <v>77</v>
      </c>
      <c r="I270" s="7" t="s">
        <v>18</v>
      </c>
      <c r="J270" s="7" t="s">
        <v>18</v>
      </c>
      <c r="K270" s="7" t="s">
        <v>6433</v>
      </c>
      <c r="L270" s="7" t="s">
        <v>6434</v>
      </c>
      <c r="M270" s="7" t="s">
        <v>6047</v>
      </c>
      <c r="N270" s="7" t="s">
        <v>5272</v>
      </c>
      <c r="O270" s="7"/>
      <c r="P270" s="7" t="s">
        <v>5276</v>
      </c>
      <c r="Q270" s="7" t="s">
        <v>4349</v>
      </c>
      <c r="R270" s="7"/>
      <c r="S270" s="7"/>
      <c r="T270" s="7" t="n">
        <v>28</v>
      </c>
      <c r="U270" s="7" t="s">
        <v>6472</v>
      </c>
      <c r="V270" s="7" t="s">
        <v>5484</v>
      </c>
      <c r="W270" s="7" t="s">
        <v>6614</v>
      </c>
      <c r="X270" s="7" t="s">
        <v>6615</v>
      </c>
      <c r="Y270" s="7"/>
      <c r="Z270" s="7"/>
      <c r="AA270" s="7" t="s">
        <v>6438</v>
      </c>
      <c r="AB270" s="7" t="s">
        <v>6041</v>
      </c>
    </row>
    <row r="271" customFormat="false" ht="48" hidden="false" customHeight="true" outlineLevel="0" collapsed="false">
      <c r="A271" s="7" t="n">
        <v>268</v>
      </c>
      <c r="B271" s="7" t="n">
        <v>951</v>
      </c>
      <c r="C271" s="7" t="s">
        <v>5561</v>
      </c>
      <c r="D271" s="7" t="s">
        <v>21</v>
      </c>
      <c r="E271" s="7" t="s">
        <v>4058</v>
      </c>
      <c r="F271" s="7" t="s">
        <v>4059</v>
      </c>
      <c r="G271" s="7" t="s">
        <v>3998</v>
      </c>
      <c r="H271" s="7" t="n">
        <v>51</v>
      </c>
      <c r="I271" s="7" t="s">
        <v>18</v>
      </c>
      <c r="J271" s="7" t="s">
        <v>18</v>
      </c>
      <c r="K271" s="7" t="s">
        <v>6433</v>
      </c>
      <c r="L271" s="7" t="s">
        <v>6434</v>
      </c>
      <c r="M271" s="7" t="s">
        <v>6042</v>
      </c>
      <c r="N271" s="7"/>
      <c r="O271" s="7"/>
      <c r="P271" s="7" t="s">
        <v>5271</v>
      </c>
      <c r="Q271" s="7" t="s">
        <v>4354</v>
      </c>
      <c r="R271" s="7"/>
      <c r="S271" s="7"/>
      <c r="T271" s="7" t="n">
        <v>10</v>
      </c>
      <c r="U271" s="7" t="s">
        <v>6467</v>
      </c>
      <c r="V271" s="7" t="s">
        <v>5481</v>
      </c>
      <c r="W271" s="7" t="s">
        <v>6616</v>
      </c>
      <c r="X271" s="7" t="s">
        <v>6617</v>
      </c>
      <c r="Y271" s="7"/>
      <c r="Z271" s="7"/>
      <c r="AA271" s="7" t="s">
        <v>6438</v>
      </c>
      <c r="AB271" s="7" t="s">
        <v>6041</v>
      </c>
    </row>
    <row r="272" customFormat="false" ht="48" hidden="false" customHeight="true" outlineLevel="0" collapsed="false">
      <c r="A272" s="7" t="n">
        <v>269</v>
      </c>
      <c r="B272" s="7" t="n">
        <v>653</v>
      </c>
      <c r="C272" s="7" t="s">
        <v>5562</v>
      </c>
      <c r="D272" s="7" t="s">
        <v>17</v>
      </c>
      <c r="E272" s="7" t="s">
        <v>4044</v>
      </c>
      <c r="F272" s="7" t="s">
        <v>4045</v>
      </c>
      <c r="G272" s="7" t="s">
        <v>3998</v>
      </c>
      <c r="H272" s="7" t="n">
        <v>83</v>
      </c>
      <c r="I272" s="7" t="s">
        <v>18</v>
      </c>
      <c r="J272" s="7" t="s">
        <v>18</v>
      </c>
      <c r="K272" s="7" t="s">
        <v>6433</v>
      </c>
      <c r="L272" s="7" t="s">
        <v>6434</v>
      </c>
      <c r="M272" s="7" t="s">
        <v>6042</v>
      </c>
      <c r="N272" s="7"/>
      <c r="O272" s="7"/>
      <c r="P272" s="7" t="s">
        <v>5274</v>
      </c>
      <c r="Q272" s="7" t="s">
        <v>4356</v>
      </c>
      <c r="R272" s="7"/>
      <c r="S272" s="7"/>
      <c r="T272" s="7" t="n">
        <v>17</v>
      </c>
      <c r="U272" s="7" t="s">
        <v>6460</v>
      </c>
      <c r="V272" s="7" t="s">
        <v>5477</v>
      </c>
      <c r="W272" s="7" t="s">
        <v>6618</v>
      </c>
      <c r="X272" s="7" t="s">
        <v>6619</v>
      </c>
      <c r="Y272" s="7"/>
      <c r="Z272" s="7"/>
      <c r="AA272" s="7" t="s">
        <v>6438</v>
      </c>
      <c r="AB272" s="7" t="s">
        <v>6041</v>
      </c>
    </row>
    <row r="273" customFormat="false" ht="48" hidden="false" customHeight="true" outlineLevel="0" collapsed="false">
      <c r="A273" s="7" t="n">
        <v>270</v>
      </c>
      <c r="B273" s="7" t="n">
        <v>1612</v>
      </c>
      <c r="C273" s="7" t="s">
        <v>5563</v>
      </c>
      <c r="D273" s="7" t="s">
        <v>23</v>
      </c>
      <c r="E273" s="7" t="s">
        <v>3217</v>
      </c>
      <c r="F273" s="7" t="s">
        <v>4038</v>
      </c>
      <c r="G273" s="7" t="s">
        <v>4039</v>
      </c>
      <c r="H273" s="7" t="n">
        <v>78</v>
      </c>
      <c r="I273" s="7" t="s">
        <v>18</v>
      </c>
      <c r="J273" s="7" t="s">
        <v>18</v>
      </c>
      <c r="K273" s="7" t="s">
        <v>6433</v>
      </c>
      <c r="L273" s="7" t="s">
        <v>6434</v>
      </c>
      <c r="M273" s="7" t="s">
        <v>6042</v>
      </c>
      <c r="N273" s="7"/>
      <c r="O273" s="7"/>
      <c r="P273" s="7" t="s">
        <v>5268</v>
      </c>
      <c r="Q273" s="7" t="s">
        <v>4363</v>
      </c>
      <c r="R273" s="7"/>
      <c r="S273" s="7"/>
      <c r="T273" s="7" t="n">
        <v>23</v>
      </c>
      <c r="U273" s="7" t="s">
        <v>6457</v>
      </c>
      <c r="V273" s="7" t="s">
        <v>5475</v>
      </c>
      <c r="W273" s="7" t="s">
        <v>6620</v>
      </c>
      <c r="X273" s="7" t="s">
        <v>6621</v>
      </c>
      <c r="Y273" s="7"/>
      <c r="Z273" s="7"/>
      <c r="AA273" s="7" t="s">
        <v>6438</v>
      </c>
      <c r="AB273" s="7" t="s">
        <v>6041</v>
      </c>
    </row>
    <row r="274" customFormat="false" ht="48" hidden="false" customHeight="true" outlineLevel="0" collapsed="false">
      <c r="A274" s="7" t="n">
        <v>271</v>
      </c>
      <c r="B274" s="7" t="n">
        <v>439</v>
      </c>
      <c r="C274" s="7" t="s">
        <v>5564</v>
      </c>
      <c r="D274" s="7" t="s">
        <v>15</v>
      </c>
      <c r="E274" s="7" t="s">
        <v>3217</v>
      </c>
      <c r="F274" s="7" t="s">
        <v>4143</v>
      </c>
      <c r="G274" s="7" t="s">
        <v>4031</v>
      </c>
      <c r="H274" s="7" t="n">
        <v>132</v>
      </c>
      <c r="I274" s="7" t="s">
        <v>20</v>
      </c>
      <c r="J274" s="7" t="s">
        <v>32</v>
      </c>
      <c r="K274" s="7" t="s">
        <v>6433</v>
      </c>
      <c r="L274" s="7" t="s">
        <v>6434</v>
      </c>
      <c r="M274" s="7" t="s">
        <v>6042</v>
      </c>
      <c r="N274" s="7"/>
      <c r="O274" s="7"/>
      <c r="P274" s="7" t="s">
        <v>5271</v>
      </c>
      <c r="Q274" s="7" t="s">
        <v>4367</v>
      </c>
      <c r="R274" s="7" t="s">
        <v>4369</v>
      </c>
      <c r="S274" s="7"/>
      <c r="T274" s="7" t="n">
        <v>36</v>
      </c>
      <c r="U274" s="7" t="s">
        <v>6511</v>
      </c>
      <c r="V274" s="7" t="s">
        <v>5507</v>
      </c>
      <c r="W274" s="7" t="s">
        <v>6622</v>
      </c>
      <c r="X274" s="7" t="s">
        <v>6623</v>
      </c>
      <c r="Y274" s="7"/>
      <c r="Z274" s="7" t="s">
        <v>4369</v>
      </c>
      <c r="AA274" s="7" t="s">
        <v>6456</v>
      </c>
      <c r="AB274" s="7" t="s">
        <v>6041</v>
      </c>
    </row>
    <row r="275" customFormat="false" ht="48" hidden="false" customHeight="true" outlineLevel="0" collapsed="false">
      <c r="A275" s="7" t="n">
        <v>272</v>
      </c>
      <c r="B275" s="7" t="n">
        <v>2264</v>
      </c>
      <c r="C275" s="7" t="s">
        <v>5565</v>
      </c>
      <c r="D275" s="7" t="s">
        <v>25</v>
      </c>
      <c r="E275" s="7" t="s">
        <v>3217</v>
      </c>
      <c r="F275" s="7" t="s">
        <v>4320</v>
      </c>
      <c r="G275" s="7" t="s">
        <v>4005</v>
      </c>
      <c r="H275" s="7" t="n">
        <v>103</v>
      </c>
      <c r="I275" s="7" t="s">
        <v>20</v>
      </c>
      <c r="J275" s="7" t="s">
        <v>28</v>
      </c>
      <c r="K275" s="7" t="s">
        <v>6433</v>
      </c>
      <c r="L275" s="7" t="s">
        <v>6434</v>
      </c>
      <c r="M275" s="7" t="s">
        <v>6047</v>
      </c>
      <c r="N275" s="7" t="s">
        <v>5272</v>
      </c>
      <c r="O275" s="7"/>
      <c r="P275" s="7" t="s">
        <v>5268</v>
      </c>
      <c r="Q275" s="7" t="s">
        <v>4373</v>
      </c>
      <c r="R275" s="7"/>
      <c r="S275" s="7"/>
      <c r="T275" s="7" t="n">
        <v>21</v>
      </c>
      <c r="U275" s="7" t="s">
        <v>6599</v>
      </c>
      <c r="V275" s="7" t="s">
        <v>5552</v>
      </c>
      <c r="W275" s="7" t="s">
        <v>6624</v>
      </c>
      <c r="X275" s="7" t="s">
        <v>6625</v>
      </c>
      <c r="Y275" s="7"/>
      <c r="Z275" s="7"/>
      <c r="AA275" s="7" t="s">
        <v>6438</v>
      </c>
      <c r="AB275" s="7" t="s">
        <v>6041</v>
      </c>
    </row>
    <row r="276" customFormat="false" ht="48" hidden="false" customHeight="true" outlineLevel="0" collapsed="false">
      <c r="A276" s="7" t="n">
        <v>273</v>
      </c>
      <c r="B276" s="7" t="n">
        <v>317</v>
      </c>
      <c r="C276" s="7" t="s">
        <v>5566</v>
      </c>
      <c r="D276" s="7" t="s">
        <v>15</v>
      </c>
      <c r="E276" s="7" t="s">
        <v>3217</v>
      </c>
      <c r="F276" s="7" t="s">
        <v>4143</v>
      </c>
      <c r="G276" s="7" t="s">
        <v>4302</v>
      </c>
      <c r="H276" s="7" t="n">
        <v>10</v>
      </c>
      <c r="I276" s="7" t="s">
        <v>20</v>
      </c>
      <c r="J276" s="7" t="s">
        <v>30</v>
      </c>
      <c r="K276" s="7" t="s">
        <v>6433</v>
      </c>
      <c r="L276" s="7" t="s">
        <v>6434</v>
      </c>
      <c r="M276" s="7" t="s">
        <v>6042</v>
      </c>
      <c r="N276" s="7"/>
      <c r="O276" s="7"/>
      <c r="P276" s="7" t="s">
        <v>5276</v>
      </c>
      <c r="Q276" s="7" t="s">
        <v>4375</v>
      </c>
      <c r="R276" s="7"/>
      <c r="S276" s="7"/>
      <c r="T276" s="7" t="n">
        <v>4</v>
      </c>
      <c r="U276" s="7" t="s">
        <v>6511</v>
      </c>
      <c r="V276" s="7" t="s">
        <v>5507</v>
      </c>
      <c r="W276" s="7" t="s">
        <v>6626</v>
      </c>
      <c r="X276" s="7" t="s">
        <v>6627</v>
      </c>
      <c r="Y276" s="7"/>
      <c r="Z276" s="7"/>
      <c r="AA276" s="7" t="s">
        <v>6438</v>
      </c>
      <c r="AB276" s="7" t="s">
        <v>6041</v>
      </c>
    </row>
    <row r="277" customFormat="false" ht="48" hidden="false" customHeight="true" outlineLevel="0" collapsed="false">
      <c r="A277" s="7" t="n">
        <v>274</v>
      </c>
      <c r="B277" s="7" t="n">
        <v>2271</v>
      </c>
      <c r="C277" s="7" t="s">
        <v>5567</v>
      </c>
      <c r="D277" s="7" t="s">
        <v>25</v>
      </c>
      <c r="E277" s="7" t="s">
        <v>3217</v>
      </c>
      <c r="F277" s="7" t="s">
        <v>4320</v>
      </c>
      <c r="G277" s="7" t="s">
        <v>4005</v>
      </c>
      <c r="H277" s="7" t="n">
        <v>110</v>
      </c>
      <c r="I277" s="7" t="s">
        <v>20</v>
      </c>
      <c r="J277" s="7" t="s">
        <v>28</v>
      </c>
      <c r="K277" s="7" t="s">
        <v>6433</v>
      </c>
      <c r="L277" s="7" t="s">
        <v>6434</v>
      </c>
      <c r="M277" s="7" t="s">
        <v>6047</v>
      </c>
      <c r="N277" s="7" t="s">
        <v>5272</v>
      </c>
      <c r="O277" s="7"/>
      <c r="P277" s="7" t="s">
        <v>5268</v>
      </c>
      <c r="Q277" s="7" t="s">
        <v>4381</v>
      </c>
      <c r="R277" s="7"/>
      <c r="S277" s="7"/>
      <c r="T277" s="7" t="n">
        <v>22</v>
      </c>
      <c r="U277" s="7" t="s">
        <v>6599</v>
      </c>
      <c r="V277" s="7" t="s">
        <v>5552</v>
      </c>
      <c r="W277" s="7" t="s">
        <v>6628</v>
      </c>
      <c r="X277" s="7" t="s">
        <v>6629</v>
      </c>
      <c r="Y277" s="7"/>
      <c r="Z277" s="7"/>
      <c r="AA277" s="7" t="s">
        <v>6438</v>
      </c>
      <c r="AB277" s="7" t="s">
        <v>6041</v>
      </c>
    </row>
    <row r="278" customFormat="false" ht="48" hidden="false" customHeight="true" outlineLevel="0" collapsed="false">
      <c r="A278" s="7" t="n">
        <v>275</v>
      </c>
      <c r="B278" s="7" t="n">
        <v>227</v>
      </c>
      <c r="C278" s="7" t="s">
        <v>5568</v>
      </c>
      <c r="D278" s="7" t="s">
        <v>15</v>
      </c>
      <c r="E278" s="7" t="s">
        <v>3996</v>
      </c>
      <c r="F278" s="7" t="s">
        <v>4030</v>
      </c>
      <c r="G278" s="7" t="s">
        <v>4302</v>
      </c>
      <c r="H278" s="7" t="n">
        <v>73</v>
      </c>
      <c r="I278" s="7" t="s">
        <v>20</v>
      </c>
      <c r="J278" s="7" t="s">
        <v>30</v>
      </c>
      <c r="K278" s="7" t="s">
        <v>6433</v>
      </c>
      <c r="L278" s="7" t="s">
        <v>6434</v>
      </c>
      <c r="M278" s="7" t="s">
        <v>6042</v>
      </c>
      <c r="N278" s="7"/>
      <c r="O278" s="7"/>
      <c r="P278" s="7" t="s">
        <v>5274</v>
      </c>
      <c r="Q278" s="7" t="s">
        <v>4382</v>
      </c>
      <c r="R278" s="7"/>
      <c r="S278" s="7"/>
      <c r="T278" s="7" t="n">
        <v>17</v>
      </c>
      <c r="U278" s="7" t="s">
        <v>6453</v>
      </c>
      <c r="V278" s="7" t="s">
        <v>5473</v>
      </c>
      <c r="W278" s="7" t="s">
        <v>6630</v>
      </c>
      <c r="X278" s="7" t="s">
        <v>6631</v>
      </c>
      <c r="Y278" s="7"/>
      <c r="Z278" s="7"/>
      <c r="AA278" s="7" t="s">
        <v>6438</v>
      </c>
      <c r="AB278" s="7" t="s">
        <v>6041</v>
      </c>
    </row>
    <row r="279" customFormat="false" ht="48" hidden="false" customHeight="true" outlineLevel="0" collapsed="false">
      <c r="A279" s="7" t="n">
        <v>276</v>
      </c>
      <c r="B279" s="7" t="n">
        <v>2545</v>
      </c>
      <c r="C279" s="7" t="s">
        <v>5569</v>
      </c>
      <c r="D279" s="7" t="s">
        <v>27</v>
      </c>
      <c r="E279" s="7" t="s">
        <v>3996</v>
      </c>
      <c r="F279" s="7" t="s">
        <v>4070</v>
      </c>
      <c r="G279" s="7" t="s">
        <v>4071</v>
      </c>
      <c r="H279" s="7" t="n">
        <v>106</v>
      </c>
      <c r="I279" s="7" t="s">
        <v>20</v>
      </c>
      <c r="J279" s="7" t="s">
        <v>28</v>
      </c>
      <c r="K279" s="7" t="s">
        <v>6433</v>
      </c>
      <c r="L279" s="7" t="s">
        <v>6434</v>
      </c>
      <c r="M279" s="7" t="s">
        <v>6047</v>
      </c>
      <c r="N279" s="7" t="s">
        <v>5272</v>
      </c>
      <c r="O279" s="7"/>
      <c r="P279" s="7" t="s">
        <v>5271</v>
      </c>
      <c r="Q279" s="7" t="s">
        <v>4388</v>
      </c>
      <c r="R279" s="7"/>
      <c r="S279" s="7"/>
      <c r="T279" s="7" t="n">
        <v>38</v>
      </c>
      <c r="U279" s="7" t="s">
        <v>6472</v>
      </c>
      <c r="V279" s="7" t="s">
        <v>5484</v>
      </c>
      <c r="W279" s="7" t="s">
        <v>6632</v>
      </c>
      <c r="X279" s="7" t="s">
        <v>6633</v>
      </c>
      <c r="Y279" s="7"/>
      <c r="Z279" s="7"/>
      <c r="AA279" s="7" t="s">
        <v>6438</v>
      </c>
      <c r="AB279" s="7" t="s">
        <v>6041</v>
      </c>
    </row>
    <row r="280" customFormat="false" ht="48" hidden="false" customHeight="true" outlineLevel="0" collapsed="false">
      <c r="A280" s="7" t="n">
        <v>277</v>
      </c>
      <c r="B280" s="7" t="n">
        <v>1029</v>
      </c>
      <c r="C280" s="7" t="s">
        <v>5570</v>
      </c>
      <c r="D280" s="7" t="s">
        <v>21</v>
      </c>
      <c r="E280" s="7" t="s">
        <v>3217</v>
      </c>
      <c r="F280" s="7" t="s">
        <v>4108</v>
      </c>
      <c r="G280" s="7" t="s">
        <v>3998</v>
      </c>
      <c r="H280" s="7" t="n">
        <v>24</v>
      </c>
      <c r="I280" s="7" t="s">
        <v>18</v>
      </c>
      <c r="J280" s="7" t="s">
        <v>18</v>
      </c>
      <c r="K280" s="7" t="s">
        <v>6433</v>
      </c>
      <c r="L280" s="7" t="s">
        <v>6434</v>
      </c>
      <c r="M280" s="7" t="s">
        <v>6047</v>
      </c>
      <c r="N280" s="7" t="s">
        <v>5272</v>
      </c>
      <c r="O280" s="7"/>
      <c r="P280" s="7" t="s">
        <v>5276</v>
      </c>
      <c r="Q280" s="7" t="s">
        <v>4391</v>
      </c>
      <c r="R280" s="7"/>
      <c r="S280" s="7"/>
      <c r="T280" s="7" t="n">
        <v>6</v>
      </c>
      <c r="U280" s="7" t="s">
        <v>6492</v>
      </c>
      <c r="V280" s="7" t="s">
        <v>5496</v>
      </c>
      <c r="W280" s="7" t="s">
        <v>6634</v>
      </c>
      <c r="X280" s="7" t="s">
        <v>6635</v>
      </c>
      <c r="Y280" s="7"/>
      <c r="Z280" s="7"/>
      <c r="AA280" s="7" t="s">
        <v>6438</v>
      </c>
      <c r="AB280" s="7" t="s">
        <v>6041</v>
      </c>
    </row>
    <row r="281" customFormat="false" ht="48" hidden="false" customHeight="true" outlineLevel="0" collapsed="false">
      <c r="A281" s="7" t="n">
        <v>278</v>
      </c>
      <c r="B281" s="7" t="n">
        <v>1563</v>
      </c>
      <c r="C281" s="7" t="s">
        <v>5571</v>
      </c>
      <c r="D281" s="7" t="s">
        <v>23</v>
      </c>
      <c r="E281" s="7" t="s">
        <v>3217</v>
      </c>
      <c r="F281" s="7" t="s">
        <v>4038</v>
      </c>
      <c r="G281" s="7" t="s">
        <v>3998</v>
      </c>
      <c r="H281" s="7" t="n">
        <v>29</v>
      </c>
      <c r="I281" s="7" t="s">
        <v>18</v>
      </c>
      <c r="J281" s="7" t="s">
        <v>18</v>
      </c>
      <c r="K281" s="7" t="s">
        <v>6433</v>
      </c>
      <c r="L281" s="7" t="s">
        <v>6434</v>
      </c>
      <c r="M281" s="7" t="s">
        <v>6042</v>
      </c>
      <c r="N281" s="7"/>
      <c r="O281" s="7"/>
      <c r="P281" s="7" t="s">
        <v>5276</v>
      </c>
      <c r="Q281" s="7" t="s">
        <v>4395</v>
      </c>
      <c r="R281" s="7"/>
      <c r="S281" s="7"/>
      <c r="T281" s="7" t="n">
        <v>10</v>
      </c>
      <c r="U281" s="7" t="s">
        <v>6457</v>
      </c>
      <c r="V281" s="7" t="s">
        <v>5475</v>
      </c>
      <c r="W281" s="7" t="s">
        <v>6636</v>
      </c>
      <c r="X281" s="7" t="s">
        <v>6637</v>
      </c>
      <c r="Y281" s="7"/>
      <c r="Z281" s="7"/>
      <c r="AA281" s="7" t="s">
        <v>6438</v>
      </c>
      <c r="AB281" s="7" t="s">
        <v>6041</v>
      </c>
    </row>
    <row r="282" customFormat="false" ht="48" hidden="false" customHeight="true" outlineLevel="0" collapsed="false">
      <c r="A282" s="7" t="n">
        <v>279</v>
      </c>
      <c r="B282" s="7" t="n">
        <v>2513</v>
      </c>
      <c r="C282" s="7" t="s">
        <v>5572</v>
      </c>
      <c r="D282" s="7" t="s">
        <v>27</v>
      </c>
      <c r="E282" s="7" t="s">
        <v>3996</v>
      </c>
      <c r="F282" s="7" t="s">
        <v>4070</v>
      </c>
      <c r="G282" s="7" t="s">
        <v>3998</v>
      </c>
      <c r="H282" s="7" t="n">
        <v>74</v>
      </c>
      <c r="I282" s="7" t="s">
        <v>18</v>
      </c>
      <c r="J282" s="7" t="s">
        <v>18</v>
      </c>
      <c r="K282" s="7" t="s">
        <v>6433</v>
      </c>
      <c r="L282" s="7" t="s">
        <v>6434</v>
      </c>
      <c r="M282" s="7" t="s">
        <v>6047</v>
      </c>
      <c r="N282" s="7" t="s">
        <v>5272</v>
      </c>
      <c r="O282" s="7"/>
      <c r="P282" s="7" t="s">
        <v>5268</v>
      </c>
      <c r="Q282" s="7" t="s">
        <v>4401</v>
      </c>
      <c r="R282" s="7"/>
      <c r="S282" s="7"/>
      <c r="T282" s="7" t="n">
        <v>27</v>
      </c>
      <c r="U282" s="7" t="s">
        <v>6472</v>
      </c>
      <c r="V282" s="7" t="s">
        <v>5484</v>
      </c>
      <c r="W282" s="7" t="s">
        <v>6638</v>
      </c>
      <c r="X282" s="7" t="s">
        <v>6639</v>
      </c>
      <c r="Y282" s="7"/>
      <c r="Z282" s="7"/>
      <c r="AA282" s="7" t="s">
        <v>6438</v>
      </c>
      <c r="AB282" s="7" t="s">
        <v>6041</v>
      </c>
    </row>
    <row r="283" customFormat="false" ht="48" hidden="false" customHeight="true" outlineLevel="0" collapsed="false">
      <c r="A283" s="7" t="n">
        <v>280</v>
      </c>
      <c r="B283" s="7" t="n">
        <v>1004</v>
      </c>
      <c r="C283" s="7" t="s">
        <v>5573</v>
      </c>
      <c r="D283" s="7" t="s">
        <v>21</v>
      </c>
      <c r="E283" s="7" t="s">
        <v>4058</v>
      </c>
      <c r="F283" s="7" t="s">
        <v>4059</v>
      </c>
      <c r="G283" s="7" t="s">
        <v>4005</v>
      </c>
      <c r="H283" s="7" t="n">
        <v>104</v>
      </c>
      <c r="I283" s="7" t="s">
        <v>20</v>
      </c>
      <c r="J283" s="7" t="s">
        <v>28</v>
      </c>
      <c r="K283" s="7" t="s">
        <v>6433</v>
      </c>
      <c r="L283" s="7" t="s">
        <v>6434</v>
      </c>
      <c r="M283" s="7" t="s">
        <v>6042</v>
      </c>
      <c r="N283" s="7"/>
      <c r="O283" s="7"/>
      <c r="P283" s="7" t="s">
        <v>5274</v>
      </c>
      <c r="Q283" s="7" t="s">
        <v>4402</v>
      </c>
      <c r="R283" s="7"/>
      <c r="S283" s="7"/>
      <c r="T283" s="7" t="n">
        <v>19</v>
      </c>
      <c r="U283" s="7" t="s">
        <v>6467</v>
      </c>
      <c r="V283" s="7" t="s">
        <v>5481</v>
      </c>
      <c r="W283" s="7" t="s">
        <v>6640</v>
      </c>
      <c r="X283" s="7" t="s">
        <v>6641</v>
      </c>
      <c r="Y283" s="7"/>
      <c r="Z283" s="7"/>
      <c r="AA283" s="7" t="s">
        <v>6438</v>
      </c>
      <c r="AB283" s="7" t="s">
        <v>6041</v>
      </c>
    </row>
    <row r="284" customFormat="false" ht="48" hidden="false" customHeight="true" outlineLevel="0" collapsed="false">
      <c r="A284" s="7" t="n">
        <v>281</v>
      </c>
      <c r="B284" s="7" t="n">
        <v>2847</v>
      </c>
      <c r="C284" s="7" t="s">
        <v>5574</v>
      </c>
      <c r="D284" s="7" t="s">
        <v>31</v>
      </c>
      <c r="E284" s="7" t="s">
        <v>4003</v>
      </c>
      <c r="F284" s="7" t="s">
        <v>4010</v>
      </c>
      <c r="G284" s="7" t="s">
        <v>3998</v>
      </c>
      <c r="H284" s="7" t="n">
        <v>87</v>
      </c>
      <c r="I284" s="7" t="s">
        <v>18</v>
      </c>
      <c r="J284" s="7" t="s">
        <v>18</v>
      </c>
      <c r="K284" s="7" t="s">
        <v>6433</v>
      </c>
      <c r="L284" s="7" t="s">
        <v>6434</v>
      </c>
      <c r="M284" s="7" t="s">
        <v>6047</v>
      </c>
      <c r="N284" s="7" t="s">
        <v>5272</v>
      </c>
      <c r="O284" s="7"/>
      <c r="P284" s="7" t="s">
        <v>5268</v>
      </c>
      <c r="Q284" s="7" t="s">
        <v>4409</v>
      </c>
      <c r="R284" s="7"/>
      <c r="S284" s="7"/>
      <c r="T284" s="7" t="n">
        <v>15</v>
      </c>
      <c r="U284" s="7" t="s">
        <v>6442</v>
      </c>
      <c r="V284" s="7" t="s">
        <v>5466</v>
      </c>
      <c r="W284" s="7" t="s">
        <v>6642</v>
      </c>
      <c r="X284" s="7" t="s">
        <v>6643</v>
      </c>
      <c r="Y284" s="7"/>
      <c r="Z284" s="7"/>
      <c r="AA284" s="7" t="s">
        <v>6438</v>
      </c>
      <c r="AB284" s="7" t="s">
        <v>6041</v>
      </c>
    </row>
    <row r="285" customFormat="false" ht="48" hidden="false" customHeight="true" outlineLevel="0" collapsed="false">
      <c r="A285" s="7" t="n">
        <v>282</v>
      </c>
      <c r="B285" s="7" t="n">
        <v>2546</v>
      </c>
      <c r="C285" s="7" t="s">
        <v>5575</v>
      </c>
      <c r="D285" s="7" t="s">
        <v>27</v>
      </c>
      <c r="E285" s="7" t="s">
        <v>3996</v>
      </c>
      <c r="F285" s="7" t="s">
        <v>4070</v>
      </c>
      <c r="G285" s="7" t="s">
        <v>4071</v>
      </c>
      <c r="H285" s="7" t="n">
        <v>107</v>
      </c>
      <c r="I285" s="7" t="s">
        <v>20</v>
      </c>
      <c r="J285" s="7" t="s">
        <v>28</v>
      </c>
      <c r="K285" s="7" t="s">
        <v>6433</v>
      </c>
      <c r="L285" s="7" t="s">
        <v>6434</v>
      </c>
      <c r="M285" s="7" t="s">
        <v>6042</v>
      </c>
      <c r="N285" s="7"/>
      <c r="O285" s="7"/>
      <c r="P285" s="7" t="s">
        <v>5268</v>
      </c>
      <c r="Q285" s="7" t="s">
        <v>4413</v>
      </c>
      <c r="R285" s="7"/>
      <c r="S285" s="7"/>
      <c r="T285" s="7" t="n">
        <v>38</v>
      </c>
      <c r="U285" s="7" t="s">
        <v>6472</v>
      </c>
      <c r="V285" s="7" t="s">
        <v>5484</v>
      </c>
      <c r="W285" s="7" t="s">
        <v>6644</v>
      </c>
      <c r="X285" s="7" t="s">
        <v>6645</v>
      </c>
      <c r="Y285" s="7"/>
      <c r="Z285" s="7"/>
      <c r="AA285" s="7" t="s">
        <v>6438</v>
      </c>
      <c r="AB285" s="7" t="s">
        <v>6041</v>
      </c>
    </row>
    <row r="286" customFormat="false" ht="48" hidden="false" customHeight="true" outlineLevel="0" collapsed="false">
      <c r="A286" s="7" t="n">
        <v>283</v>
      </c>
      <c r="B286" s="7" t="n">
        <v>2728</v>
      </c>
      <c r="C286" s="7" t="s">
        <v>5576</v>
      </c>
      <c r="D286" s="7" t="s">
        <v>29</v>
      </c>
      <c r="E286" s="7" t="s">
        <v>3217</v>
      </c>
      <c r="F286" s="7" t="s">
        <v>3898</v>
      </c>
      <c r="G286" s="7" t="s">
        <v>4025</v>
      </c>
      <c r="H286" s="7" t="n">
        <v>79</v>
      </c>
      <c r="I286" s="7" t="s">
        <v>20</v>
      </c>
      <c r="J286" s="7" t="s">
        <v>33</v>
      </c>
      <c r="K286" s="7" t="s">
        <v>6433</v>
      </c>
      <c r="L286" s="7" t="s">
        <v>6434</v>
      </c>
      <c r="M286" s="7" t="s">
        <v>6047</v>
      </c>
      <c r="N286" s="7" t="s">
        <v>5272</v>
      </c>
      <c r="O286" s="7"/>
      <c r="P286" s="7" t="s">
        <v>5271</v>
      </c>
      <c r="Q286" s="7" t="s">
        <v>4416</v>
      </c>
      <c r="R286" s="7"/>
      <c r="S286" s="7"/>
      <c r="T286" s="7" t="n">
        <v>17</v>
      </c>
      <c r="U286" s="7" t="s">
        <v>6390</v>
      </c>
      <c r="V286" s="7" t="s">
        <v>5440</v>
      </c>
      <c r="W286" s="7" t="s">
        <v>6646</v>
      </c>
      <c r="X286" s="7" t="s">
        <v>6647</v>
      </c>
      <c r="Y286" s="7"/>
      <c r="Z286" s="7"/>
      <c r="AA286" s="7" t="s">
        <v>6648</v>
      </c>
      <c r="AB286" s="7" t="s">
        <v>6041</v>
      </c>
    </row>
    <row r="287" customFormat="false" ht="48" hidden="false" customHeight="true" outlineLevel="0" collapsed="false">
      <c r="A287" s="7" t="n">
        <v>284</v>
      </c>
      <c r="B287" s="7" t="n">
        <v>1268</v>
      </c>
      <c r="C287" s="7" t="s">
        <v>5577</v>
      </c>
      <c r="D287" s="7" t="s">
        <v>19</v>
      </c>
      <c r="E287" s="7" t="s">
        <v>4003</v>
      </c>
      <c r="F287" s="7" t="s">
        <v>4004</v>
      </c>
      <c r="G287" s="7" t="s">
        <v>4005</v>
      </c>
      <c r="H287" s="7" t="n">
        <v>158</v>
      </c>
      <c r="I287" s="7" t="s">
        <v>20</v>
      </c>
      <c r="J287" s="7" t="s">
        <v>28</v>
      </c>
      <c r="K287" s="7" t="s">
        <v>6433</v>
      </c>
      <c r="L287" s="7" t="s">
        <v>6434</v>
      </c>
      <c r="M287" s="7" t="s">
        <v>6047</v>
      </c>
      <c r="N287" s="7" t="s">
        <v>5272</v>
      </c>
      <c r="O287" s="7"/>
      <c r="P287" s="7" t="s">
        <v>5271</v>
      </c>
      <c r="Q287" s="7" t="s">
        <v>4420</v>
      </c>
      <c r="R287" s="7"/>
      <c r="S287" s="7"/>
      <c r="T287" s="7" t="n">
        <v>35</v>
      </c>
      <c r="U287" s="7" t="s">
        <v>6439</v>
      </c>
      <c r="V287" s="7" t="s">
        <v>5464</v>
      </c>
      <c r="W287" s="7" t="s">
        <v>6649</v>
      </c>
      <c r="X287" s="7" t="s">
        <v>6650</v>
      </c>
      <c r="Y287" s="7"/>
      <c r="Z287" s="7"/>
      <c r="AA287" s="7" t="s">
        <v>6438</v>
      </c>
      <c r="AB287" s="7" t="s">
        <v>6041</v>
      </c>
    </row>
    <row r="288" customFormat="false" ht="48" hidden="false" customHeight="true" outlineLevel="0" collapsed="false">
      <c r="A288" s="7" t="n">
        <v>285</v>
      </c>
      <c r="B288" s="7" t="n">
        <v>2630</v>
      </c>
      <c r="C288" s="7" t="s">
        <v>5578</v>
      </c>
      <c r="D288" s="7" t="s">
        <v>27</v>
      </c>
      <c r="E288" s="7" t="s">
        <v>4129</v>
      </c>
      <c r="F288" s="7" t="s">
        <v>4130</v>
      </c>
      <c r="G288" s="7" t="s">
        <v>3998</v>
      </c>
      <c r="H288" s="7" t="n">
        <v>81</v>
      </c>
      <c r="I288" s="7" t="s">
        <v>18</v>
      </c>
      <c r="J288" s="7" t="s">
        <v>18</v>
      </c>
      <c r="K288" s="7" t="s">
        <v>6433</v>
      </c>
      <c r="L288" s="7" t="s">
        <v>6434</v>
      </c>
      <c r="M288" s="7" t="s">
        <v>6042</v>
      </c>
      <c r="N288" s="7"/>
      <c r="O288" s="7"/>
      <c r="P288" s="7" t="s">
        <v>5271</v>
      </c>
      <c r="Q288" s="7" t="s">
        <v>4424</v>
      </c>
      <c r="R288" s="7"/>
      <c r="S288" s="7"/>
      <c r="T288" s="7" t="n">
        <v>21</v>
      </c>
      <c r="U288" s="7" t="s">
        <v>6503</v>
      </c>
      <c r="V288" s="7" t="s">
        <v>5502</v>
      </c>
      <c r="W288" s="7" t="s">
        <v>6651</v>
      </c>
      <c r="X288" s="7" t="s">
        <v>6652</v>
      </c>
      <c r="Y288" s="7"/>
      <c r="Z288" s="7"/>
      <c r="AA288" s="7" t="s">
        <v>6438</v>
      </c>
      <c r="AB288" s="7" t="s">
        <v>6041</v>
      </c>
    </row>
    <row r="289" customFormat="false" ht="48" hidden="false" customHeight="true" outlineLevel="0" collapsed="false">
      <c r="A289" s="7" t="n">
        <v>286</v>
      </c>
      <c r="B289" s="7" t="n">
        <v>567</v>
      </c>
      <c r="C289" s="7" t="s">
        <v>5579</v>
      </c>
      <c r="D289" s="7" t="s">
        <v>17</v>
      </c>
      <c r="E289" s="7" t="s">
        <v>4058</v>
      </c>
      <c r="F289" s="7" t="s">
        <v>4084</v>
      </c>
      <c r="G289" s="7" t="s">
        <v>4005</v>
      </c>
      <c r="H289" s="7" t="n">
        <v>107</v>
      </c>
      <c r="I289" s="7" t="s">
        <v>20</v>
      </c>
      <c r="J289" s="7" t="s">
        <v>28</v>
      </c>
      <c r="K289" s="7" t="s">
        <v>6433</v>
      </c>
      <c r="L289" s="7" t="s">
        <v>6434</v>
      </c>
      <c r="M289" s="7" t="s">
        <v>6042</v>
      </c>
      <c r="N289" s="7"/>
      <c r="O289" s="7"/>
      <c r="P289" s="7" t="s">
        <v>5276</v>
      </c>
      <c r="Q289" s="7" t="s">
        <v>4427</v>
      </c>
      <c r="R289" s="7"/>
      <c r="S289" s="7"/>
      <c r="T289" s="7" t="n">
        <v>37</v>
      </c>
      <c r="U289" s="7" t="s">
        <v>6479</v>
      </c>
      <c r="V289" s="7" t="s">
        <v>5488</v>
      </c>
      <c r="W289" s="7" t="s">
        <v>6653</v>
      </c>
      <c r="X289" s="7" t="s">
        <v>6654</v>
      </c>
      <c r="Y289" s="7"/>
      <c r="Z289" s="7"/>
      <c r="AA289" s="7" t="s">
        <v>6438</v>
      </c>
      <c r="AB289" s="7" t="s">
        <v>6041</v>
      </c>
    </row>
    <row r="290" customFormat="false" ht="48" hidden="false" customHeight="true" outlineLevel="0" collapsed="false">
      <c r="A290" s="7" t="n">
        <v>287</v>
      </c>
      <c r="B290" s="7" t="n">
        <v>1036</v>
      </c>
      <c r="C290" s="7" t="s">
        <v>5580</v>
      </c>
      <c r="D290" s="7" t="s">
        <v>21</v>
      </c>
      <c r="E290" s="7" t="s">
        <v>3217</v>
      </c>
      <c r="F290" s="7" t="s">
        <v>4108</v>
      </c>
      <c r="G290" s="7" t="s">
        <v>3998</v>
      </c>
      <c r="H290" s="7" t="n">
        <v>31</v>
      </c>
      <c r="I290" s="7" t="s">
        <v>18</v>
      </c>
      <c r="J290" s="7" t="s">
        <v>18</v>
      </c>
      <c r="K290" s="7" t="s">
        <v>6433</v>
      </c>
      <c r="L290" s="7" t="s">
        <v>6434</v>
      </c>
      <c r="M290" s="7" t="s">
        <v>6042</v>
      </c>
      <c r="N290" s="7"/>
      <c r="O290" s="7"/>
      <c r="P290" s="7" t="s">
        <v>5276</v>
      </c>
      <c r="Q290" s="7" t="s">
        <v>4431</v>
      </c>
      <c r="R290" s="7"/>
      <c r="S290" s="7"/>
      <c r="T290" s="7" t="n">
        <v>7</v>
      </c>
      <c r="U290" s="7" t="s">
        <v>6492</v>
      </c>
      <c r="V290" s="7" t="s">
        <v>5496</v>
      </c>
      <c r="W290" s="7" t="s">
        <v>6655</v>
      </c>
      <c r="X290" s="7" t="s">
        <v>6656</v>
      </c>
      <c r="Y290" s="7"/>
      <c r="Z290" s="7"/>
      <c r="AA290" s="7" t="s">
        <v>6438</v>
      </c>
      <c r="AB290" s="7" t="s">
        <v>6041</v>
      </c>
    </row>
    <row r="291" customFormat="false" ht="48" hidden="false" customHeight="true" outlineLevel="0" collapsed="false">
      <c r="A291" s="7" t="n">
        <v>288</v>
      </c>
      <c r="B291" s="7" t="n">
        <v>1367</v>
      </c>
      <c r="C291" s="7" t="s">
        <v>5581</v>
      </c>
      <c r="D291" s="7" t="s">
        <v>19</v>
      </c>
      <c r="E291" s="7" t="s">
        <v>3217</v>
      </c>
      <c r="F291" s="7" t="s">
        <v>4139</v>
      </c>
      <c r="G291" s="7" t="s">
        <v>4071</v>
      </c>
      <c r="H291" s="7" t="n">
        <v>92</v>
      </c>
      <c r="I291" s="7" t="s">
        <v>20</v>
      </c>
      <c r="J291" s="7" t="s">
        <v>28</v>
      </c>
      <c r="K291" s="7" t="s">
        <v>6433</v>
      </c>
      <c r="L291" s="7" t="s">
        <v>6434</v>
      </c>
      <c r="M291" s="7" t="s">
        <v>6042</v>
      </c>
      <c r="N291" s="7"/>
      <c r="O291" s="7"/>
      <c r="P291" s="7" t="s">
        <v>5271</v>
      </c>
      <c r="Q291" s="7" t="s">
        <v>4436</v>
      </c>
      <c r="R291" s="7"/>
      <c r="S291" s="7"/>
      <c r="T291" s="7" t="n">
        <v>23</v>
      </c>
      <c r="U291" s="7" t="s">
        <v>6508</v>
      </c>
      <c r="V291" s="7" t="s">
        <v>5505</v>
      </c>
      <c r="W291" s="7" t="s">
        <v>6657</v>
      </c>
      <c r="X291" s="7" t="s">
        <v>6658</v>
      </c>
      <c r="Y291" s="7"/>
      <c r="Z291" s="7"/>
      <c r="AA291" s="7" t="s">
        <v>6438</v>
      </c>
      <c r="AB291" s="7" t="s">
        <v>6041</v>
      </c>
    </row>
    <row r="292" customFormat="false" ht="48" hidden="false" customHeight="true" outlineLevel="0" collapsed="false">
      <c r="A292" s="7" t="n">
        <v>289</v>
      </c>
      <c r="B292" s="7" t="n">
        <v>1363</v>
      </c>
      <c r="C292" s="7" t="s">
        <v>5582</v>
      </c>
      <c r="D292" s="7" t="s">
        <v>19</v>
      </c>
      <c r="E292" s="7" t="s">
        <v>3217</v>
      </c>
      <c r="F292" s="7" t="s">
        <v>4139</v>
      </c>
      <c r="G292" s="7" t="s">
        <v>3998</v>
      </c>
      <c r="H292" s="7" t="n">
        <v>88</v>
      </c>
      <c r="I292" s="7" t="s">
        <v>18</v>
      </c>
      <c r="J292" s="7" t="s">
        <v>18</v>
      </c>
      <c r="K292" s="7" t="s">
        <v>6433</v>
      </c>
      <c r="L292" s="7" t="s">
        <v>6434</v>
      </c>
      <c r="M292" s="7" t="s">
        <v>6047</v>
      </c>
      <c r="N292" s="7" t="s">
        <v>5272</v>
      </c>
      <c r="O292" s="7"/>
      <c r="P292" s="7" t="s">
        <v>5276</v>
      </c>
      <c r="Q292" s="7" t="s">
        <v>4438</v>
      </c>
      <c r="R292" s="7"/>
      <c r="S292" s="7"/>
      <c r="T292" s="7" t="n">
        <v>22</v>
      </c>
      <c r="U292" s="7" t="s">
        <v>6508</v>
      </c>
      <c r="V292" s="7" t="s">
        <v>5505</v>
      </c>
      <c r="W292" s="7" t="s">
        <v>6659</v>
      </c>
      <c r="X292" s="7" t="s">
        <v>6660</v>
      </c>
      <c r="Y292" s="7"/>
      <c r="Z292" s="7"/>
      <c r="AA292" s="7" t="s">
        <v>6438</v>
      </c>
      <c r="AB292" s="7" t="s">
        <v>6041</v>
      </c>
    </row>
    <row r="293" customFormat="false" ht="48" hidden="false" customHeight="true" outlineLevel="0" collapsed="false">
      <c r="A293" s="7" t="n">
        <v>290</v>
      </c>
      <c r="B293" s="7" t="n">
        <v>565</v>
      </c>
      <c r="C293" s="7" t="s">
        <v>5583</v>
      </c>
      <c r="D293" s="7" t="s">
        <v>17</v>
      </c>
      <c r="E293" s="7" t="s">
        <v>4058</v>
      </c>
      <c r="F293" s="7" t="s">
        <v>4084</v>
      </c>
      <c r="G293" s="7" t="s">
        <v>4005</v>
      </c>
      <c r="H293" s="7" t="n">
        <v>105</v>
      </c>
      <c r="I293" s="7" t="s">
        <v>20</v>
      </c>
      <c r="J293" s="7" t="s">
        <v>28</v>
      </c>
      <c r="K293" s="7" t="s">
        <v>6433</v>
      </c>
      <c r="L293" s="7" t="s">
        <v>6434</v>
      </c>
      <c r="M293" s="7" t="s">
        <v>6047</v>
      </c>
      <c r="N293" s="7" t="s">
        <v>5272</v>
      </c>
      <c r="O293" s="7"/>
      <c r="P293" s="7" t="s">
        <v>5274</v>
      </c>
      <c r="Q293" s="7" t="s">
        <v>4440</v>
      </c>
      <c r="R293" s="7"/>
      <c r="S293" s="7"/>
      <c r="T293" s="7" t="n">
        <v>37</v>
      </c>
      <c r="U293" s="7" t="s">
        <v>6479</v>
      </c>
      <c r="V293" s="7" t="s">
        <v>5488</v>
      </c>
      <c r="W293" s="7" t="s">
        <v>6661</v>
      </c>
      <c r="X293" s="7" t="s">
        <v>6662</v>
      </c>
      <c r="Y293" s="7"/>
      <c r="Z293" s="7"/>
      <c r="AA293" s="7" t="s">
        <v>6438</v>
      </c>
      <c r="AB293" s="7" t="s">
        <v>6041</v>
      </c>
    </row>
    <row r="294" customFormat="false" ht="48" hidden="false" customHeight="true" outlineLevel="0" collapsed="false">
      <c r="A294" s="7" t="n">
        <v>291</v>
      </c>
      <c r="B294" s="7" t="n">
        <v>1300</v>
      </c>
      <c r="C294" s="7" t="s">
        <v>5584</v>
      </c>
      <c r="D294" s="7" t="s">
        <v>19</v>
      </c>
      <c r="E294" s="7" t="s">
        <v>3217</v>
      </c>
      <c r="F294" s="7" t="s">
        <v>4139</v>
      </c>
      <c r="G294" s="7" t="s">
        <v>3998</v>
      </c>
      <c r="H294" s="7" t="n">
        <v>25</v>
      </c>
      <c r="I294" s="7" t="s">
        <v>18</v>
      </c>
      <c r="J294" s="7" t="s">
        <v>18</v>
      </c>
      <c r="K294" s="7" t="s">
        <v>6433</v>
      </c>
      <c r="L294" s="7" t="s">
        <v>6434</v>
      </c>
      <c r="M294" s="7" t="s">
        <v>6047</v>
      </c>
      <c r="N294" s="7" t="s">
        <v>5272</v>
      </c>
      <c r="O294" s="7"/>
      <c r="P294" s="7" t="s">
        <v>5276</v>
      </c>
      <c r="Q294" s="7" t="s">
        <v>4445</v>
      </c>
      <c r="R294" s="7"/>
      <c r="S294" s="7"/>
      <c r="T294" s="7" t="n">
        <v>7</v>
      </c>
      <c r="U294" s="7" t="s">
        <v>6508</v>
      </c>
      <c r="V294" s="7" t="s">
        <v>5505</v>
      </c>
      <c r="W294" s="7" t="s">
        <v>6663</v>
      </c>
      <c r="X294" s="7" t="s">
        <v>6664</v>
      </c>
      <c r="Y294" s="7"/>
      <c r="Z294" s="7"/>
      <c r="AA294" s="7" t="s">
        <v>6438</v>
      </c>
      <c r="AB294" s="7" t="s">
        <v>6041</v>
      </c>
    </row>
    <row r="295" customFormat="false" ht="48" hidden="false" customHeight="true" outlineLevel="0" collapsed="false">
      <c r="A295" s="7" t="n">
        <v>292</v>
      </c>
      <c r="B295" s="7" t="n">
        <v>1562</v>
      </c>
      <c r="C295" s="7" t="s">
        <v>5585</v>
      </c>
      <c r="D295" s="7" t="s">
        <v>23</v>
      </c>
      <c r="E295" s="7" t="s">
        <v>3217</v>
      </c>
      <c r="F295" s="7" t="s">
        <v>4038</v>
      </c>
      <c r="G295" s="7" t="s">
        <v>3998</v>
      </c>
      <c r="H295" s="7" t="n">
        <v>28</v>
      </c>
      <c r="I295" s="7" t="s">
        <v>18</v>
      </c>
      <c r="J295" s="7" t="s">
        <v>18</v>
      </c>
      <c r="K295" s="7" t="s">
        <v>6433</v>
      </c>
      <c r="L295" s="7" t="s">
        <v>6434</v>
      </c>
      <c r="M295" s="7" t="s">
        <v>6042</v>
      </c>
      <c r="N295" s="7"/>
      <c r="O295" s="7"/>
      <c r="P295" s="7" t="s">
        <v>5276</v>
      </c>
      <c r="Q295" s="7" t="s">
        <v>4448</v>
      </c>
      <c r="R295" s="7"/>
      <c r="S295" s="7"/>
      <c r="T295" s="7" t="n">
        <v>10</v>
      </c>
      <c r="U295" s="7" t="s">
        <v>6457</v>
      </c>
      <c r="V295" s="7" t="s">
        <v>5475</v>
      </c>
      <c r="W295" s="7" t="s">
        <v>6665</v>
      </c>
      <c r="X295" s="7" t="s">
        <v>6666</v>
      </c>
      <c r="Y295" s="7"/>
      <c r="Z295" s="7"/>
      <c r="AA295" s="7" t="s">
        <v>6438</v>
      </c>
      <c r="AB295" s="7" t="s">
        <v>6041</v>
      </c>
    </row>
    <row r="296" customFormat="false" ht="48" hidden="false" customHeight="true" outlineLevel="0" collapsed="false">
      <c r="A296" s="7" t="n">
        <v>293</v>
      </c>
      <c r="B296" s="7" t="n">
        <v>1544</v>
      </c>
      <c r="C296" s="7" t="s">
        <v>5586</v>
      </c>
      <c r="D296" s="7" t="s">
        <v>23</v>
      </c>
      <c r="E296" s="7" t="s">
        <v>3217</v>
      </c>
      <c r="F296" s="7" t="s">
        <v>4038</v>
      </c>
      <c r="G296" s="7" t="s">
        <v>3998</v>
      </c>
      <c r="H296" s="7" t="n">
        <v>10</v>
      </c>
      <c r="I296" s="7" t="s">
        <v>18</v>
      </c>
      <c r="J296" s="7" t="s">
        <v>18</v>
      </c>
      <c r="K296" s="7" t="s">
        <v>6433</v>
      </c>
      <c r="L296" s="7" t="s">
        <v>6434</v>
      </c>
      <c r="M296" s="7" t="s">
        <v>6042</v>
      </c>
      <c r="N296" s="7"/>
      <c r="O296" s="7"/>
      <c r="P296" s="7" t="s">
        <v>5268</v>
      </c>
      <c r="Q296" s="7" t="s">
        <v>4453</v>
      </c>
      <c r="R296" s="7"/>
      <c r="S296" s="7"/>
      <c r="T296" s="7" t="n">
        <v>5</v>
      </c>
      <c r="U296" s="7" t="s">
        <v>6457</v>
      </c>
      <c r="V296" s="7" t="s">
        <v>5475</v>
      </c>
      <c r="W296" s="7" t="s">
        <v>6667</v>
      </c>
      <c r="X296" s="7" t="s">
        <v>6668</v>
      </c>
      <c r="Y296" s="7"/>
      <c r="Z296" s="7"/>
      <c r="AA296" s="7" t="s">
        <v>6438</v>
      </c>
      <c r="AB296" s="7" t="s">
        <v>6041</v>
      </c>
    </row>
    <row r="297" customFormat="false" ht="48" hidden="false" customHeight="true" outlineLevel="0" collapsed="false">
      <c r="A297" s="7" t="n">
        <v>294</v>
      </c>
      <c r="B297" s="7" t="n">
        <v>2891</v>
      </c>
      <c r="C297" s="7" t="s">
        <v>5587</v>
      </c>
      <c r="D297" s="7" t="s">
        <v>31</v>
      </c>
      <c r="E297" s="7" t="s">
        <v>4003</v>
      </c>
      <c r="F297" s="7" t="s">
        <v>4010</v>
      </c>
      <c r="G297" s="7" t="s">
        <v>3998</v>
      </c>
      <c r="H297" s="7" t="n">
        <v>131</v>
      </c>
      <c r="I297" s="7" t="s">
        <v>18</v>
      </c>
      <c r="J297" s="7" t="s">
        <v>18</v>
      </c>
      <c r="K297" s="7" t="s">
        <v>6433</v>
      </c>
      <c r="L297" s="7" t="s">
        <v>6434</v>
      </c>
      <c r="M297" s="7" t="s">
        <v>6042</v>
      </c>
      <c r="N297" s="7"/>
      <c r="O297" s="7"/>
      <c r="P297" s="7" t="s">
        <v>5268</v>
      </c>
      <c r="Q297" s="7" t="s">
        <v>4457</v>
      </c>
      <c r="R297" s="7"/>
      <c r="S297" s="7"/>
      <c r="T297" s="7" t="n">
        <v>22</v>
      </c>
      <c r="U297" s="7" t="s">
        <v>6442</v>
      </c>
      <c r="V297" s="7" t="s">
        <v>5466</v>
      </c>
      <c r="W297" s="7" t="s">
        <v>6669</v>
      </c>
      <c r="X297" s="7" t="s">
        <v>6670</v>
      </c>
      <c r="Y297" s="7"/>
      <c r="Z297" s="7"/>
      <c r="AA297" s="7" t="s">
        <v>6438</v>
      </c>
      <c r="AB297" s="7" t="s">
        <v>6041</v>
      </c>
    </row>
    <row r="298" customFormat="false" ht="48" hidden="false" customHeight="true" outlineLevel="0" collapsed="false">
      <c r="A298" s="7" t="n">
        <v>295</v>
      </c>
      <c r="B298" s="7" t="n">
        <v>1523</v>
      </c>
      <c r="C298" s="7" t="s">
        <v>5588</v>
      </c>
      <c r="D298" s="7" t="s">
        <v>22</v>
      </c>
      <c r="E298" s="7" t="s">
        <v>3996</v>
      </c>
      <c r="F298" s="7" t="s">
        <v>3997</v>
      </c>
      <c r="G298" s="7" t="s">
        <v>3998</v>
      </c>
      <c r="H298" s="7" t="n">
        <v>149</v>
      </c>
      <c r="I298" s="7" t="s">
        <v>18</v>
      </c>
      <c r="J298" s="7" t="s">
        <v>18</v>
      </c>
      <c r="K298" s="7" t="s">
        <v>6433</v>
      </c>
      <c r="L298" s="7" t="s">
        <v>6434</v>
      </c>
      <c r="M298" s="7" t="s">
        <v>6047</v>
      </c>
      <c r="N298" s="7" t="s">
        <v>5272</v>
      </c>
      <c r="O298" s="7"/>
      <c r="P298" s="7" t="s">
        <v>5268</v>
      </c>
      <c r="Q298" s="7" t="s">
        <v>4461</v>
      </c>
      <c r="R298" s="7"/>
      <c r="S298" s="7"/>
      <c r="T298" s="7" t="n">
        <v>26</v>
      </c>
      <c r="U298" s="7" t="s">
        <v>6435</v>
      </c>
      <c r="V298" s="7" t="s">
        <v>5462</v>
      </c>
      <c r="W298" s="7" t="s">
        <v>6671</v>
      </c>
      <c r="X298" s="7" t="s">
        <v>6672</v>
      </c>
      <c r="Y298" s="7"/>
      <c r="Z298" s="7"/>
      <c r="AA298" s="7" t="s">
        <v>6438</v>
      </c>
      <c r="AB298" s="7" t="s">
        <v>6041</v>
      </c>
    </row>
    <row r="299" customFormat="false" ht="48" hidden="false" customHeight="true" outlineLevel="0" collapsed="false">
      <c r="A299" s="7" t="n">
        <v>296</v>
      </c>
      <c r="B299" s="7" t="n">
        <v>2048</v>
      </c>
      <c r="C299" s="7" t="s">
        <v>5589</v>
      </c>
      <c r="D299" s="7" t="s">
        <v>25</v>
      </c>
      <c r="E299" s="7" t="s">
        <v>4019</v>
      </c>
      <c r="F299" s="7" t="s">
        <v>4020</v>
      </c>
      <c r="G299" s="7" t="s">
        <v>4005</v>
      </c>
      <c r="H299" s="7" t="n">
        <v>107</v>
      </c>
      <c r="I299" s="7" t="s">
        <v>20</v>
      </c>
      <c r="J299" s="7" t="s">
        <v>28</v>
      </c>
      <c r="K299" s="7" t="s">
        <v>6433</v>
      </c>
      <c r="L299" s="7" t="s">
        <v>6434</v>
      </c>
      <c r="M299" s="7" t="s">
        <v>6047</v>
      </c>
      <c r="N299" s="7" t="s">
        <v>5272</v>
      </c>
      <c r="O299" s="7"/>
      <c r="P299" s="7" t="s">
        <v>5276</v>
      </c>
      <c r="Q299" s="7" t="s">
        <v>4463</v>
      </c>
      <c r="R299" s="7"/>
      <c r="S299" s="7"/>
      <c r="T299" s="7" t="n">
        <v>25</v>
      </c>
      <c r="U299" s="7" t="s">
        <v>6447</v>
      </c>
      <c r="V299" s="7" t="s">
        <v>5469</v>
      </c>
      <c r="W299" s="7" t="s">
        <v>6673</v>
      </c>
      <c r="X299" s="7" t="s">
        <v>6674</v>
      </c>
      <c r="Y299" s="7"/>
      <c r="Z299" s="7"/>
      <c r="AA299" s="7" t="s">
        <v>6438</v>
      </c>
      <c r="AB299" s="7" t="s">
        <v>6041</v>
      </c>
    </row>
    <row r="300" customFormat="false" ht="48" hidden="false" customHeight="true" outlineLevel="0" collapsed="false">
      <c r="A300" s="7" t="n">
        <v>297</v>
      </c>
      <c r="B300" s="7" t="n">
        <v>2151</v>
      </c>
      <c r="C300" s="7" t="s">
        <v>5590</v>
      </c>
      <c r="D300" s="7" t="s">
        <v>25</v>
      </c>
      <c r="E300" s="7" t="s">
        <v>4003</v>
      </c>
      <c r="F300" s="7" t="s">
        <v>4224</v>
      </c>
      <c r="G300" s="7" t="s">
        <v>3998</v>
      </c>
      <c r="H300" s="7" t="n">
        <v>100</v>
      </c>
      <c r="I300" s="7" t="s">
        <v>18</v>
      </c>
      <c r="J300" s="7" t="s">
        <v>18</v>
      </c>
      <c r="K300" s="7" t="s">
        <v>6433</v>
      </c>
      <c r="L300" s="7" t="s">
        <v>6434</v>
      </c>
      <c r="M300" s="7" t="s">
        <v>6042</v>
      </c>
      <c r="N300" s="7"/>
      <c r="O300" s="7"/>
      <c r="P300" s="7" t="s">
        <v>5271</v>
      </c>
      <c r="Q300" s="7" t="s">
        <v>4468</v>
      </c>
      <c r="R300" s="7"/>
      <c r="S300" s="7"/>
      <c r="T300" s="7" t="n">
        <v>19</v>
      </c>
      <c r="U300" s="7" t="s">
        <v>6550</v>
      </c>
      <c r="V300" s="7" t="s">
        <v>5527</v>
      </c>
      <c r="W300" s="7" t="s">
        <v>6675</v>
      </c>
      <c r="X300" s="7" t="s">
        <v>6676</v>
      </c>
      <c r="Y300" s="7"/>
      <c r="Z300" s="7"/>
      <c r="AA300" s="7" t="s">
        <v>6438</v>
      </c>
      <c r="AB300" s="7" t="s">
        <v>6041</v>
      </c>
    </row>
    <row r="301" customFormat="false" ht="48" hidden="false" customHeight="true" outlineLevel="0" collapsed="false">
      <c r="A301" s="7" t="n">
        <v>298</v>
      </c>
      <c r="B301" s="7" t="n">
        <v>2136</v>
      </c>
      <c r="C301" s="7" t="s">
        <v>5591</v>
      </c>
      <c r="D301" s="7" t="s">
        <v>25</v>
      </c>
      <c r="E301" s="7" t="s">
        <v>4003</v>
      </c>
      <c r="F301" s="7" t="s">
        <v>4224</v>
      </c>
      <c r="G301" s="7" t="s">
        <v>3998</v>
      </c>
      <c r="H301" s="7" t="n">
        <v>85</v>
      </c>
      <c r="I301" s="7" t="s">
        <v>18</v>
      </c>
      <c r="J301" s="7" t="s">
        <v>18</v>
      </c>
      <c r="K301" s="7" t="s">
        <v>6433</v>
      </c>
      <c r="L301" s="7" t="s">
        <v>6434</v>
      </c>
      <c r="M301" s="7" t="s">
        <v>6042</v>
      </c>
      <c r="N301" s="7"/>
      <c r="O301" s="7"/>
      <c r="P301" s="7" t="s">
        <v>5274</v>
      </c>
      <c r="Q301" s="7" t="s">
        <v>4470</v>
      </c>
      <c r="R301" s="7"/>
      <c r="S301" s="7"/>
      <c r="T301" s="7" t="n">
        <v>17</v>
      </c>
      <c r="U301" s="7" t="s">
        <v>6550</v>
      </c>
      <c r="V301" s="7" t="s">
        <v>5527</v>
      </c>
      <c r="W301" s="7" t="s">
        <v>6677</v>
      </c>
      <c r="X301" s="7" t="s">
        <v>6678</v>
      </c>
      <c r="Y301" s="7"/>
      <c r="Z301" s="7"/>
      <c r="AA301" s="7" t="s">
        <v>6438</v>
      </c>
      <c r="AB301" s="7" t="s">
        <v>6041</v>
      </c>
    </row>
    <row r="302" customFormat="false" ht="48" hidden="false" customHeight="true" outlineLevel="0" collapsed="false">
      <c r="A302" s="7" t="n">
        <v>299</v>
      </c>
      <c r="B302" s="7" t="n">
        <v>2170</v>
      </c>
      <c r="C302" s="7" t="s">
        <v>5592</v>
      </c>
      <c r="D302" s="7" t="s">
        <v>25</v>
      </c>
      <c r="E302" s="7" t="s">
        <v>3217</v>
      </c>
      <c r="F302" s="7" t="s">
        <v>4320</v>
      </c>
      <c r="G302" s="7" t="s">
        <v>3998</v>
      </c>
      <c r="H302" s="7" t="n">
        <v>9</v>
      </c>
      <c r="I302" s="7" t="s">
        <v>18</v>
      </c>
      <c r="J302" s="7" t="s">
        <v>18</v>
      </c>
      <c r="K302" s="7" t="s">
        <v>6433</v>
      </c>
      <c r="L302" s="7" t="s">
        <v>6434</v>
      </c>
      <c r="M302" s="7" t="s">
        <v>6042</v>
      </c>
      <c r="N302" s="7" t="s">
        <v>5471</v>
      </c>
      <c r="O302" s="7"/>
      <c r="P302" s="7" t="s">
        <v>5276</v>
      </c>
      <c r="Q302" s="7" t="s">
        <v>4475</v>
      </c>
      <c r="R302" s="7"/>
      <c r="S302" s="7"/>
      <c r="T302" s="7" t="n">
        <v>3</v>
      </c>
      <c r="U302" s="7" t="s">
        <v>6599</v>
      </c>
      <c r="V302" s="7" t="s">
        <v>5552</v>
      </c>
      <c r="W302" s="7" t="s">
        <v>6679</v>
      </c>
      <c r="X302" s="7" t="s">
        <v>6680</v>
      </c>
      <c r="Y302" s="7"/>
      <c r="Z302" s="7"/>
      <c r="AA302" s="7" t="s">
        <v>6452</v>
      </c>
      <c r="AB302" s="7" t="s">
        <v>6041</v>
      </c>
    </row>
    <row r="303" customFormat="false" ht="48" hidden="false" customHeight="true" outlineLevel="0" collapsed="false">
      <c r="A303" s="7" t="n">
        <v>300</v>
      </c>
      <c r="B303" s="7" t="n">
        <v>2871</v>
      </c>
      <c r="C303" s="7" t="s">
        <v>5593</v>
      </c>
      <c r="D303" s="7" t="s">
        <v>31</v>
      </c>
      <c r="E303" s="7" t="s">
        <v>4003</v>
      </c>
      <c r="F303" s="7" t="s">
        <v>4010</v>
      </c>
      <c r="G303" s="7" t="s">
        <v>3998</v>
      </c>
      <c r="H303" s="7" t="n">
        <v>111</v>
      </c>
      <c r="I303" s="7" t="s">
        <v>18</v>
      </c>
      <c r="J303" s="7" t="s">
        <v>18</v>
      </c>
      <c r="K303" s="7" t="s">
        <v>6433</v>
      </c>
      <c r="L303" s="7" t="s">
        <v>6434</v>
      </c>
      <c r="M303" s="7" t="s">
        <v>6047</v>
      </c>
      <c r="N303" s="7" t="s">
        <v>5272</v>
      </c>
      <c r="O303" s="7"/>
      <c r="P303" s="7" t="s">
        <v>5276</v>
      </c>
      <c r="Q303" s="7" t="s">
        <v>4479</v>
      </c>
      <c r="R303" s="7"/>
      <c r="S303" s="7"/>
      <c r="T303" s="7" t="n">
        <v>18</v>
      </c>
      <c r="U303" s="7" t="s">
        <v>6442</v>
      </c>
      <c r="V303" s="7" t="s">
        <v>5466</v>
      </c>
      <c r="W303" s="7" t="s">
        <v>6681</v>
      </c>
      <c r="X303" s="7" t="s">
        <v>6682</v>
      </c>
      <c r="Y303" s="7"/>
      <c r="Z303" s="7"/>
      <c r="AA303" s="7" t="s">
        <v>6438</v>
      </c>
      <c r="AB303" s="7" t="s">
        <v>6041</v>
      </c>
    </row>
    <row r="304" customFormat="false" ht="48" hidden="false" customHeight="true" outlineLevel="0" collapsed="false">
      <c r="A304" s="7" t="n">
        <v>301</v>
      </c>
      <c r="B304" s="7" t="n">
        <v>564</v>
      </c>
      <c r="C304" s="7" t="s">
        <v>5594</v>
      </c>
      <c r="D304" s="7" t="s">
        <v>17</v>
      </c>
      <c r="E304" s="7" t="s">
        <v>4058</v>
      </c>
      <c r="F304" s="7" t="s">
        <v>4084</v>
      </c>
      <c r="G304" s="7" t="s">
        <v>4005</v>
      </c>
      <c r="H304" s="7" t="n">
        <v>104</v>
      </c>
      <c r="I304" s="7" t="s">
        <v>20</v>
      </c>
      <c r="J304" s="7" t="s">
        <v>28</v>
      </c>
      <c r="K304" s="7" t="s">
        <v>6433</v>
      </c>
      <c r="L304" s="7" t="s">
        <v>6434</v>
      </c>
      <c r="M304" s="7" t="s">
        <v>6042</v>
      </c>
      <c r="N304" s="7"/>
      <c r="O304" s="7"/>
      <c r="P304" s="7" t="s">
        <v>5271</v>
      </c>
      <c r="Q304" s="7" t="s">
        <v>4484</v>
      </c>
      <c r="R304" s="7"/>
      <c r="S304" s="7"/>
      <c r="T304" s="7" t="n">
        <v>37</v>
      </c>
      <c r="U304" s="7" t="s">
        <v>6479</v>
      </c>
      <c r="V304" s="7" t="s">
        <v>5488</v>
      </c>
      <c r="W304" s="7" t="s">
        <v>6683</v>
      </c>
      <c r="X304" s="7" t="s">
        <v>6684</v>
      </c>
      <c r="Y304" s="7"/>
      <c r="Z304" s="7"/>
      <c r="AA304" s="7" t="s">
        <v>6438</v>
      </c>
      <c r="AB304" s="7" t="s">
        <v>6041</v>
      </c>
    </row>
    <row r="305" customFormat="false" ht="48" hidden="false" customHeight="true" outlineLevel="0" collapsed="false">
      <c r="A305" s="7" t="n">
        <v>302</v>
      </c>
      <c r="B305" s="7" t="n">
        <v>1265</v>
      </c>
      <c r="C305" s="7" t="s">
        <v>5595</v>
      </c>
      <c r="D305" s="7" t="s">
        <v>19</v>
      </c>
      <c r="E305" s="7" t="s">
        <v>4003</v>
      </c>
      <c r="F305" s="7" t="s">
        <v>4004</v>
      </c>
      <c r="G305" s="7" t="s">
        <v>4005</v>
      </c>
      <c r="H305" s="7" t="n">
        <v>155</v>
      </c>
      <c r="I305" s="7" t="s">
        <v>20</v>
      </c>
      <c r="J305" s="7" t="s">
        <v>28</v>
      </c>
      <c r="K305" s="7" t="s">
        <v>6433</v>
      </c>
      <c r="L305" s="7" t="s">
        <v>6434</v>
      </c>
      <c r="M305" s="7" t="s">
        <v>6042</v>
      </c>
      <c r="N305" s="7"/>
      <c r="O305" s="7"/>
      <c r="P305" s="7" t="s">
        <v>5274</v>
      </c>
      <c r="Q305" s="7" t="s">
        <v>4486</v>
      </c>
      <c r="R305" s="7"/>
      <c r="S305" s="7"/>
      <c r="T305" s="7" t="n">
        <v>35</v>
      </c>
      <c r="U305" s="7" t="s">
        <v>6439</v>
      </c>
      <c r="V305" s="7" t="s">
        <v>5464</v>
      </c>
      <c r="W305" s="7" t="s">
        <v>6685</v>
      </c>
      <c r="X305" s="7" t="s">
        <v>6686</v>
      </c>
      <c r="Y305" s="7"/>
      <c r="Z305" s="7"/>
      <c r="AA305" s="7" t="s">
        <v>6438</v>
      </c>
      <c r="AB305" s="7" t="s">
        <v>6041</v>
      </c>
    </row>
    <row r="306" customFormat="false" ht="48" hidden="false" customHeight="true" outlineLevel="0" collapsed="false">
      <c r="A306" s="7" t="n">
        <v>303</v>
      </c>
      <c r="B306" s="7" t="n">
        <v>1528</v>
      </c>
      <c r="C306" s="7" t="s">
        <v>5596</v>
      </c>
      <c r="D306" s="7" t="s">
        <v>22</v>
      </c>
      <c r="E306" s="7" t="s">
        <v>3996</v>
      </c>
      <c r="F306" s="7" t="s">
        <v>3997</v>
      </c>
      <c r="G306" s="7" t="s">
        <v>4005</v>
      </c>
      <c r="H306" s="7" t="n">
        <v>154</v>
      </c>
      <c r="I306" s="7" t="s">
        <v>20</v>
      </c>
      <c r="J306" s="7" t="s">
        <v>28</v>
      </c>
      <c r="K306" s="7" t="s">
        <v>6433</v>
      </c>
      <c r="L306" s="7" t="s">
        <v>6434</v>
      </c>
      <c r="M306" s="7" t="s">
        <v>6042</v>
      </c>
      <c r="N306" s="7"/>
      <c r="O306" s="7"/>
      <c r="P306" s="7" t="s">
        <v>5274</v>
      </c>
      <c r="Q306" s="7" t="s">
        <v>4490</v>
      </c>
      <c r="R306" s="7"/>
      <c r="S306" s="7"/>
      <c r="T306" s="7" t="n">
        <v>27</v>
      </c>
      <c r="U306" s="7" t="s">
        <v>6435</v>
      </c>
      <c r="V306" s="7" t="s">
        <v>5462</v>
      </c>
      <c r="W306" s="7" t="s">
        <v>6687</v>
      </c>
      <c r="X306" s="7" t="s">
        <v>6688</v>
      </c>
      <c r="Y306" s="7"/>
      <c r="Z306" s="7"/>
      <c r="AA306" s="7" t="s">
        <v>6438</v>
      </c>
      <c r="AB306" s="7" t="s">
        <v>6041</v>
      </c>
    </row>
    <row r="307" customFormat="false" ht="48" hidden="false" customHeight="true" outlineLevel="0" collapsed="false">
      <c r="A307" s="7" t="n">
        <v>304</v>
      </c>
      <c r="B307" s="7" t="n">
        <v>2721</v>
      </c>
      <c r="C307" s="7" t="s">
        <v>5597</v>
      </c>
      <c r="D307" s="7" t="s">
        <v>29</v>
      </c>
      <c r="E307" s="7" t="s">
        <v>3217</v>
      </c>
      <c r="F307" s="7" t="s">
        <v>3898</v>
      </c>
      <c r="G307" s="7" t="s">
        <v>4025</v>
      </c>
      <c r="H307" s="7" t="n">
        <v>72</v>
      </c>
      <c r="I307" s="7" t="s">
        <v>20</v>
      </c>
      <c r="J307" s="7" t="s">
        <v>33</v>
      </c>
      <c r="K307" s="7" t="s">
        <v>6433</v>
      </c>
      <c r="L307" s="7" t="s">
        <v>6434</v>
      </c>
      <c r="M307" s="7" t="s">
        <v>6042</v>
      </c>
      <c r="N307" s="7" t="s">
        <v>5471</v>
      </c>
      <c r="O307" s="7"/>
      <c r="P307" s="7" t="s">
        <v>5276</v>
      </c>
      <c r="Q307" s="7" t="s">
        <v>4495</v>
      </c>
      <c r="R307" s="7"/>
      <c r="S307" s="7"/>
      <c r="T307" s="7" t="n">
        <v>15</v>
      </c>
      <c r="U307" s="7" t="s">
        <v>6390</v>
      </c>
      <c r="V307" s="7" t="s">
        <v>5440</v>
      </c>
      <c r="W307" s="7" t="s">
        <v>6689</v>
      </c>
      <c r="X307" s="7" t="s">
        <v>6690</v>
      </c>
      <c r="Y307" s="7"/>
      <c r="Z307" s="7"/>
      <c r="AA307" s="7" t="s">
        <v>6452</v>
      </c>
      <c r="AB307" s="7" t="s">
        <v>6041</v>
      </c>
    </row>
    <row r="308" customFormat="false" ht="48" hidden="false" customHeight="true" outlineLevel="0" collapsed="false">
      <c r="A308" s="7" t="n">
        <v>305</v>
      </c>
      <c r="B308" s="7" t="n">
        <v>2790</v>
      </c>
      <c r="C308" s="7" t="s">
        <v>5598</v>
      </c>
      <c r="D308" s="7" t="s">
        <v>31</v>
      </c>
      <c r="E308" s="7" t="s">
        <v>4003</v>
      </c>
      <c r="F308" s="7" t="s">
        <v>4010</v>
      </c>
      <c r="G308" s="7" t="s">
        <v>3998</v>
      </c>
      <c r="H308" s="7" t="n">
        <v>30</v>
      </c>
      <c r="I308" s="7" t="s">
        <v>18</v>
      </c>
      <c r="J308" s="7" t="s">
        <v>18</v>
      </c>
      <c r="K308" s="7" t="s">
        <v>6433</v>
      </c>
      <c r="L308" s="7" t="s">
        <v>6434</v>
      </c>
      <c r="M308" s="7" t="s">
        <v>6042</v>
      </c>
      <c r="N308" s="7" t="s">
        <v>5471</v>
      </c>
      <c r="O308" s="7"/>
      <c r="P308" s="7" t="s">
        <v>5274</v>
      </c>
      <c r="Q308" s="7" t="s">
        <v>4498</v>
      </c>
      <c r="R308" s="7"/>
      <c r="S308" s="7"/>
      <c r="T308" s="7" t="n">
        <v>6</v>
      </c>
      <c r="U308" s="7" t="s">
        <v>6442</v>
      </c>
      <c r="V308" s="7" t="s">
        <v>5466</v>
      </c>
      <c r="W308" s="7" t="s">
        <v>6691</v>
      </c>
      <c r="X308" s="7" t="s">
        <v>6692</v>
      </c>
      <c r="Y308" s="7"/>
      <c r="Z308" s="7"/>
      <c r="AA308" s="7" t="s">
        <v>6452</v>
      </c>
      <c r="AB308" s="7" t="s">
        <v>6041</v>
      </c>
    </row>
    <row r="309" customFormat="false" ht="48" hidden="false" customHeight="true" outlineLevel="0" collapsed="false">
      <c r="A309" s="7" t="n">
        <v>306</v>
      </c>
      <c r="B309" s="7" t="n">
        <v>1108</v>
      </c>
      <c r="C309" s="7" t="s">
        <v>5599</v>
      </c>
      <c r="D309" s="7" t="s">
        <v>21</v>
      </c>
      <c r="E309" s="7" t="s">
        <v>3217</v>
      </c>
      <c r="F309" s="7" t="s">
        <v>4108</v>
      </c>
      <c r="G309" s="7" t="s">
        <v>4005</v>
      </c>
      <c r="H309" s="7" t="n">
        <v>103</v>
      </c>
      <c r="I309" s="7" t="s">
        <v>20</v>
      </c>
      <c r="J309" s="7" t="s">
        <v>28</v>
      </c>
      <c r="K309" s="7" t="s">
        <v>6433</v>
      </c>
      <c r="L309" s="7" t="s">
        <v>6434</v>
      </c>
      <c r="M309" s="7" t="s">
        <v>6042</v>
      </c>
      <c r="N309" s="7"/>
      <c r="O309" s="7"/>
      <c r="P309" s="7" t="s">
        <v>5271</v>
      </c>
      <c r="Q309" s="7" t="s">
        <v>4504</v>
      </c>
      <c r="R309" s="7"/>
      <c r="S309" s="7"/>
      <c r="T309" s="7" t="n">
        <v>18</v>
      </c>
      <c r="U309" s="7" t="s">
        <v>6492</v>
      </c>
      <c r="V309" s="7" t="s">
        <v>5496</v>
      </c>
      <c r="W309" s="7" t="s">
        <v>6693</v>
      </c>
      <c r="X309" s="7" t="s">
        <v>6694</v>
      </c>
      <c r="Y309" s="7"/>
      <c r="Z309" s="7"/>
      <c r="AA309" s="7" t="s">
        <v>6438</v>
      </c>
      <c r="AB309" s="7" t="s">
        <v>6041</v>
      </c>
    </row>
    <row r="310" customFormat="false" ht="48" hidden="false" customHeight="true" outlineLevel="0" collapsed="false">
      <c r="A310" s="7" t="n">
        <v>307</v>
      </c>
      <c r="B310" s="7" t="n">
        <v>1006</v>
      </c>
      <c r="C310" s="7" t="s">
        <v>5600</v>
      </c>
      <c r="D310" s="7" t="s">
        <v>21</v>
      </c>
      <c r="E310" s="7" t="s">
        <v>3217</v>
      </c>
      <c r="F310" s="7" t="s">
        <v>4108</v>
      </c>
      <c r="G310" s="7" t="s">
        <v>3998</v>
      </c>
      <c r="H310" s="7" t="n">
        <v>1</v>
      </c>
      <c r="I310" s="7" t="s">
        <v>18</v>
      </c>
      <c r="J310" s="7" t="s">
        <v>18</v>
      </c>
      <c r="K310" s="7" t="s">
        <v>6433</v>
      </c>
      <c r="L310" s="7" t="s">
        <v>6434</v>
      </c>
      <c r="M310" s="7" t="s">
        <v>6042</v>
      </c>
      <c r="N310" s="7"/>
      <c r="O310" s="7"/>
      <c r="P310" s="7" t="s">
        <v>5268</v>
      </c>
      <c r="Q310" s="7" t="s">
        <v>4509</v>
      </c>
      <c r="R310" s="7"/>
      <c r="S310" s="7"/>
      <c r="T310" s="7" t="n">
        <v>2</v>
      </c>
      <c r="U310" s="7" t="s">
        <v>6492</v>
      </c>
      <c r="V310" s="7" t="s">
        <v>5496</v>
      </c>
      <c r="W310" s="7" t="s">
        <v>6695</v>
      </c>
      <c r="X310" s="7" t="s">
        <v>6696</v>
      </c>
      <c r="Y310" s="7"/>
      <c r="Z310" s="7"/>
      <c r="AA310" s="7" t="s">
        <v>6438</v>
      </c>
      <c r="AB310" s="7" t="s">
        <v>6041</v>
      </c>
    </row>
    <row r="311" customFormat="false" ht="48" hidden="false" customHeight="true" outlineLevel="0" collapsed="false">
      <c r="A311" s="7" t="n">
        <v>308</v>
      </c>
      <c r="B311" s="7" t="n">
        <v>1266</v>
      </c>
      <c r="C311" s="7" t="s">
        <v>5601</v>
      </c>
      <c r="D311" s="7" t="s">
        <v>19</v>
      </c>
      <c r="E311" s="7" t="s">
        <v>4003</v>
      </c>
      <c r="F311" s="7" t="s">
        <v>4004</v>
      </c>
      <c r="G311" s="7" t="s">
        <v>4005</v>
      </c>
      <c r="H311" s="7" t="n">
        <v>156</v>
      </c>
      <c r="I311" s="7" t="s">
        <v>20</v>
      </c>
      <c r="J311" s="7" t="s">
        <v>28</v>
      </c>
      <c r="K311" s="7" t="s">
        <v>6433</v>
      </c>
      <c r="L311" s="7" t="s">
        <v>6434</v>
      </c>
      <c r="M311" s="7" t="s">
        <v>6047</v>
      </c>
      <c r="N311" s="7" t="s">
        <v>5272</v>
      </c>
      <c r="O311" s="7"/>
      <c r="P311" s="7" t="s">
        <v>5274</v>
      </c>
      <c r="Q311" s="7" t="s">
        <v>4510</v>
      </c>
      <c r="R311" s="7"/>
      <c r="S311" s="7"/>
      <c r="T311" s="7" t="n">
        <v>35</v>
      </c>
      <c r="U311" s="7" t="s">
        <v>6439</v>
      </c>
      <c r="V311" s="7" t="s">
        <v>5464</v>
      </c>
      <c r="W311" s="7" t="s">
        <v>6697</v>
      </c>
      <c r="X311" s="7" t="s">
        <v>6698</v>
      </c>
      <c r="Y311" s="7"/>
      <c r="Z311" s="7"/>
      <c r="AA311" s="7" t="s">
        <v>6438</v>
      </c>
      <c r="AB311" s="7" t="s">
        <v>6041</v>
      </c>
    </row>
    <row r="312" customFormat="false" ht="48" hidden="false" customHeight="true" outlineLevel="0" collapsed="false">
      <c r="A312" s="7" t="n">
        <v>309</v>
      </c>
      <c r="B312" s="7" t="n">
        <v>677</v>
      </c>
      <c r="C312" s="7" t="s">
        <v>5602</v>
      </c>
      <c r="D312" s="7" t="s">
        <v>17</v>
      </c>
      <c r="E312" s="7" t="s">
        <v>4044</v>
      </c>
      <c r="F312" s="7" t="s">
        <v>4045</v>
      </c>
      <c r="G312" s="7" t="s">
        <v>4005</v>
      </c>
      <c r="H312" s="7" t="n">
        <v>107</v>
      </c>
      <c r="I312" s="7" t="s">
        <v>20</v>
      </c>
      <c r="J312" s="7" t="s">
        <v>28</v>
      </c>
      <c r="K312" s="7" t="s">
        <v>6433</v>
      </c>
      <c r="L312" s="7" t="s">
        <v>6434</v>
      </c>
      <c r="M312" s="7" t="s">
        <v>6047</v>
      </c>
      <c r="N312" s="7" t="s">
        <v>5272</v>
      </c>
      <c r="O312" s="7"/>
      <c r="P312" s="7" t="s">
        <v>5271</v>
      </c>
      <c r="Q312" s="7" t="s">
        <v>4516</v>
      </c>
      <c r="R312" s="7"/>
      <c r="S312" s="7"/>
      <c r="T312" s="7" t="n">
        <v>21</v>
      </c>
      <c r="U312" s="7" t="s">
        <v>6460</v>
      </c>
      <c r="V312" s="7" t="s">
        <v>5477</v>
      </c>
      <c r="W312" s="7" t="s">
        <v>6699</v>
      </c>
      <c r="X312" s="7" t="s">
        <v>6700</v>
      </c>
      <c r="Y312" s="7"/>
      <c r="Z312" s="7"/>
      <c r="AA312" s="7" t="s">
        <v>6438</v>
      </c>
      <c r="AB312" s="7" t="s">
        <v>6041</v>
      </c>
    </row>
    <row r="313" customFormat="false" ht="48" hidden="false" customHeight="true" outlineLevel="0" collapsed="false">
      <c r="A313" s="7" t="n">
        <v>310</v>
      </c>
      <c r="B313" s="7" t="n">
        <v>962</v>
      </c>
      <c r="C313" s="7" t="s">
        <v>5603</v>
      </c>
      <c r="D313" s="7" t="s">
        <v>21</v>
      </c>
      <c r="E313" s="7" t="s">
        <v>4058</v>
      </c>
      <c r="F313" s="7" t="s">
        <v>4059</v>
      </c>
      <c r="G313" s="7" t="s">
        <v>3998</v>
      </c>
      <c r="H313" s="7" t="n">
        <v>62</v>
      </c>
      <c r="I313" s="7" t="s">
        <v>18</v>
      </c>
      <c r="J313" s="7" t="s">
        <v>18</v>
      </c>
      <c r="K313" s="7" t="s">
        <v>6433</v>
      </c>
      <c r="L313" s="7" t="s">
        <v>6434</v>
      </c>
      <c r="M313" s="7" t="s">
        <v>6047</v>
      </c>
      <c r="N313" s="7" t="s">
        <v>5272</v>
      </c>
      <c r="O313" s="7"/>
      <c r="P313" s="7" t="s">
        <v>5268</v>
      </c>
      <c r="Q313" s="7" t="s">
        <v>4521</v>
      </c>
      <c r="R313" s="7"/>
      <c r="S313" s="7"/>
      <c r="T313" s="7" t="n">
        <v>11</v>
      </c>
      <c r="U313" s="7" t="s">
        <v>6467</v>
      </c>
      <c r="V313" s="7" t="s">
        <v>5481</v>
      </c>
      <c r="W313" s="7" t="s">
        <v>6701</v>
      </c>
      <c r="X313" s="7" t="s">
        <v>6702</v>
      </c>
      <c r="Y313" s="7"/>
      <c r="Z313" s="7"/>
      <c r="AA313" s="7" t="s">
        <v>6438</v>
      </c>
      <c r="AB313" s="7" t="s">
        <v>6041</v>
      </c>
    </row>
    <row r="314" customFormat="false" ht="48" hidden="false" customHeight="true" outlineLevel="0" collapsed="false">
      <c r="A314" s="7" t="n">
        <v>311</v>
      </c>
      <c r="B314" s="7" t="n">
        <v>1451</v>
      </c>
      <c r="C314" s="7" t="s">
        <v>5604</v>
      </c>
      <c r="D314" s="7" t="s">
        <v>22</v>
      </c>
      <c r="E314" s="7" t="s">
        <v>3996</v>
      </c>
      <c r="F314" s="7" t="s">
        <v>3997</v>
      </c>
      <c r="G314" s="7" t="s">
        <v>3998</v>
      </c>
      <c r="H314" s="7" t="n">
        <v>77</v>
      </c>
      <c r="I314" s="7" t="s">
        <v>18</v>
      </c>
      <c r="J314" s="7" t="s">
        <v>18</v>
      </c>
      <c r="K314" s="7" t="s">
        <v>6433</v>
      </c>
      <c r="L314" s="7" t="s">
        <v>6434</v>
      </c>
      <c r="M314" s="7" t="s">
        <v>6042</v>
      </c>
      <c r="N314" s="7"/>
      <c r="O314" s="7"/>
      <c r="P314" s="7" t="s">
        <v>5276</v>
      </c>
      <c r="Q314" s="7" t="s">
        <v>4523</v>
      </c>
      <c r="R314" s="7"/>
      <c r="S314" s="7"/>
      <c r="T314" s="7" t="n">
        <v>15</v>
      </c>
      <c r="U314" s="7" t="s">
        <v>6435</v>
      </c>
      <c r="V314" s="7" t="s">
        <v>5462</v>
      </c>
      <c r="W314" s="7" t="s">
        <v>6703</v>
      </c>
      <c r="X314" s="7" t="s">
        <v>6704</v>
      </c>
      <c r="Y314" s="7"/>
      <c r="Z314" s="7"/>
      <c r="AA314" s="7" t="s">
        <v>6438</v>
      </c>
      <c r="AB314" s="7" t="s">
        <v>6041</v>
      </c>
    </row>
    <row r="315" customFormat="false" ht="48" hidden="false" customHeight="true" outlineLevel="0" collapsed="false">
      <c r="A315" s="7" t="n">
        <v>312</v>
      </c>
      <c r="B315" s="7" t="n">
        <v>1450</v>
      </c>
      <c r="C315" s="7" t="s">
        <v>5605</v>
      </c>
      <c r="D315" s="7" t="s">
        <v>22</v>
      </c>
      <c r="E315" s="7" t="s">
        <v>3996</v>
      </c>
      <c r="F315" s="7" t="s">
        <v>3997</v>
      </c>
      <c r="G315" s="7" t="s">
        <v>3998</v>
      </c>
      <c r="H315" s="7" t="n">
        <v>76</v>
      </c>
      <c r="I315" s="7" t="s">
        <v>18</v>
      </c>
      <c r="J315" s="7" t="s">
        <v>18</v>
      </c>
      <c r="K315" s="7" t="s">
        <v>6433</v>
      </c>
      <c r="L315" s="7" t="s">
        <v>6434</v>
      </c>
      <c r="M315" s="7" t="s">
        <v>6042</v>
      </c>
      <c r="N315" s="7"/>
      <c r="O315" s="7"/>
      <c r="P315" s="7" t="s">
        <v>5274</v>
      </c>
      <c r="Q315" s="7" t="s">
        <v>4526</v>
      </c>
      <c r="R315" s="7"/>
      <c r="S315" s="7"/>
      <c r="T315" s="7" t="n">
        <v>15</v>
      </c>
      <c r="U315" s="7" t="s">
        <v>6435</v>
      </c>
      <c r="V315" s="7" t="s">
        <v>5462</v>
      </c>
      <c r="W315" s="7" t="s">
        <v>6705</v>
      </c>
      <c r="X315" s="7" t="s">
        <v>6706</v>
      </c>
      <c r="Y315" s="7"/>
      <c r="Z315" s="7"/>
      <c r="AA315" s="7" t="s">
        <v>6438</v>
      </c>
      <c r="AB315" s="7" t="s">
        <v>6041</v>
      </c>
    </row>
    <row r="316" customFormat="false" ht="48" hidden="false" customHeight="true" outlineLevel="0" collapsed="false">
      <c r="A316" s="7" t="n">
        <v>313</v>
      </c>
      <c r="B316" s="7" t="n">
        <v>2811</v>
      </c>
      <c r="C316" s="7" t="s">
        <v>5606</v>
      </c>
      <c r="D316" s="7" t="s">
        <v>31</v>
      </c>
      <c r="E316" s="7" t="s">
        <v>4003</v>
      </c>
      <c r="F316" s="7" t="s">
        <v>4010</v>
      </c>
      <c r="G316" s="7" t="s">
        <v>3998</v>
      </c>
      <c r="H316" s="7" t="n">
        <v>51</v>
      </c>
      <c r="I316" s="7" t="s">
        <v>18</v>
      </c>
      <c r="J316" s="7" t="s">
        <v>18</v>
      </c>
      <c r="K316" s="7" t="s">
        <v>6433</v>
      </c>
      <c r="L316" s="7" t="s">
        <v>6434</v>
      </c>
      <c r="M316" s="7" t="s">
        <v>6047</v>
      </c>
      <c r="N316" s="7" t="s">
        <v>5272</v>
      </c>
      <c r="O316" s="7"/>
      <c r="P316" s="7" t="s">
        <v>5268</v>
      </c>
      <c r="Q316" s="7" t="s">
        <v>4533</v>
      </c>
      <c r="R316" s="7"/>
      <c r="S316" s="7"/>
      <c r="T316" s="7" t="n">
        <v>10</v>
      </c>
      <c r="U316" s="7" t="s">
        <v>6442</v>
      </c>
      <c r="V316" s="7" t="s">
        <v>5466</v>
      </c>
      <c r="W316" s="7" t="s">
        <v>6707</v>
      </c>
      <c r="X316" s="7" t="s">
        <v>6708</v>
      </c>
      <c r="Y316" s="7"/>
      <c r="Z316" s="7"/>
      <c r="AA316" s="7" t="s">
        <v>6438</v>
      </c>
      <c r="AB316" s="7" t="s">
        <v>6041</v>
      </c>
    </row>
    <row r="317" customFormat="false" ht="48" hidden="false" customHeight="true" outlineLevel="0" collapsed="false">
      <c r="A317" s="7" t="n">
        <v>314</v>
      </c>
      <c r="B317" s="7" t="n">
        <v>1532</v>
      </c>
      <c r="C317" s="7" t="s">
        <v>5607</v>
      </c>
      <c r="D317" s="7" t="s">
        <v>22</v>
      </c>
      <c r="E317" s="7" t="s">
        <v>3996</v>
      </c>
      <c r="F317" s="7" t="s">
        <v>3997</v>
      </c>
      <c r="G317" s="7" t="s">
        <v>4005</v>
      </c>
      <c r="H317" s="7" t="n">
        <v>158</v>
      </c>
      <c r="I317" s="7" t="s">
        <v>20</v>
      </c>
      <c r="J317" s="7" t="s">
        <v>28</v>
      </c>
      <c r="K317" s="7" t="s">
        <v>6433</v>
      </c>
      <c r="L317" s="7" t="s">
        <v>6434</v>
      </c>
      <c r="M317" s="7" t="s">
        <v>6047</v>
      </c>
      <c r="N317" s="7" t="s">
        <v>5272</v>
      </c>
      <c r="O317" s="7"/>
      <c r="P317" s="7" t="s">
        <v>5268</v>
      </c>
      <c r="Q317" s="7" t="s">
        <v>4537</v>
      </c>
      <c r="R317" s="7"/>
      <c r="S317" s="7"/>
      <c r="T317" s="7" t="n">
        <v>28</v>
      </c>
      <c r="U317" s="7" t="s">
        <v>6435</v>
      </c>
      <c r="V317" s="7" t="s">
        <v>5462</v>
      </c>
      <c r="W317" s="7" t="s">
        <v>6709</v>
      </c>
      <c r="X317" s="7" t="s">
        <v>6710</v>
      </c>
      <c r="Y317" s="7"/>
      <c r="Z317" s="7"/>
      <c r="AA317" s="7" t="s">
        <v>6438</v>
      </c>
      <c r="AB317" s="7" t="s">
        <v>6041</v>
      </c>
    </row>
    <row r="318" customFormat="false" ht="48" hidden="false" customHeight="true" outlineLevel="0" collapsed="false">
      <c r="A318" s="7" t="n">
        <v>315</v>
      </c>
      <c r="B318" s="7" t="n">
        <v>2848</v>
      </c>
      <c r="C318" s="7" t="s">
        <v>5608</v>
      </c>
      <c r="D318" s="7" t="s">
        <v>31</v>
      </c>
      <c r="E318" s="7" t="s">
        <v>4003</v>
      </c>
      <c r="F318" s="7" t="s">
        <v>4010</v>
      </c>
      <c r="G318" s="7" t="s">
        <v>3998</v>
      </c>
      <c r="H318" s="7" t="n">
        <v>88</v>
      </c>
      <c r="I318" s="7" t="s">
        <v>18</v>
      </c>
      <c r="J318" s="7" t="s">
        <v>18</v>
      </c>
      <c r="K318" s="7" t="s">
        <v>6433</v>
      </c>
      <c r="L318" s="7" t="s">
        <v>6434</v>
      </c>
      <c r="M318" s="7" t="s">
        <v>6047</v>
      </c>
      <c r="N318" s="7" t="s">
        <v>5272</v>
      </c>
      <c r="O318" s="7"/>
      <c r="P318" s="7" t="s">
        <v>5274</v>
      </c>
      <c r="Q318" s="7" t="s">
        <v>4538</v>
      </c>
      <c r="R318" s="7"/>
      <c r="S318" s="7"/>
      <c r="T318" s="7" t="n">
        <v>15</v>
      </c>
      <c r="U318" s="7" t="s">
        <v>6442</v>
      </c>
      <c r="V318" s="7" t="s">
        <v>5466</v>
      </c>
      <c r="W318" s="7" t="s">
        <v>6711</v>
      </c>
      <c r="X318" s="7" t="s">
        <v>6712</v>
      </c>
      <c r="Y318" s="7"/>
      <c r="Z318" s="7"/>
      <c r="AA318" s="7" t="s">
        <v>6438</v>
      </c>
      <c r="AB318" s="7" t="s">
        <v>6041</v>
      </c>
    </row>
    <row r="319" customFormat="false" ht="48" hidden="false" customHeight="true" outlineLevel="0" collapsed="false">
      <c r="A319" s="7" t="n">
        <v>316</v>
      </c>
      <c r="B319" s="7" t="n">
        <v>604</v>
      </c>
      <c r="C319" s="7" t="s">
        <v>5609</v>
      </c>
      <c r="D319" s="7" t="s">
        <v>17</v>
      </c>
      <c r="E319" s="7" t="s">
        <v>4044</v>
      </c>
      <c r="F319" s="7" t="s">
        <v>4045</v>
      </c>
      <c r="G319" s="7" t="s">
        <v>3998</v>
      </c>
      <c r="H319" s="7" t="n">
        <v>34</v>
      </c>
      <c r="I319" s="7" t="s">
        <v>18</v>
      </c>
      <c r="J319" s="7" t="s">
        <v>18</v>
      </c>
      <c r="K319" s="7" t="s">
        <v>6433</v>
      </c>
      <c r="L319" s="7" t="s">
        <v>6434</v>
      </c>
      <c r="M319" s="7" t="s">
        <v>6042</v>
      </c>
      <c r="N319" s="7"/>
      <c r="O319" s="7"/>
      <c r="P319" s="7" t="s">
        <v>5274</v>
      </c>
      <c r="Q319" s="7" t="s">
        <v>4542</v>
      </c>
      <c r="R319" s="7"/>
      <c r="S319" s="7"/>
      <c r="T319" s="7" t="n">
        <v>8</v>
      </c>
      <c r="U319" s="7" t="s">
        <v>6460</v>
      </c>
      <c r="V319" s="7" t="s">
        <v>5477</v>
      </c>
      <c r="W319" s="7" t="s">
        <v>6713</v>
      </c>
      <c r="X319" s="7" t="s">
        <v>6714</v>
      </c>
      <c r="Y319" s="7"/>
      <c r="Z319" s="7"/>
      <c r="AA319" s="7" t="s">
        <v>6438</v>
      </c>
      <c r="AB319" s="7" t="s">
        <v>6041</v>
      </c>
    </row>
    <row r="320" customFormat="false" ht="48" hidden="false" customHeight="true" outlineLevel="0" collapsed="false">
      <c r="A320" s="7" t="n">
        <v>317</v>
      </c>
      <c r="B320" s="7" t="n">
        <v>1418</v>
      </c>
      <c r="C320" s="7" t="s">
        <v>5610</v>
      </c>
      <c r="D320" s="7" t="s">
        <v>22</v>
      </c>
      <c r="E320" s="7" t="s">
        <v>3996</v>
      </c>
      <c r="F320" s="7" t="s">
        <v>3997</v>
      </c>
      <c r="G320" s="7" t="s">
        <v>3998</v>
      </c>
      <c r="H320" s="7" t="n">
        <v>44</v>
      </c>
      <c r="I320" s="7" t="s">
        <v>18</v>
      </c>
      <c r="J320" s="7" t="s">
        <v>18</v>
      </c>
      <c r="K320" s="7" t="s">
        <v>6433</v>
      </c>
      <c r="L320" s="7" t="s">
        <v>6434</v>
      </c>
      <c r="M320" s="7" t="s">
        <v>6047</v>
      </c>
      <c r="N320" s="7" t="s">
        <v>5272</v>
      </c>
      <c r="O320" s="7"/>
      <c r="P320" s="7" t="s">
        <v>5268</v>
      </c>
      <c r="Q320" s="7" t="s">
        <v>4549</v>
      </c>
      <c r="R320" s="7"/>
      <c r="S320" s="7"/>
      <c r="T320" s="7" t="n">
        <v>9</v>
      </c>
      <c r="U320" s="7" t="s">
        <v>6435</v>
      </c>
      <c r="V320" s="7" t="s">
        <v>5462</v>
      </c>
      <c r="W320" s="7" t="s">
        <v>6715</v>
      </c>
      <c r="X320" s="7" t="s">
        <v>6716</v>
      </c>
      <c r="Y320" s="7"/>
      <c r="Z320" s="7"/>
      <c r="AA320" s="7" t="s">
        <v>6438</v>
      </c>
      <c r="AB320" s="7" t="s">
        <v>6041</v>
      </c>
    </row>
    <row r="321" customFormat="false" ht="48" hidden="false" customHeight="true" outlineLevel="0" collapsed="false">
      <c r="A321" s="7" t="n">
        <v>318</v>
      </c>
      <c r="B321" s="7" t="n">
        <v>1106</v>
      </c>
      <c r="C321" s="7" t="s">
        <v>5611</v>
      </c>
      <c r="D321" s="7" t="s">
        <v>21</v>
      </c>
      <c r="E321" s="7" t="s">
        <v>3217</v>
      </c>
      <c r="F321" s="7" t="s">
        <v>4108</v>
      </c>
      <c r="G321" s="7" t="s">
        <v>4005</v>
      </c>
      <c r="H321" s="7" t="n">
        <v>101</v>
      </c>
      <c r="I321" s="7" t="s">
        <v>20</v>
      </c>
      <c r="J321" s="7" t="s">
        <v>28</v>
      </c>
      <c r="K321" s="7" t="s">
        <v>6433</v>
      </c>
      <c r="L321" s="7" t="s">
        <v>6434</v>
      </c>
      <c r="M321" s="7" t="s">
        <v>6042</v>
      </c>
      <c r="N321" s="7"/>
      <c r="O321" s="7"/>
      <c r="P321" s="7" t="s">
        <v>5271</v>
      </c>
      <c r="Q321" s="7" t="s">
        <v>4552</v>
      </c>
      <c r="R321" s="7"/>
      <c r="S321" s="7"/>
      <c r="T321" s="7" t="n">
        <v>18</v>
      </c>
      <c r="U321" s="7" t="s">
        <v>6492</v>
      </c>
      <c r="V321" s="7" t="s">
        <v>5496</v>
      </c>
      <c r="W321" s="7" t="s">
        <v>6717</v>
      </c>
      <c r="X321" s="7" t="s">
        <v>6718</v>
      </c>
      <c r="Y321" s="7"/>
      <c r="Z321" s="7"/>
      <c r="AA321" s="7" t="s">
        <v>6438</v>
      </c>
      <c r="AB321" s="7" t="s">
        <v>6041</v>
      </c>
    </row>
    <row r="322" customFormat="false" ht="48" hidden="false" customHeight="true" outlineLevel="0" collapsed="false">
      <c r="A322" s="7" t="n">
        <v>319</v>
      </c>
      <c r="B322" s="7" t="n">
        <v>1426</v>
      </c>
      <c r="C322" s="7" t="s">
        <v>5612</v>
      </c>
      <c r="D322" s="7" t="s">
        <v>22</v>
      </c>
      <c r="E322" s="7" t="s">
        <v>3996</v>
      </c>
      <c r="F322" s="7" t="s">
        <v>3997</v>
      </c>
      <c r="G322" s="7" t="s">
        <v>3998</v>
      </c>
      <c r="H322" s="7" t="n">
        <v>52</v>
      </c>
      <c r="I322" s="7" t="s">
        <v>18</v>
      </c>
      <c r="J322" s="7" t="s">
        <v>18</v>
      </c>
      <c r="K322" s="7" t="s">
        <v>6433</v>
      </c>
      <c r="L322" s="7" t="s">
        <v>6434</v>
      </c>
      <c r="M322" s="7" t="s">
        <v>6047</v>
      </c>
      <c r="N322" s="7" t="s">
        <v>5272</v>
      </c>
      <c r="O322" s="7"/>
      <c r="P322" s="7" t="s">
        <v>5276</v>
      </c>
      <c r="Q322" s="7" t="s">
        <v>4555</v>
      </c>
      <c r="R322" s="7"/>
      <c r="S322" s="7"/>
      <c r="T322" s="7" t="n">
        <v>11</v>
      </c>
      <c r="U322" s="7" t="s">
        <v>6435</v>
      </c>
      <c r="V322" s="7" t="s">
        <v>5462</v>
      </c>
      <c r="W322" s="7" t="s">
        <v>6719</v>
      </c>
      <c r="X322" s="7" t="s">
        <v>6720</v>
      </c>
      <c r="Y322" s="7"/>
      <c r="Z322" s="7"/>
      <c r="AA322" s="7" t="s">
        <v>6438</v>
      </c>
      <c r="AB322" s="7" t="s">
        <v>6041</v>
      </c>
    </row>
    <row r="323" customFormat="false" ht="48" hidden="false" customHeight="true" outlineLevel="0" collapsed="false">
      <c r="A323" s="7" t="n">
        <v>320</v>
      </c>
      <c r="B323" s="7" t="n">
        <v>1606</v>
      </c>
      <c r="C323" s="7" t="s">
        <v>5613</v>
      </c>
      <c r="D323" s="7" t="s">
        <v>23</v>
      </c>
      <c r="E323" s="7" t="s">
        <v>3217</v>
      </c>
      <c r="F323" s="7" t="s">
        <v>4038</v>
      </c>
      <c r="G323" s="7" t="s">
        <v>4039</v>
      </c>
      <c r="H323" s="7" t="n">
        <v>72</v>
      </c>
      <c r="I323" s="7" t="s">
        <v>18</v>
      </c>
      <c r="J323" s="7" t="s">
        <v>18</v>
      </c>
      <c r="K323" s="7" t="s">
        <v>6433</v>
      </c>
      <c r="L323" s="7" t="s">
        <v>6434</v>
      </c>
      <c r="M323" s="7" t="s">
        <v>6042</v>
      </c>
      <c r="N323" s="7"/>
      <c r="O323" s="7"/>
      <c r="P323" s="7" t="s">
        <v>5268</v>
      </c>
      <c r="Q323" s="7" t="s">
        <v>4561</v>
      </c>
      <c r="R323" s="7"/>
      <c r="S323" s="7"/>
      <c r="T323" s="7" t="n">
        <v>21</v>
      </c>
      <c r="U323" s="7" t="s">
        <v>6457</v>
      </c>
      <c r="V323" s="7" t="s">
        <v>5475</v>
      </c>
      <c r="W323" s="7" t="s">
        <v>6721</v>
      </c>
      <c r="X323" s="7" t="s">
        <v>6722</v>
      </c>
      <c r="Y323" s="7"/>
      <c r="Z323" s="7"/>
      <c r="AA323" s="7" t="s">
        <v>6438</v>
      </c>
      <c r="AB323" s="7" t="s">
        <v>6041</v>
      </c>
    </row>
    <row r="324" customFormat="false" ht="48" hidden="false" customHeight="true" outlineLevel="0" collapsed="false">
      <c r="A324" s="7" t="n">
        <v>321</v>
      </c>
      <c r="B324" s="7" t="n">
        <v>2265</v>
      </c>
      <c r="C324" s="7" t="s">
        <v>5614</v>
      </c>
      <c r="D324" s="7" t="s">
        <v>25</v>
      </c>
      <c r="E324" s="7" t="s">
        <v>3217</v>
      </c>
      <c r="F324" s="7" t="s">
        <v>4320</v>
      </c>
      <c r="G324" s="7" t="s">
        <v>4005</v>
      </c>
      <c r="H324" s="7" t="n">
        <v>104</v>
      </c>
      <c r="I324" s="7" t="s">
        <v>20</v>
      </c>
      <c r="J324" s="7" t="s">
        <v>28</v>
      </c>
      <c r="K324" s="7" t="s">
        <v>6433</v>
      </c>
      <c r="L324" s="7" t="s">
        <v>6434</v>
      </c>
      <c r="M324" s="7" t="s">
        <v>6042</v>
      </c>
      <c r="N324" s="7" t="s">
        <v>5471</v>
      </c>
      <c r="O324" s="7"/>
      <c r="P324" s="7" t="s">
        <v>5268</v>
      </c>
      <c r="Q324" s="7" t="s">
        <v>4476</v>
      </c>
      <c r="R324" s="7"/>
      <c r="S324" s="7"/>
      <c r="T324" s="7" t="n">
        <v>21</v>
      </c>
      <c r="U324" s="7" t="s">
        <v>6599</v>
      </c>
      <c r="V324" s="7" t="s">
        <v>5552</v>
      </c>
      <c r="W324" s="7" t="s">
        <v>6723</v>
      </c>
      <c r="X324" s="7" t="s">
        <v>6724</v>
      </c>
      <c r="Y324" s="7"/>
      <c r="Z324" s="7"/>
      <c r="AA324" s="7" t="s">
        <v>6452</v>
      </c>
      <c r="AB324" s="7" t="s">
        <v>6041</v>
      </c>
    </row>
    <row r="325" customFormat="false" ht="48" hidden="false" customHeight="true" outlineLevel="0" collapsed="false">
      <c r="A325" s="7" t="n">
        <v>322</v>
      </c>
      <c r="B325" s="7" t="n">
        <v>1416</v>
      </c>
      <c r="C325" s="7" t="s">
        <v>5615</v>
      </c>
      <c r="D325" s="7" t="s">
        <v>22</v>
      </c>
      <c r="E325" s="7" t="s">
        <v>3996</v>
      </c>
      <c r="F325" s="7" t="s">
        <v>3997</v>
      </c>
      <c r="G325" s="7" t="s">
        <v>3998</v>
      </c>
      <c r="H325" s="7" t="n">
        <v>42</v>
      </c>
      <c r="I325" s="7" t="s">
        <v>18</v>
      </c>
      <c r="J325" s="7" t="s">
        <v>18</v>
      </c>
      <c r="K325" s="7" t="s">
        <v>6433</v>
      </c>
      <c r="L325" s="7" t="s">
        <v>6434</v>
      </c>
      <c r="M325" s="7" t="s">
        <v>6047</v>
      </c>
      <c r="N325" s="7" t="s">
        <v>5495</v>
      </c>
      <c r="O325" s="7"/>
      <c r="P325" s="7" t="s">
        <v>5276</v>
      </c>
      <c r="Q325" s="7" t="s">
        <v>4564</v>
      </c>
      <c r="R325" s="7"/>
      <c r="S325" s="7"/>
      <c r="T325" s="7" t="n">
        <v>9</v>
      </c>
      <c r="U325" s="7" t="s">
        <v>6435</v>
      </c>
      <c r="V325" s="7" t="s">
        <v>5462</v>
      </c>
      <c r="W325" s="7" t="s">
        <v>6725</v>
      </c>
      <c r="X325" s="7" t="s">
        <v>6726</v>
      </c>
      <c r="Y325" s="7"/>
      <c r="Z325" s="7"/>
      <c r="AA325" s="7" t="s">
        <v>6452</v>
      </c>
      <c r="AB325" s="7" t="s">
        <v>6041</v>
      </c>
    </row>
    <row r="326" customFormat="false" ht="48" hidden="false" customHeight="true" outlineLevel="0" collapsed="false">
      <c r="A326" s="7" t="n">
        <v>323</v>
      </c>
      <c r="B326" s="7" t="n">
        <v>213</v>
      </c>
      <c r="C326" s="7" t="s">
        <v>5616</v>
      </c>
      <c r="D326" s="7" t="s">
        <v>15</v>
      </c>
      <c r="E326" s="7" t="s">
        <v>3996</v>
      </c>
      <c r="F326" s="7" t="s">
        <v>4030</v>
      </c>
      <c r="G326" s="7" t="s">
        <v>4302</v>
      </c>
      <c r="H326" s="7" t="n">
        <v>59</v>
      </c>
      <c r="I326" s="7" t="s">
        <v>20</v>
      </c>
      <c r="J326" s="7" t="s">
        <v>30</v>
      </c>
      <c r="K326" s="7" t="s">
        <v>6433</v>
      </c>
      <c r="L326" s="7" t="s">
        <v>6434</v>
      </c>
      <c r="M326" s="7" t="s">
        <v>6047</v>
      </c>
      <c r="N326" s="7" t="s">
        <v>5272</v>
      </c>
      <c r="O326" s="7"/>
      <c r="P326" s="7" t="s">
        <v>5268</v>
      </c>
      <c r="Q326" s="7" t="s">
        <v>4570</v>
      </c>
      <c r="R326" s="7"/>
      <c r="S326" s="7"/>
      <c r="T326" s="7" t="n">
        <v>15</v>
      </c>
      <c r="U326" s="7" t="s">
        <v>6453</v>
      </c>
      <c r="V326" s="7" t="s">
        <v>5473</v>
      </c>
      <c r="W326" s="7" t="s">
        <v>6727</v>
      </c>
      <c r="X326" s="7" t="s">
        <v>6728</v>
      </c>
      <c r="Y326" s="7"/>
      <c r="Z326" s="7"/>
      <c r="AA326" s="7" t="s">
        <v>6438</v>
      </c>
      <c r="AB326" s="7" t="s">
        <v>6041</v>
      </c>
    </row>
    <row r="327" customFormat="false" ht="48" hidden="false" customHeight="true" outlineLevel="0" collapsed="false">
      <c r="A327" s="7" t="n">
        <v>324</v>
      </c>
      <c r="B327" s="7" t="n">
        <v>2159</v>
      </c>
      <c r="C327" s="7" t="s">
        <v>5617</v>
      </c>
      <c r="D327" s="7" t="s">
        <v>25</v>
      </c>
      <c r="E327" s="7" t="s">
        <v>4003</v>
      </c>
      <c r="F327" s="7" t="s">
        <v>4224</v>
      </c>
      <c r="G327" s="7" t="s">
        <v>4005</v>
      </c>
      <c r="H327" s="7" t="n">
        <v>108</v>
      </c>
      <c r="I327" s="7" t="s">
        <v>20</v>
      </c>
      <c r="J327" s="7" t="s">
        <v>28</v>
      </c>
      <c r="K327" s="7" t="s">
        <v>6433</v>
      </c>
      <c r="L327" s="7" t="s">
        <v>6434</v>
      </c>
      <c r="M327" s="7" t="s">
        <v>6042</v>
      </c>
      <c r="N327" s="7"/>
      <c r="O327" s="7"/>
      <c r="P327" s="7" t="s">
        <v>5274</v>
      </c>
      <c r="Q327" s="7" t="s">
        <v>4571</v>
      </c>
      <c r="R327" s="7"/>
      <c r="S327" s="7"/>
      <c r="T327" s="7" t="n">
        <v>21</v>
      </c>
      <c r="U327" s="7" t="s">
        <v>6550</v>
      </c>
      <c r="V327" s="7" t="s">
        <v>5527</v>
      </c>
      <c r="W327" s="7" t="s">
        <v>6729</v>
      </c>
      <c r="X327" s="7" t="s">
        <v>6730</v>
      </c>
      <c r="Y327" s="7"/>
      <c r="Z327" s="7"/>
      <c r="AA327" s="7" t="s">
        <v>6438</v>
      </c>
      <c r="AB327" s="7" t="s">
        <v>6041</v>
      </c>
    </row>
    <row r="328" customFormat="false" ht="48" hidden="false" customHeight="true" outlineLevel="0" collapsed="false">
      <c r="A328" s="7" t="n">
        <v>325</v>
      </c>
      <c r="B328" s="7" t="n">
        <v>1595</v>
      </c>
      <c r="C328" s="7" t="s">
        <v>5618</v>
      </c>
      <c r="D328" s="7" t="s">
        <v>23</v>
      </c>
      <c r="E328" s="7" t="s">
        <v>3217</v>
      </c>
      <c r="F328" s="7" t="s">
        <v>4038</v>
      </c>
      <c r="G328" s="7" t="s">
        <v>4039</v>
      </c>
      <c r="H328" s="7" t="n">
        <v>61</v>
      </c>
      <c r="I328" s="7" t="s">
        <v>18</v>
      </c>
      <c r="J328" s="7" t="s">
        <v>18</v>
      </c>
      <c r="K328" s="7" t="s">
        <v>6433</v>
      </c>
      <c r="L328" s="7" t="s">
        <v>6434</v>
      </c>
      <c r="M328" s="7" t="s">
        <v>6042</v>
      </c>
      <c r="N328" s="7"/>
      <c r="O328" s="7"/>
      <c r="P328" s="7" t="s">
        <v>5271</v>
      </c>
      <c r="Q328" s="7" t="s">
        <v>4577</v>
      </c>
      <c r="R328" s="7"/>
      <c r="S328" s="7"/>
      <c r="T328" s="7" t="n">
        <v>19</v>
      </c>
      <c r="U328" s="7" t="s">
        <v>6457</v>
      </c>
      <c r="V328" s="7" t="s">
        <v>5475</v>
      </c>
      <c r="W328" s="7" t="s">
        <v>6731</v>
      </c>
      <c r="X328" s="7" t="s">
        <v>6732</v>
      </c>
      <c r="Y328" s="7"/>
      <c r="Z328" s="7"/>
      <c r="AA328" s="7" t="s">
        <v>6438</v>
      </c>
      <c r="AB328" s="7" t="s">
        <v>6041</v>
      </c>
    </row>
    <row r="329" customFormat="false" ht="48" hidden="false" customHeight="true" outlineLevel="0" collapsed="false">
      <c r="A329" s="7" t="n">
        <v>326</v>
      </c>
      <c r="B329" s="7" t="n">
        <v>185</v>
      </c>
      <c r="C329" s="7" t="s">
        <v>5619</v>
      </c>
      <c r="D329" s="7" t="s">
        <v>15</v>
      </c>
      <c r="E329" s="7" t="s">
        <v>3996</v>
      </c>
      <c r="F329" s="7" t="s">
        <v>4030</v>
      </c>
      <c r="G329" s="7" t="s">
        <v>4302</v>
      </c>
      <c r="H329" s="7" t="n">
        <v>31</v>
      </c>
      <c r="I329" s="7" t="s">
        <v>20</v>
      </c>
      <c r="J329" s="7" t="s">
        <v>30</v>
      </c>
      <c r="K329" s="7" t="s">
        <v>6433</v>
      </c>
      <c r="L329" s="7" t="s">
        <v>6434</v>
      </c>
      <c r="M329" s="7" t="s">
        <v>6042</v>
      </c>
      <c r="N329" s="7"/>
      <c r="O329" s="7"/>
      <c r="P329" s="7" t="s">
        <v>5271</v>
      </c>
      <c r="Q329" s="7" t="s">
        <v>4581</v>
      </c>
      <c r="R329" s="7"/>
      <c r="S329" s="7"/>
      <c r="T329" s="7" t="n">
        <v>9</v>
      </c>
      <c r="U329" s="7" t="s">
        <v>6453</v>
      </c>
      <c r="V329" s="7" t="s">
        <v>5473</v>
      </c>
      <c r="W329" s="7" t="s">
        <v>6733</v>
      </c>
      <c r="X329" s="7" t="s">
        <v>6734</v>
      </c>
      <c r="Y329" s="7"/>
      <c r="Z329" s="7"/>
      <c r="AA329" s="7" t="s">
        <v>6438</v>
      </c>
      <c r="AB329" s="7" t="s">
        <v>6041</v>
      </c>
    </row>
    <row r="330" customFormat="false" ht="48" hidden="false" customHeight="true" outlineLevel="0" collapsed="false">
      <c r="A330" s="7" t="n">
        <v>327</v>
      </c>
      <c r="B330" s="7" t="n">
        <v>266</v>
      </c>
      <c r="C330" s="7" t="s">
        <v>5620</v>
      </c>
      <c r="D330" s="7" t="s">
        <v>15</v>
      </c>
      <c r="E330" s="7" t="s">
        <v>3996</v>
      </c>
      <c r="F330" s="7" t="s">
        <v>4030</v>
      </c>
      <c r="G330" s="7" t="s">
        <v>4031</v>
      </c>
      <c r="H330" s="7" t="n">
        <v>112</v>
      </c>
      <c r="I330" s="7" t="s">
        <v>20</v>
      </c>
      <c r="J330" s="7" t="s">
        <v>32</v>
      </c>
      <c r="K330" s="7" t="s">
        <v>6433</v>
      </c>
      <c r="L330" s="7" t="s">
        <v>6434</v>
      </c>
      <c r="M330" s="7" t="s">
        <v>6042</v>
      </c>
      <c r="N330" s="7"/>
      <c r="O330" s="7"/>
      <c r="P330" s="7" t="s">
        <v>5268</v>
      </c>
      <c r="Q330" s="7" t="s">
        <v>4587</v>
      </c>
      <c r="R330" s="7" t="s">
        <v>4588</v>
      </c>
      <c r="S330" s="7"/>
      <c r="T330" s="7" t="n">
        <v>28</v>
      </c>
      <c r="U330" s="7" t="s">
        <v>6453</v>
      </c>
      <c r="V330" s="7" t="s">
        <v>5473</v>
      </c>
      <c r="W330" s="7" t="s">
        <v>6735</v>
      </c>
      <c r="X330" s="7" t="s">
        <v>6736</v>
      </c>
      <c r="Y330" s="7"/>
      <c r="Z330" s="7" t="s">
        <v>4588</v>
      </c>
      <c r="AA330" s="7" t="s">
        <v>6456</v>
      </c>
      <c r="AB330" s="7" t="s">
        <v>6041</v>
      </c>
    </row>
    <row r="331" customFormat="false" ht="48" hidden="false" customHeight="true" outlineLevel="0" collapsed="false">
      <c r="A331" s="7" t="n">
        <v>328</v>
      </c>
      <c r="B331" s="7" t="n">
        <v>1049</v>
      </c>
      <c r="C331" s="7" t="s">
        <v>5621</v>
      </c>
      <c r="D331" s="7" t="s">
        <v>21</v>
      </c>
      <c r="E331" s="7" t="s">
        <v>3217</v>
      </c>
      <c r="F331" s="7" t="s">
        <v>4108</v>
      </c>
      <c r="G331" s="7" t="s">
        <v>3998</v>
      </c>
      <c r="H331" s="7" t="n">
        <v>44</v>
      </c>
      <c r="I331" s="7" t="s">
        <v>18</v>
      </c>
      <c r="J331" s="7" t="s">
        <v>18</v>
      </c>
      <c r="K331" s="7" t="s">
        <v>6433</v>
      </c>
      <c r="L331" s="7" t="s">
        <v>6434</v>
      </c>
      <c r="M331" s="7" t="s">
        <v>6047</v>
      </c>
      <c r="N331" s="7" t="s">
        <v>5272</v>
      </c>
      <c r="O331" s="7"/>
      <c r="P331" s="7" t="s">
        <v>5274</v>
      </c>
      <c r="Q331" s="7" t="s">
        <v>4589</v>
      </c>
      <c r="R331" s="7"/>
      <c r="S331" s="7"/>
      <c r="T331" s="7" t="n">
        <v>9</v>
      </c>
      <c r="U331" s="7" t="s">
        <v>6492</v>
      </c>
      <c r="V331" s="7" t="s">
        <v>5496</v>
      </c>
      <c r="W331" s="7" t="s">
        <v>6737</v>
      </c>
      <c r="X331" s="7" t="s">
        <v>6738</v>
      </c>
      <c r="Y331" s="7"/>
      <c r="Z331" s="7"/>
      <c r="AA331" s="7" t="s">
        <v>6438</v>
      </c>
      <c r="AB331" s="7" t="s">
        <v>6041</v>
      </c>
    </row>
    <row r="332" customFormat="false" ht="48" hidden="false" customHeight="true" outlineLevel="0" collapsed="false">
      <c r="A332" s="7" t="n">
        <v>329</v>
      </c>
      <c r="B332" s="7" t="n">
        <v>442</v>
      </c>
      <c r="C332" s="7" t="s">
        <v>5622</v>
      </c>
      <c r="D332" s="7" t="s">
        <v>15</v>
      </c>
      <c r="E332" s="7" t="s">
        <v>3217</v>
      </c>
      <c r="F332" s="7" t="s">
        <v>4143</v>
      </c>
      <c r="G332" s="7" t="s">
        <v>4031</v>
      </c>
      <c r="H332" s="7" t="n">
        <v>135</v>
      </c>
      <c r="I332" s="7" t="s">
        <v>20</v>
      </c>
      <c r="J332" s="7" t="s">
        <v>32</v>
      </c>
      <c r="K332" s="7" t="s">
        <v>6433</v>
      </c>
      <c r="L332" s="7" t="s">
        <v>6434</v>
      </c>
      <c r="M332" s="7" t="s">
        <v>6042</v>
      </c>
      <c r="N332" s="7"/>
      <c r="O332" s="7"/>
      <c r="P332" s="7" t="s">
        <v>5276</v>
      </c>
      <c r="Q332" s="7" t="s">
        <v>4595</v>
      </c>
      <c r="R332" s="7" t="s">
        <v>4598</v>
      </c>
      <c r="S332" s="7"/>
      <c r="T332" s="7" t="n">
        <v>38</v>
      </c>
      <c r="U332" s="7" t="s">
        <v>6511</v>
      </c>
      <c r="V332" s="7" t="s">
        <v>5507</v>
      </c>
      <c r="W332" s="7" t="s">
        <v>6739</v>
      </c>
      <c r="X332" s="7" t="s">
        <v>6740</v>
      </c>
      <c r="Y332" s="7"/>
      <c r="Z332" s="7" t="s">
        <v>4598</v>
      </c>
      <c r="AA332" s="7" t="s">
        <v>6456</v>
      </c>
      <c r="AB332" s="7" t="s">
        <v>6041</v>
      </c>
    </row>
    <row r="333" customFormat="false" ht="48" hidden="false" customHeight="true" outlineLevel="0" collapsed="false">
      <c r="A333" s="7" t="n">
        <v>330</v>
      </c>
      <c r="B333" s="7" t="n">
        <v>1109</v>
      </c>
      <c r="C333" s="7" t="s">
        <v>5623</v>
      </c>
      <c r="D333" s="7" t="s">
        <v>21</v>
      </c>
      <c r="E333" s="7" t="s">
        <v>3217</v>
      </c>
      <c r="F333" s="7" t="s">
        <v>4108</v>
      </c>
      <c r="G333" s="7" t="s">
        <v>4005</v>
      </c>
      <c r="H333" s="7" t="n">
        <v>104</v>
      </c>
      <c r="I333" s="7" t="s">
        <v>20</v>
      </c>
      <c r="J333" s="7" t="s">
        <v>28</v>
      </c>
      <c r="K333" s="7" t="s">
        <v>6433</v>
      </c>
      <c r="L333" s="7" t="s">
        <v>6434</v>
      </c>
      <c r="M333" s="7" t="s">
        <v>6042</v>
      </c>
      <c r="N333" s="7"/>
      <c r="O333" s="7"/>
      <c r="P333" s="7" t="s">
        <v>5268</v>
      </c>
      <c r="Q333" s="7" t="s">
        <v>4602</v>
      </c>
      <c r="R333" s="7"/>
      <c r="S333" s="7"/>
      <c r="T333" s="7" t="n">
        <v>18</v>
      </c>
      <c r="U333" s="7" t="s">
        <v>6492</v>
      </c>
      <c r="V333" s="7" t="s">
        <v>5496</v>
      </c>
      <c r="W333" s="7" t="s">
        <v>6741</v>
      </c>
      <c r="X333" s="7" t="s">
        <v>6742</v>
      </c>
      <c r="Y333" s="7"/>
      <c r="Z333" s="7"/>
      <c r="AA333" s="7" t="s">
        <v>6438</v>
      </c>
      <c r="AB333" s="7" t="s">
        <v>6041</v>
      </c>
    </row>
    <row r="334" customFormat="false" ht="48" hidden="false" customHeight="true" outlineLevel="0" collapsed="false">
      <c r="A334" s="7" t="n">
        <v>331</v>
      </c>
      <c r="B334" s="7" t="n">
        <v>1539</v>
      </c>
      <c r="C334" s="7" t="s">
        <v>5624</v>
      </c>
      <c r="D334" s="7" t="s">
        <v>23</v>
      </c>
      <c r="E334" s="7" t="s">
        <v>3217</v>
      </c>
      <c r="F334" s="7" t="s">
        <v>4038</v>
      </c>
      <c r="G334" s="7" t="s">
        <v>3998</v>
      </c>
      <c r="H334" s="7" t="n">
        <v>5</v>
      </c>
      <c r="I334" s="7" t="s">
        <v>18</v>
      </c>
      <c r="J334" s="7" t="s">
        <v>18</v>
      </c>
      <c r="K334" s="7" t="s">
        <v>6433</v>
      </c>
      <c r="L334" s="7" t="s">
        <v>6434</v>
      </c>
      <c r="M334" s="7" t="s">
        <v>6042</v>
      </c>
      <c r="N334" s="7"/>
      <c r="O334" s="7"/>
      <c r="P334" s="7" t="s">
        <v>5274</v>
      </c>
      <c r="Q334" s="7" t="s">
        <v>4603</v>
      </c>
      <c r="R334" s="7"/>
      <c r="S334" s="7"/>
      <c r="T334" s="7" t="n">
        <v>4</v>
      </c>
      <c r="U334" s="7" t="s">
        <v>6457</v>
      </c>
      <c r="V334" s="7" t="s">
        <v>5475</v>
      </c>
      <c r="W334" s="7" t="s">
        <v>6743</v>
      </c>
      <c r="X334" s="7" t="s">
        <v>6744</v>
      </c>
      <c r="Y334" s="7"/>
      <c r="Z334" s="7"/>
      <c r="AA334" s="7" t="s">
        <v>6438</v>
      </c>
      <c r="AB334" s="7" t="s">
        <v>6041</v>
      </c>
    </row>
    <row r="335" customFormat="false" ht="48" hidden="false" customHeight="true" outlineLevel="0" collapsed="false">
      <c r="A335" s="7" t="n">
        <v>332</v>
      </c>
      <c r="B335" s="7" t="n">
        <v>2161</v>
      </c>
      <c r="C335" s="7" t="s">
        <v>5625</v>
      </c>
      <c r="D335" s="7" t="s">
        <v>25</v>
      </c>
      <c r="E335" s="7" t="s">
        <v>4003</v>
      </c>
      <c r="F335" s="7" t="s">
        <v>4224</v>
      </c>
      <c r="G335" s="7" t="s">
        <v>4005</v>
      </c>
      <c r="H335" s="7" t="n">
        <v>110</v>
      </c>
      <c r="I335" s="7" t="s">
        <v>20</v>
      </c>
      <c r="J335" s="7" t="s">
        <v>28</v>
      </c>
      <c r="K335" s="7" t="s">
        <v>6433</v>
      </c>
      <c r="L335" s="7" t="s">
        <v>6434</v>
      </c>
      <c r="M335" s="7" t="s">
        <v>6047</v>
      </c>
      <c r="N335" s="7" t="s">
        <v>5272</v>
      </c>
      <c r="O335" s="7"/>
      <c r="P335" s="7" t="s">
        <v>5268</v>
      </c>
      <c r="Q335" s="7" t="s">
        <v>4610</v>
      </c>
      <c r="R335" s="7"/>
      <c r="S335" s="7"/>
      <c r="T335" s="7" t="n">
        <v>21</v>
      </c>
      <c r="U335" s="7" t="s">
        <v>6550</v>
      </c>
      <c r="V335" s="7" t="s">
        <v>5527</v>
      </c>
      <c r="W335" s="7" t="s">
        <v>6745</v>
      </c>
      <c r="X335" s="7" t="s">
        <v>6746</v>
      </c>
      <c r="Y335" s="7"/>
      <c r="Z335" s="7"/>
      <c r="AA335" s="7" t="s">
        <v>6438</v>
      </c>
      <c r="AB335" s="7" t="s">
        <v>6041</v>
      </c>
    </row>
    <row r="336" customFormat="false" ht="48" hidden="false" customHeight="true" outlineLevel="0" collapsed="false">
      <c r="A336" s="7" t="n">
        <v>333</v>
      </c>
      <c r="B336" s="7" t="n">
        <v>2815</v>
      </c>
      <c r="C336" s="7" t="s">
        <v>5626</v>
      </c>
      <c r="D336" s="7" t="s">
        <v>31</v>
      </c>
      <c r="E336" s="7" t="s">
        <v>4003</v>
      </c>
      <c r="F336" s="7" t="s">
        <v>4010</v>
      </c>
      <c r="G336" s="7" t="s">
        <v>3998</v>
      </c>
      <c r="H336" s="7" t="n">
        <v>55</v>
      </c>
      <c r="I336" s="7" t="s">
        <v>18</v>
      </c>
      <c r="J336" s="7" t="s">
        <v>18</v>
      </c>
      <c r="K336" s="7" t="s">
        <v>6433</v>
      </c>
      <c r="L336" s="7" t="s">
        <v>6434</v>
      </c>
      <c r="M336" s="7" t="s">
        <v>6047</v>
      </c>
      <c r="N336" s="7" t="s">
        <v>5272</v>
      </c>
      <c r="O336" s="7"/>
      <c r="P336" s="7" t="s">
        <v>5271</v>
      </c>
      <c r="Q336" s="7" t="s">
        <v>4613</v>
      </c>
      <c r="R336" s="7"/>
      <c r="S336" s="7"/>
      <c r="T336" s="7" t="n">
        <v>10</v>
      </c>
      <c r="U336" s="7" t="s">
        <v>6442</v>
      </c>
      <c r="V336" s="7" t="s">
        <v>5466</v>
      </c>
      <c r="W336" s="7" t="s">
        <v>6747</v>
      </c>
      <c r="X336" s="7" t="s">
        <v>6748</v>
      </c>
      <c r="Y336" s="7"/>
      <c r="Z336" s="7"/>
      <c r="AA336" s="7" t="s">
        <v>6438</v>
      </c>
      <c r="AB336" s="7" t="s">
        <v>6041</v>
      </c>
    </row>
    <row r="337" customFormat="false" ht="48" hidden="false" customHeight="true" outlineLevel="0" collapsed="false">
      <c r="A337" s="7" t="n">
        <v>334</v>
      </c>
      <c r="B337" s="7" t="n">
        <v>2046</v>
      </c>
      <c r="C337" s="7" t="s">
        <v>5627</v>
      </c>
      <c r="D337" s="7" t="s">
        <v>25</v>
      </c>
      <c r="E337" s="7" t="s">
        <v>4019</v>
      </c>
      <c r="F337" s="7" t="s">
        <v>4020</v>
      </c>
      <c r="G337" s="7" t="s">
        <v>4005</v>
      </c>
      <c r="H337" s="7" t="n">
        <v>105</v>
      </c>
      <c r="I337" s="7" t="s">
        <v>20</v>
      </c>
      <c r="J337" s="7" t="s">
        <v>28</v>
      </c>
      <c r="K337" s="7" t="s">
        <v>6433</v>
      </c>
      <c r="L337" s="7" t="s">
        <v>6434</v>
      </c>
      <c r="M337" s="7" t="s">
        <v>6042</v>
      </c>
      <c r="N337" s="7"/>
      <c r="O337" s="7"/>
      <c r="P337" s="7" t="s">
        <v>5268</v>
      </c>
      <c r="Q337" s="7" t="s">
        <v>4617</v>
      </c>
      <c r="R337" s="7"/>
      <c r="S337" s="7"/>
      <c r="T337" s="7" t="n">
        <v>24</v>
      </c>
      <c r="U337" s="7" t="s">
        <v>6447</v>
      </c>
      <c r="V337" s="7" t="s">
        <v>5469</v>
      </c>
      <c r="W337" s="7" t="s">
        <v>6749</v>
      </c>
      <c r="X337" s="7" t="s">
        <v>6750</v>
      </c>
      <c r="Y337" s="7"/>
      <c r="Z337" s="7"/>
      <c r="AA337" s="7" t="s">
        <v>6438</v>
      </c>
      <c r="AB337" s="7" t="s">
        <v>6041</v>
      </c>
    </row>
    <row r="338" customFormat="false" ht="48" hidden="false" customHeight="true" outlineLevel="0" collapsed="false">
      <c r="A338" s="7" t="n">
        <v>335</v>
      </c>
      <c r="B338" s="7" t="n">
        <v>273</v>
      </c>
      <c r="C338" s="7" t="s">
        <v>5628</v>
      </c>
      <c r="D338" s="7" t="s">
        <v>15</v>
      </c>
      <c r="E338" s="7" t="s">
        <v>3996</v>
      </c>
      <c r="F338" s="7" t="s">
        <v>4030</v>
      </c>
      <c r="G338" s="7" t="s">
        <v>4031</v>
      </c>
      <c r="H338" s="7" t="n">
        <v>119</v>
      </c>
      <c r="I338" s="7" t="s">
        <v>20</v>
      </c>
      <c r="J338" s="7" t="s">
        <v>32</v>
      </c>
      <c r="K338" s="7" t="s">
        <v>6433</v>
      </c>
      <c r="L338" s="7" t="s">
        <v>6434</v>
      </c>
      <c r="M338" s="7" t="s">
        <v>6042</v>
      </c>
      <c r="N338" s="7"/>
      <c r="O338" s="7"/>
      <c r="P338" s="7" t="s">
        <v>5268</v>
      </c>
      <c r="Q338" s="7" t="s">
        <v>4622</v>
      </c>
      <c r="R338" s="7" t="s">
        <v>4623</v>
      </c>
      <c r="S338" s="7"/>
      <c r="T338" s="7" t="n">
        <v>31</v>
      </c>
      <c r="U338" s="7" t="s">
        <v>6453</v>
      </c>
      <c r="V338" s="7" t="s">
        <v>5473</v>
      </c>
      <c r="W338" s="7" t="s">
        <v>6751</v>
      </c>
      <c r="X338" s="7" t="s">
        <v>6752</v>
      </c>
      <c r="Y338" s="7"/>
      <c r="Z338" s="7" t="s">
        <v>4623</v>
      </c>
      <c r="AA338" s="7" t="s">
        <v>6456</v>
      </c>
      <c r="AB338" s="7" t="s">
        <v>6041</v>
      </c>
    </row>
    <row r="339" customFormat="false" ht="48" hidden="false" customHeight="true" outlineLevel="0" collapsed="false">
      <c r="A339" s="7" t="n">
        <v>336</v>
      </c>
      <c r="B339" s="7" t="n">
        <v>2822</v>
      </c>
      <c r="C339" s="7" t="s">
        <v>5629</v>
      </c>
      <c r="D339" s="7" t="s">
        <v>31</v>
      </c>
      <c r="E339" s="7" t="s">
        <v>4003</v>
      </c>
      <c r="F339" s="7" t="s">
        <v>4010</v>
      </c>
      <c r="G339" s="7" t="s">
        <v>3998</v>
      </c>
      <c r="H339" s="7" t="n">
        <v>62</v>
      </c>
      <c r="I339" s="7" t="s">
        <v>18</v>
      </c>
      <c r="J339" s="7" t="s">
        <v>18</v>
      </c>
      <c r="K339" s="7" t="s">
        <v>6433</v>
      </c>
      <c r="L339" s="7" t="s">
        <v>6434</v>
      </c>
      <c r="M339" s="7" t="s">
        <v>6047</v>
      </c>
      <c r="N339" s="7" t="s">
        <v>5272</v>
      </c>
      <c r="O339" s="7"/>
      <c r="P339" s="7" t="s">
        <v>5276</v>
      </c>
      <c r="Q339" s="7" t="s">
        <v>4625</v>
      </c>
      <c r="R339" s="7"/>
      <c r="S339" s="7"/>
      <c r="T339" s="7" t="n">
        <v>11</v>
      </c>
      <c r="U339" s="7" t="s">
        <v>6442</v>
      </c>
      <c r="V339" s="7" t="s">
        <v>5466</v>
      </c>
      <c r="W339" s="7" t="s">
        <v>6753</v>
      </c>
      <c r="X339" s="7" t="s">
        <v>6754</v>
      </c>
      <c r="Y339" s="7"/>
      <c r="Z339" s="7"/>
      <c r="AA339" s="7" t="s">
        <v>6438</v>
      </c>
      <c r="AB339" s="7" t="s">
        <v>6041</v>
      </c>
    </row>
    <row r="340" customFormat="false" ht="48" hidden="false" customHeight="true" outlineLevel="0" collapsed="false">
      <c r="A340" s="7" t="n">
        <v>337</v>
      </c>
      <c r="B340" s="7" t="n">
        <v>2573</v>
      </c>
      <c r="C340" s="7" t="s">
        <v>5630</v>
      </c>
      <c r="D340" s="7" t="s">
        <v>27</v>
      </c>
      <c r="E340" s="7" t="s">
        <v>4129</v>
      </c>
      <c r="F340" s="7" t="s">
        <v>4130</v>
      </c>
      <c r="G340" s="7" t="s">
        <v>3998</v>
      </c>
      <c r="H340" s="7" t="n">
        <v>24</v>
      </c>
      <c r="I340" s="7" t="s">
        <v>18</v>
      </c>
      <c r="J340" s="7" t="s">
        <v>18</v>
      </c>
      <c r="K340" s="7" t="s">
        <v>6433</v>
      </c>
      <c r="L340" s="7" t="s">
        <v>6434</v>
      </c>
      <c r="M340" s="7" t="s">
        <v>6042</v>
      </c>
      <c r="N340" s="7"/>
      <c r="O340" s="7"/>
      <c r="P340" s="7" t="s">
        <v>5274</v>
      </c>
      <c r="Q340" s="7" t="s">
        <v>4628</v>
      </c>
      <c r="R340" s="7"/>
      <c r="S340" s="7"/>
      <c r="T340" s="7" t="n">
        <v>7</v>
      </c>
      <c r="U340" s="7" t="s">
        <v>6503</v>
      </c>
      <c r="V340" s="7" t="s">
        <v>5502</v>
      </c>
      <c r="W340" s="7" t="s">
        <v>6755</v>
      </c>
      <c r="X340" s="7" t="s">
        <v>6756</v>
      </c>
      <c r="Y340" s="7"/>
      <c r="Z340" s="7"/>
      <c r="AA340" s="7" t="s">
        <v>6438</v>
      </c>
      <c r="AB340" s="7" t="s">
        <v>6041</v>
      </c>
    </row>
    <row r="341" customFormat="false" ht="48" hidden="false" customHeight="true" outlineLevel="0" collapsed="false">
      <c r="A341" s="7" t="n">
        <v>338</v>
      </c>
      <c r="B341" s="7" t="n">
        <v>2158</v>
      </c>
      <c r="C341" s="7" t="s">
        <v>5631</v>
      </c>
      <c r="D341" s="7" t="s">
        <v>25</v>
      </c>
      <c r="E341" s="7" t="s">
        <v>4003</v>
      </c>
      <c r="F341" s="7" t="s">
        <v>4224</v>
      </c>
      <c r="G341" s="7" t="s">
        <v>4005</v>
      </c>
      <c r="H341" s="7" t="n">
        <v>107</v>
      </c>
      <c r="I341" s="7" t="s">
        <v>20</v>
      </c>
      <c r="J341" s="7" t="s">
        <v>28</v>
      </c>
      <c r="K341" s="7" t="s">
        <v>6433</v>
      </c>
      <c r="L341" s="7" t="s">
        <v>6434</v>
      </c>
      <c r="M341" s="7" t="s">
        <v>6047</v>
      </c>
      <c r="N341" s="7" t="s">
        <v>5272</v>
      </c>
      <c r="O341" s="7"/>
      <c r="P341" s="7" t="s">
        <v>5268</v>
      </c>
      <c r="Q341" s="7" t="s">
        <v>4635</v>
      </c>
      <c r="R341" s="7"/>
      <c r="S341" s="7"/>
      <c r="T341" s="7" t="n">
        <v>21</v>
      </c>
      <c r="U341" s="7" t="s">
        <v>6550</v>
      </c>
      <c r="V341" s="7" t="s">
        <v>5527</v>
      </c>
      <c r="W341" s="7" t="s">
        <v>6757</v>
      </c>
      <c r="X341" s="7" t="s">
        <v>6758</v>
      </c>
      <c r="Y341" s="7"/>
      <c r="Z341" s="7"/>
      <c r="AA341" s="7" t="s">
        <v>6438</v>
      </c>
      <c r="AB341" s="7" t="s">
        <v>6041</v>
      </c>
    </row>
    <row r="342" customFormat="false" ht="48" hidden="false" customHeight="true" outlineLevel="0" collapsed="false">
      <c r="A342" s="7" t="n">
        <v>339</v>
      </c>
      <c r="B342" s="7" t="n">
        <v>2788</v>
      </c>
      <c r="C342" s="7" t="s">
        <v>5632</v>
      </c>
      <c r="D342" s="7" t="s">
        <v>31</v>
      </c>
      <c r="E342" s="7" t="s">
        <v>4003</v>
      </c>
      <c r="F342" s="7" t="s">
        <v>4010</v>
      </c>
      <c r="G342" s="7" t="s">
        <v>3998</v>
      </c>
      <c r="H342" s="7" t="n">
        <v>28</v>
      </c>
      <c r="I342" s="7" t="s">
        <v>18</v>
      </c>
      <c r="J342" s="7" t="s">
        <v>18</v>
      </c>
      <c r="K342" s="7" t="s">
        <v>6433</v>
      </c>
      <c r="L342" s="7" t="s">
        <v>6434</v>
      </c>
      <c r="M342" s="7" t="s">
        <v>6047</v>
      </c>
      <c r="N342" s="7" t="s">
        <v>5272</v>
      </c>
      <c r="O342" s="7"/>
      <c r="P342" s="7" t="s">
        <v>5276</v>
      </c>
      <c r="Q342" s="7" t="s">
        <v>4637</v>
      </c>
      <c r="R342" s="7"/>
      <c r="S342" s="7"/>
      <c r="T342" s="7" t="n">
        <v>6</v>
      </c>
      <c r="U342" s="7" t="s">
        <v>6442</v>
      </c>
      <c r="V342" s="7" t="s">
        <v>5466</v>
      </c>
      <c r="W342" s="7" t="s">
        <v>6759</v>
      </c>
      <c r="X342" s="7" t="s">
        <v>6760</v>
      </c>
      <c r="Y342" s="7"/>
      <c r="Z342" s="7"/>
      <c r="AA342" s="7" t="s">
        <v>6438</v>
      </c>
      <c r="AB342" s="7" t="s">
        <v>6041</v>
      </c>
    </row>
    <row r="343" customFormat="false" ht="48" hidden="false" customHeight="true" outlineLevel="0" collapsed="false">
      <c r="A343" s="7" t="n">
        <v>340</v>
      </c>
      <c r="B343" s="7" t="n">
        <v>1370</v>
      </c>
      <c r="C343" s="7" t="s">
        <v>5633</v>
      </c>
      <c r="D343" s="7" t="s">
        <v>19</v>
      </c>
      <c r="E343" s="7" t="s">
        <v>3217</v>
      </c>
      <c r="F343" s="7" t="s">
        <v>4139</v>
      </c>
      <c r="G343" s="7" t="s">
        <v>4071</v>
      </c>
      <c r="H343" s="7" t="n">
        <v>95</v>
      </c>
      <c r="I343" s="7" t="s">
        <v>20</v>
      </c>
      <c r="J343" s="7" t="s">
        <v>28</v>
      </c>
      <c r="K343" s="7" t="s">
        <v>6433</v>
      </c>
      <c r="L343" s="7" t="s">
        <v>6434</v>
      </c>
      <c r="M343" s="7" t="s">
        <v>6042</v>
      </c>
      <c r="N343" s="7"/>
      <c r="O343" s="7"/>
      <c r="P343" s="7" t="s">
        <v>5276</v>
      </c>
      <c r="Q343" s="7" t="s">
        <v>4641</v>
      </c>
      <c r="R343" s="7"/>
      <c r="S343" s="7"/>
      <c r="T343" s="7" t="n">
        <v>24</v>
      </c>
      <c r="U343" s="7" t="s">
        <v>6508</v>
      </c>
      <c r="V343" s="7" t="s">
        <v>5505</v>
      </c>
      <c r="W343" s="7" t="s">
        <v>6761</v>
      </c>
      <c r="X343" s="7" t="s">
        <v>6762</v>
      </c>
      <c r="Y343" s="7"/>
      <c r="Z343" s="7"/>
      <c r="AA343" s="7" t="s">
        <v>6438</v>
      </c>
      <c r="AB343" s="7" t="s">
        <v>6041</v>
      </c>
    </row>
    <row r="344" customFormat="false" ht="48" hidden="false" customHeight="true" outlineLevel="0" collapsed="false">
      <c r="A344" s="7" t="n">
        <v>341</v>
      </c>
      <c r="B344" s="7" t="n">
        <v>1001</v>
      </c>
      <c r="C344" s="7" t="s">
        <v>5634</v>
      </c>
      <c r="D344" s="7" t="s">
        <v>21</v>
      </c>
      <c r="E344" s="7" t="s">
        <v>4058</v>
      </c>
      <c r="F344" s="7" t="s">
        <v>4059</v>
      </c>
      <c r="G344" s="7" t="s">
        <v>4005</v>
      </c>
      <c r="H344" s="7" t="n">
        <v>101</v>
      </c>
      <c r="I344" s="7" t="s">
        <v>20</v>
      </c>
      <c r="J344" s="7" t="s">
        <v>28</v>
      </c>
      <c r="K344" s="7" t="s">
        <v>6433</v>
      </c>
      <c r="L344" s="7" t="s">
        <v>6434</v>
      </c>
      <c r="M344" s="7" t="s">
        <v>6042</v>
      </c>
      <c r="N344" s="7"/>
      <c r="O344" s="7"/>
      <c r="P344" s="7" t="s">
        <v>5271</v>
      </c>
      <c r="Q344" s="7" t="s">
        <v>4645</v>
      </c>
      <c r="R344" s="7"/>
      <c r="S344" s="7"/>
      <c r="T344" s="7" t="n">
        <v>18</v>
      </c>
      <c r="U344" s="7" t="s">
        <v>6467</v>
      </c>
      <c r="V344" s="7" t="s">
        <v>5481</v>
      </c>
      <c r="W344" s="7" t="s">
        <v>6763</v>
      </c>
      <c r="X344" s="7" t="s">
        <v>6764</v>
      </c>
      <c r="Y344" s="7"/>
      <c r="Z344" s="7"/>
      <c r="AA344" s="7" t="s">
        <v>6438</v>
      </c>
      <c r="AB344" s="7" t="s">
        <v>6041</v>
      </c>
    </row>
    <row r="345" customFormat="false" ht="48" hidden="false" customHeight="true" outlineLevel="0" collapsed="false">
      <c r="A345" s="7" t="n">
        <v>342</v>
      </c>
      <c r="B345" s="7" t="n">
        <v>289</v>
      </c>
      <c r="C345" s="7" t="s">
        <v>5635</v>
      </c>
      <c r="D345" s="7" t="s">
        <v>15</v>
      </c>
      <c r="E345" s="7" t="s">
        <v>3996</v>
      </c>
      <c r="F345" s="7" t="s">
        <v>4030</v>
      </c>
      <c r="G345" s="7" t="s">
        <v>4031</v>
      </c>
      <c r="H345" s="7" t="n">
        <v>135</v>
      </c>
      <c r="I345" s="7" t="s">
        <v>20</v>
      </c>
      <c r="J345" s="7" t="s">
        <v>32</v>
      </c>
      <c r="K345" s="7" t="s">
        <v>6433</v>
      </c>
      <c r="L345" s="7" t="s">
        <v>6434</v>
      </c>
      <c r="M345" s="7" t="s">
        <v>6042</v>
      </c>
      <c r="N345" s="7"/>
      <c r="O345" s="7"/>
      <c r="P345" s="7" t="s">
        <v>5268</v>
      </c>
      <c r="Q345" s="7" t="s">
        <v>4650</v>
      </c>
      <c r="R345" s="7" t="s">
        <v>4069</v>
      </c>
      <c r="S345" s="7"/>
      <c r="T345" s="7" t="n">
        <v>37</v>
      </c>
      <c r="U345" s="7" t="s">
        <v>6453</v>
      </c>
      <c r="V345" s="7" t="s">
        <v>5473</v>
      </c>
      <c r="W345" s="7" t="s">
        <v>6765</v>
      </c>
      <c r="X345" s="7" t="s">
        <v>6766</v>
      </c>
      <c r="Y345" s="7"/>
      <c r="Z345" s="7" t="s">
        <v>4069</v>
      </c>
      <c r="AA345" s="7" t="s">
        <v>6456</v>
      </c>
      <c r="AB345" s="7" t="s">
        <v>6041</v>
      </c>
    </row>
    <row r="346" customFormat="false" ht="48" hidden="false" customHeight="true" outlineLevel="0" collapsed="false">
      <c r="A346" s="7" t="n">
        <v>343</v>
      </c>
      <c r="B346" s="7" t="n">
        <v>1137</v>
      </c>
      <c r="C346" s="7" t="s">
        <v>5636</v>
      </c>
      <c r="D346" s="7" t="s">
        <v>19</v>
      </c>
      <c r="E346" s="7" t="s">
        <v>4003</v>
      </c>
      <c r="F346" s="7" t="s">
        <v>4004</v>
      </c>
      <c r="G346" s="7" t="s">
        <v>3998</v>
      </c>
      <c r="H346" s="7" t="n">
        <v>27</v>
      </c>
      <c r="I346" s="7" t="s">
        <v>18</v>
      </c>
      <c r="J346" s="7" t="s">
        <v>18</v>
      </c>
      <c r="K346" s="7" t="s">
        <v>6433</v>
      </c>
      <c r="L346" s="7" t="s">
        <v>6434</v>
      </c>
      <c r="M346" s="7" t="s">
        <v>6042</v>
      </c>
      <c r="N346" s="7"/>
      <c r="O346" s="7"/>
      <c r="P346" s="7" t="s">
        <v>5271</v>
      </c>
      <c r="Q346" s="7" t="s">
        <v>4653</v>
      </c>
      <c r="R346" s="7"/>
      <c r="S346" s="7"/>
      <c r="T346" s="7" t="n">
        <v>7</v>
      </c>
      <c r="U346" s="7" t="s">
        <v>6439</v>
      </c>
      <c r="V346" s="7" t="s">
        <v>5464</v>
      </c>
      <c r="W346" s="7" t="s">
        <v>6767</v>
      </c>
      <c r="X346" s="7" t="s">
        <v>6768</v>
      </c>
      <c r="Y346" s="7"/>
      <c r="Z346" s="7"/>
      <c r="AA346" s="7" t="s">
        <v>6438</v>
      </c>
      <c r="AB346" s="7" t="s">
        <v>6041</v>
      </c>
    </row>
    <row r="347" customFormat="false" ht="48" hidden="false" customHeight="true" outlineLevel="0" collapsed="false">
      <c r="A347" s="7" t="n">
        <v>344</v>
      </c>
      <c r="B347" s="7" t="n">
        <v>163</v>
      </c>
      <c r="C347" s="7" t="s">
        <v>5637</v>
      </c>
      <c r="D347" s="7" t="s">
        <v>15</v>
      </c>
      <c r="E347" s="7" t="s">
        <v>3996</v>
      </c>
      <c r="F347" s="7" t="s">
        <v>4030</v>
      </c>
      <c r="G347" s="7" t="s">
        <v>4302</v>
      </c>
      <c r="H347" s="7" t="n">
        <v>9</v>
      </c>
      <c r="I347" s="7" t="s">
        <v>20</v>
      </c>
      <c r="J347" s="7" t="s">
        <v>30</v>
      </c>
      <c r="K347" s="7" t="s">
        <v>6433</v>
      </c>
      <c r="L347" s="7" t="s">
        <v>6434</v>
      </c>
      <c r="M347" s="7" t="s">
        <v>6047</v>
      </c>
      <c r="N347" s="7" t="s">
        <v>5272</v>
      </c>
      <c r="O347" s="7"/>
      <c r="P347" s="7" t="s">
        <v>5271</v>
      </c>
      <c r="Q347" s="7" t="s">
        <v>4657</v>
      </c>
      <c r="R347" s="7"/>
      <c r="S347" s="7"/>
      <c r="T347" s="7" t="n">
        <v>5</v>
      </c>
      <c r="U347" s="7" t="s">
        <v>6453</v>
      </c>
      <c r="V347" s="7" t="s">
        <v>5473</v>
      </c>
      <c r="W347" s="7" t="s">
        <v>6769</v>
      </c>
      <c r="X347" s="7" t="s">
        <v>6770</v>
      </c>
      <c r="Y347" s="7"/>
      <c r="Z347" s="7"/>
      <c r="AA347" s="7" t="s">
        <v>6438</v>
      </c>
      <c r="AB347" s="7" t="s">
        <v>6041</v>
      </c>
    </row>
    <row r="348" customFormat="false" ht="48" hidden="false" customHeight="true" outlineLevel="0" collapsed="false">
      <c r="A348" s="7" t="n">
        <v>345</v>
      </c>
      <c r="B348" s="7" t="n">
        <v>2710</v>
      </c>
      <c r="C348" s="7" t="s">
        <v>5638</v>
      </c>
      <c r="D348" s="7" t="s">
        <v>29</v>
      </c>
      <c r="E348" s="7" t="s">
        <v>3217</v>
      </c>
      <c r="F348" s="7" t="s">
        <v>3898</v>
      </c>
      <c r="G348" s="7" t="s">
        <v>4025</v>
      </c>
      <c r="H348" s="7" t="n">
        <v>61</v>
      </c>
      <c r="I348" s="7" t="s">
        <v>20</v>
      </c>
      <c r="J348" s="7" t="s">
        <v>33</v>
      </c>
      <c r="K348" s="7" t="s">
        <v>6433</v>
      </c>
      <c r="L348" s="7" t="s">
        <v>6434</v>
      </c>
      <c r="M348" s="7" t="s">
        <v>6047</v>
      </c>
      <c r="N348" s="7" t="s">
        <v>5272</v>
      </c>
      <c r="O348" s="7"/>
      <c r="P348" s="7" t="s">
        <v>5271</v>
      </c>
      <c r="Q348" s="7" t="s">
        <v>4661</v>
      </c>
      <c r="R348" s="7"/>
      <c r="S348" s="7"/>
      <c r="T348" s="7" t="n">
        <v>13</v>
      </c>
      <c r="U348" s="7" t="s">
        <v>6390</v>
      </c>
      <c r="V348" s="7" t="s">
        <v>5440</v>
      </c>
      <c r="W348" s="7" t="s">
        <v>6771</v>
      </c>
      <c r="X348" s="7" t="s">
        <v>6772</v>
      </c>
      <c r="Y348" s="7"/>
      <c r="Z348" s="7"/>
      <c r="AA348" s="7" t="s">
        <v>6648</v>
      </c>
      <c r="AB348" s="7" t="s">
        <v>6041</v>
      </c>
    </row>
    <row r="349" customFormat="false" ht="48" hidden="false" customHeight="true" outlineLevel="0" collapsed="false">
      <c r="A349" s="7" t="n">
        <v>346</v>
      </c>
      <c r="B349" s="7" t="n">
        <v>582</v>
      </c>
      <c r="C349" s="7" t="s">
        <v>5639</v>
      </c>
      <c r="D349" s="7" t="s">
        <v>17</v>
      </c>
      <c r="E349" s="7" t="s">
        <v>4044</v>
      </c>
      <c r="F349" s="7" t="s">
        <v>4045</v>
      </c>
      <c r="G349" s="7" t="s">
        <v>3998</v>
      </c>
      <c r="H349" s="7" t="n">
        <v>12</v>
      </c>
      <c r="I349" s="7" t="s">
        <v>18</v>
      </c>
      <c r="J349" s="7" t="s">
        <v>18</v>
      </c>
      <c r="K349" s="7" t="s">
        <v>6433</v>
      </c>
      <c r="L349" s="7" t="s">
        <v>6434</v>
      </c>
      <c r="M349" s="7" t="s">
        <v>6047</v>
      </c>
      <c r="N349" s="7" t="s">
        <v>5272</v>
      </c>
      <c r="O349" s="7"/>
      <c r="P349" s="7" t="s">
        <v>5268</v>
      </c>
      <c r="Q349" s="7" t="s">
        <v>4666</v>
      </c>
      <c r="R349" s="7"/>
      <c r="S349" s="7"/>
      <c r="T349" s="7" t="n">
        <v>5</v>
      </c>
      <c r="U349" s="7" t="s">
        <v>6460</v>
      </c>
      <c r="V349" s="7" t="s">
        <v>5477</v>
      </c>
      <c r="W349" s="7" t="s">
        <v>6773</v>
      </c>
      <c r="X349" s="7" t="s">
        <v>6774</v>
      </c>
      <c r="Y349" s="7"/>
      <c r="Z349" s="7"/>
      <c r="AA349" s="7" t="s">
        <v>6438</v>
      </c>
      <c r="AB349" s="7" t="s">
        <v>6041</v>
      </c>
    </row>
    <row r="350" customFormat="false" ht="48" hidden="false" customHeight="true" outlineLevel="0" collapsed="false">
      <c r="A350" s="7" t="n">
        <v>347</v>
      </c>
      <c r="B350" s="7" t="n">
        <v>1526</v>
      </c>
      <c r="C350" s="7" t="s">
        <v>5640</v>
      </c>
      <c r="D350" s="7" t="s">
        <v>22</v>
      </c>
      <c r="E350" s="7" t="s">
        <v>3996</v>
      </c>
      <c r="F350" s="7" t="s">
        <v>3997</v>
      </c>
      <c r="G350" s="7" t="s">
        <v>4005</v>
      </c>
      <c r="H350" s="7" t="n">
        <v>152</v>
      </c>
      <c r="I350" s="7" t="s">
        <v>20</v>
      </c>
      <c r="J350" s="7" t="s">
        <v>28</v>
      </c>
      <c r="K350" s="7" t="s">
        <v>6433</v>
      </c>
      <c r="L350" s="7" t="s">
        <v>6434</v>
      </c>
      <c r="M350" s="7" t="s">
        <v>6042</v>
      </c>
      <c r="N350" s="7"/>
      <c r="O350" s="7"/>
      <c r="P350" s="7" t="s">
        <v>5274</v>
      </c>
      <c r="Q350" s="7" t="s">
        <v>4667</v>
      </c>
      <c r="R350" s="7"/>
      <c r="S350" s="7"/>
      <c r="T350" s="7" t="n">
        <v>27</v>
      </c>
      <c r="U350" s="7" t="s">
        <v>6435</v>
      </c>
      <c r="V350" s="7" t="s">
        <v>5462</v>
      </c>
      <c r="W350" s="7" t="s">
        <v>6775</v>
      </c>
      <c r="X350" s="7" t="s">
        <v>6776</v>
      </c>
      <c r="Y350" s="7"/>
      <c r="Z350" s="7"/>
      <c r="AA350" s="7" t="s">
        <v>6438</v>
      </c>
      <c r="AB350" s="7" t="s">
        <v>6041</v>
      </c>
    </row>
    <row r="351" customFormat="false" ht="48" hidden="false" customHeight="true" outlineLevel="0" collapsed="false">
      <c r="A351" s="7" t="n">
        <v>348</v>
      </c>
      <c r="B351" s="7" t="n">
        <v>1520</v>
      </c>
      <c r="C351" s="7" t="s">
        <v>5641</v>
      </c>
      <c r="D351" s="7" t="s">
        <v>22</v>
      </c>
      <c r="E351" s="7" t="s">
        <v>3996</v>
      </c>
      <c r="F351" s="7" t="s">
        <v>3997</v>
      </c>
      <c r="G351" s="7" t="s">
        <v>3998</v>
      </c>
      <c r="H351" s="7" t="n">
        <v>146</v>
      </c>
      <c r="I351" s="7" t="s">
        <v>18</v>
      </c>
      <c r="J351" s="7" t="s">
        <v>18</v>
      </c>
      <c r="K351" s="7" t="s">
        <v>6433</v>
      </c>
      <c r="L351" s="7" t="s">
        <v>6434</v>
      </c>
      <c r="M351" s="7" t="s">
        <v>6042</v>
      </c>
      <c r="N351" s="7"/>
      <c r="O351" s="7"/>
      <c r="P351" s="7" t="s">
        <v>5276</v>
      </c>
      <c r="Q351" s="7" t="s">
        <v>4672</v>
      </c>
      <c r="R351" s="7"/>
      <c r="S351" s="7"/>
      <c r="T351" s="7" t="n">
        <v>26</v>
      </c>
      <c r="U351" s="7" t="s">
        <v>6435</v>
      </c>
      <c r="V351" s="7" t="s">
        <v>5462</v>
      </c>
      <c r="W351" s="7" t="s">
        <v>6777</v>
      </c>
      <c r="X351" s="7" t="s">
        <v>6778</v>
      </c>
      <c r="Y351" s="7"/>
      <c r="Z351" s="7"/>
      <c r="AA351" s="7" t="s">
        <v>6438</v>
      </c>
      <c r="AB351" s="7" t="s">
        <v>6041</v>
      </c>
    </row>
    <row r="352" customFormat="false" ht="48" hidden="false" customHeight="true" outlineLevel="0" collapsed="false">
      <c r="A352" s="7" t="n">
        <v>349</v>
      </c>
      <c r="B352" s="7" t="n">
        <v>1600</v>
      </c>
      <c r="C352" s="7" t="s">
        <v>5642</v>
      </c>
      <c r="D352" s="7" t="s">
        <v>23</v>
      </c>
      <c r="E352" s="7" t="s">
        <v>3217</v>
      </c>
      <c r="F352" s="7" t="s">
        <v>4038</v>
      </c>
      <c r="G352" s="7" t="s">
        <v>4039</v>
      </c>
      <c r="H352" s="7" t="n">
        <v>66</v>
      </c>
      <c r="I352" s="7" t="s">
        <v>18</v>
      </c>
      <c r="J352" s="7" t="s">
        <v>18</v>
      </c>
      <c r="K352" s="7" t="s">
        <v>6433</v>
      </c>
      <c r="L352" s="7" t="s">
        <v>6434</v>
      </c>
      <c r="M352" s="7" t="s">
        <v>6042</v>
      </c>
      <c r="N352" s="7"/>
      <c r="O352" s="7"/>
      <c r="P352" s="7" t="s">
        <v>5276</v>
      </c>
      <c r="Q352" s="7" t="s">
        <v>4676</v>
      </c>
      <c r="R352" s="7"/>
      <c r="S352" s="7"/>
      <c r="T352" s="7" t="n">
        <v>20</v>
      </c>
      <c r="U352" s="7" t="s">
        <v>6457</v>
      </c>
      <c r="V352" s="7" t="s">
        <v>5475</v>
      </c>
      <c r="W352" s="7" t="s">
        <v>6779</v>
      </c>
      <c r="X352" s="7" t="s">
        <v>6780</v>
      </c>
      <c r="Y352" s="7"/>
      <c r="Z352" s="7"/>
      <c r="AA352" s="7" t="s">
        <v>6438</v>
      </c>
      <c r="AB352" s="7" t="s">
        <v>6041</v>
      </c>
    </row>
    <row r="353" customFormat="false" ht="48" hidden="false" customHeight="true" outlineLevel="0" collapsed="false">
      <c r="A353" s="7" t="n">
        <v>350</v>
      </c>
      <c r="B353" s="7" t="n">
        <v>2664</v>
      </c>
      <c r="C353" s="7" t="s">
        <v>5643</v>
      </c>
      <c r="D353" s="7" t="s">
        <v>29</v>
      </c>
      <c r="E353" s="7" t="s">
        <v>3217</v>
      </c>
      <c r="F353" s="7" t="s">
        <v>3898</v>
      </c>
      <c r="G353" s="7" t="s">
        <v>4025</v>
      </c>
      <c r="H353" s="7" t="n">
        <v>15</v>
      </c>
      <c r="I353" s="7" t="s">
        <v>20</v>
      </c>
      <c r="J353" s="7" t="s">
        <v>33</v>
      </c>
      <c r="K353" s="7" t="s">
        <v>6433</v>
      </c>
      <c r="L353" s="7" t="s">
        <v>6434</v>
      </c>
      <c r="M353" s="7" t="s">
        <v>6047</v>
      </c>
      <c r="N353" s="7" t="s">
        <v>5272</v>
      </c>
      <c r="O353" s="7"/>
      <c r="P353" s="7" t="s">
        <v>5274</v>
      </c>
      <c r="Q353" s="7" t="s">
        <v>4679</v>
      </c>
      <c r="R353" s="7"/>
      <c r="S353" s="7"/>
      <c r="T353" s="7" t="n">
        <v>5</v>
      </c>
      <c r="U353" s="7" t="s">
        <v>6390</v>
      </c>
      <c r="V353" s="7" t="s">
        <v>5440</v>
      </c>
      <c r="W353" s="7" t="s">
        <v>6781</v>
      </c>
      <c r="X353" s="7" t="s">
        <v>6782</v>
      </c>
      <c r="Y353" s="7"/>
      <c r="Z353" s="7"/>
      <c r="AA353" s="7" t="s">
        <v>6648</v>
      </c>
      <c r="AB353" s="7" t="s">
        <v>6041</v>
      </c>
    </row>
    <row r="354" customFormat="false" ht="48" hidden="false" customHeight="true" outlineLevel="0" collapsed="false">
      <c r="A354" s="7" t="n">
        <v>351</v>
      </c>
      <c r="B354" s="7" t="n">
        <v>2268</v>
      </c>
      <c r="C354" s="7" t="s">
        <v>5644</v>
      </c>
      <c r="D354" s="7" t="s">
        <v>25</v>
      </c>
      <c r="E354" s="7" t="s">
        <v>3217</v>
      </c>
      <c r="F354" s="7" t="s">
        <v>4320</v>
      </c>
      <c r="G354" s="7" t="s">
        <v>4005</v>
      </c>
      <c r="H354" s="7" t="n">
        <v>107</v>
      </c>
      <c r="I354" s="7" t="s">
        <v>20</v>
      </c>
      <c r="J354" s="7" t="s">
        <v>28</v>
      </c>
      <c r="K354" s="7" t="s">
        <v>6433</v>
      </c>
      <c r="L354" s="7" t="s">
        <v>6434</v>
      </c>
      <c r="M354" s="7" t="s">
        <v>6042</v>
      </c>
      <c r="N354" s="7" t="s">
        <v>5471</v>
      </c>
      <c r="O354" s="7"/>
      <c r="P354" s="7" t="s">
        <v>5274</v>
      </c>
      <c r="Q354" s="7" t="s">
        <v>4683</v>
      </c>
      <c r="R354" s="7"/>
      <c r="S354" s="7"/>
      <c r="T354" s="7" t="n">
        <v>22</v>
      </c>
      <c r="U354" s="7" t="s">
        <v>6599</v>
      </c>
      <c r="V354" s="7" t="s">
        <v>5552</v>
      </c>
      <c r="W354" s="7" t="s">
        <v>6783</v>
      </c>
      <c r="X354" s="7" t="s">
        <v>6784</v>
      </c>
      <c r="Y354" s="7"/>
      <c r="Z354" s="7"/>
      <c r="AA354" s="7" t="s">
        <v>6452</v>
      </c>
      <c r="AB354" s="7" t="s">
        <v>6041</v>
      </c>
    </row>
    <row r="355" customFormat="false" ht="48" hidden="false" customHeight="true" outlineLevel="0" collapsed="false">
      <c r="A355" s="7" t="n">
        <v>352</v>
      </c>
      <c r="B355" s="7" t="n">
        <v>1371</v>
      </c>
      <c r="C355" s="7" t="s">
        <v>5645</v>
      </c>
      <c r="D355" s="7" t="s">
        <v>19</v>
      </c>
      <c r="E355" s="7" t="s">
        <v>3217</v>
      </c>
      <c r="F355" s="7" t="s">
        <v>4139</v>
      </c>
      <c r="G355" s="7" t="s">
        <v>4071</v>
      </c>
      <c r="H355" s="7" t="n">
        <v>96</v>
      </c>
      <c r="I355" s="7" t="s">
        <v>20</v>
      </c>
      <c r="J355" s="7" t="s">
        <v>28</v>
      </c>
      <c r="K355" s="7" t="s">
        <v>6433</v>
      </c>
      <c r="L355" s="7" t="s">
        <v>6434</v>
      </c>
      <c r="M355" s="7" t="s">
        <v>6042</v>
      </c>
      <c r="N355" s="7" t="s">
        <v>5471</v>
      </c>
      <c r="O355" s="7"/>
      <c r="P355" s="7" t="s">
        <v>5274</v>
      </c>
      <c r="Q355" s="7" t="s">
        <v>4687</v>
      </c>
      <c r="R355" s="7"/>
      <c r="S355" s="7"/>
      <c r="T355" s="7" t="n">
        <v>24</v>
      </c>
      <c r="U355" s="7" t="s">
        <v>6508</v>
      </c>
      <c r="V355" s="7" t="s">
        <v>5505</v>
      </c>
      <c r="W355" s="7" t="s">
        <v>6785</v>
      </c>
      <c r="X355" s="7" t="s">
        <v>6786</v>
      </c>
      <c r="Y355" s="7"/>
      <c r="Z355" s="7"/>
      <c r="AA355" s="7" t="s">
        <v>6452</v>
      </c>
      <c r="AB355" s="7" t="s">
        <v>6041</v>
      </c>
    </row>
    <row r="356" customFormat="false" ht="48" hidden="false" customHeight="true" outlineLevel="0" collapsed="false">
      <c r="A356" s="7" t="n">
        <v>353</v>
      </c>
      <c r="B356" s="7" t="n">
        <v>2043</v>
      </c>
      <c r="C356" s="7" t="s">
        <v>5646</v>
      </c>
      <c r="D356" s="7" t="s">
        <v>25</v>
      </c>
      <c r="E356" s="7" t="s">
        <v>4019</v>
      </c>
      <c r="F356" s="7" t="s">
        <v>4020</v>
      </c>
      <c r="G356" s="7" t="s">
        <v>4005</v>
      </c>
      <c r="H356" s="7" t="n">
        <v>102</v>
      </c>
      <c r="I356" s="7" t="s">
        <v>20</v>
      </c>
      <c r="J356" s="7" t="s">
        <v>28</v>
      </c>
      <c r="K356" s="7" t="s">
        <v>6433</v>
      </c>
      <c r="L356" s="7" t="s">
        <v>6434</v>
      </c>
      <c r="M356" s="7" t="s">
        <v>6042</v>
      </c>
      <c r="N356" s="7" t="s">
        <v>5471</v>
      </c>
      <c r="O356" s="7"/>
      <c r="P356" s="7" t="s">
        <v>5268</v>
      </c>
      <c r="Q356" s="7" t="s">
        <v>4693</v>
      </c>
      <c r="R356" s="7"/>
      <c r="S356" s="7"/>
      <c r="T356" s="7" t="n">
        <v>24</v>
      </c>
      <c r="U356" s="7" t="s">
        <v>6447</v>
      </c>
      <c r="V356" s="7" t="s">
        <v>5469</v>
      </c>
      <c r="W356" s="7" t="s">
        <v>6787</v>
      </c>
      <c r="X356" s="7" t="s">
        <v>6788</v>
      </c>
      <c r="Y356" s="7"/>
      <c r="Z356" s="7"/>
      <c r="AA356" s="7" t="s">
        <v>6452</v>
      </c>
      <c r="AB356" s="7" t="s">
        <v>6041</v>
      </c>
    </row>
    <row r="357" customFormat="false" ht="48" hidden="false" customHeight="true" outlineLevel="0" collapsed="false">
      <c r="A357" s="7" t="n">
        <v>354</v>
      </c>
      <c r="B357" s="7" t="n">
        <v>2870</v>
      </c>
      <c r="C357" s="7" t="s">
        <v>5647</v>
      </c>
      <c r="D357" s="7" t="s">
        <v>31</v>
      </c>
      <c r="E357" s="7" t="s">
        <v>4003</v>
      </c>
      <c r="F357" s="7" t="s">
        <v>4010</v>
      </c>
      <c r="G357" s="7" t="s">
        <v>3998</v>
      </c>
      <c r="H357" s="7" t="n">
        <v>110</v>
      </c>
      <c r="I357" s="7" t="s">
        <v>18</v>
      </c>
      <c r="J357" s="7" t="s">
        <v>18</v>
      </c>
      <c r="K357" s="7" t="s">
        <v>6433</v>
      </c>
      <c r="L357" s="7" t="s">
        <v>6434</v>
      </c>
      <c r="M357" s="7" t="s">
        <v>6042</v>
      </c>
      <c r="N357" s="7"/>
      <c r="O357" s="7"/>
      <c r="P357" s="7" t="s">
        <v>5271</v>
      </c>
      <c r="Q357" s="7" t="s">
        <v>4696</v>
      </c>
      <c r="R357" s="7"/>
      <c r="S357" s="7"/>
      <c r="T357" s="7" t="n">
        <v>18</v>
      </c>
      <c r="U357" s="7" t="s">
        <v>6442</v>
      </c>
      <c r="V357" s="7" t="s">
        <v>5466</v>
      </c>
      <c r="W357" s="7" t="s">
        <v>6789</v>
      </c>
      <c r="X357" s="7" t="s">
        <v>6790</v>
      </c>
      <c r="Y357" s="7"/>
      <c r="Z357" s="7"/>
      <c r="AA357" s="7" t="s">
        <v>6438</v>
      </c>
      <c r="AB357" s="7" t="s">
        <v>6041</v>
      </c>
    </row>
    <row r="358" customFormat="false" ht="48" hidden="false" customHeight="true" outlineLevel="0" collapsed="false">
      <c r="A358" s="7" t="n">
        <v>355</v>
      </c>
      <c r="B358" s="7" t="n">
        <v>2476</v>
      </c>
      <c r="C358" s="7" t="s">
        <v>5648</v>
      </c>
      <c r="D358" s="7" t="s">
        <v>27</v>
      </c>
      <c r="E358" s="7" t="s">
        <v>3996</v>
      </c>
      <c r="F358" s="7" t="s">
        <v>4070</v>
      </c>
      <c r="G358" s="7" t="s">
        <v>3998</v>
      </c>
      <c r="H358" s="7" t="n">
        <v>37</v>
      </c>
      <c r="I358" s="7" t="s">
        <v>18</v>
      </c>
      <c r="J358" s="7" t="s">
        <v>18</v>
      </c>
      <c r="K358" s="7" t="s">
        <v>6433</v>
      </c>
      <c r="L358" s="7" t="s">
        <v>6434</v>
      </c>
      <c r="M358" s="7" t="s">
        <v>6047</v>
      </c>
      <c r="N358" s="7" t="s">
        <v>5272</v>
      </c>
      <c r="O358" s="7"/>
      <c r="P358" s="7" t="s">
        <v>5268</v>
      </c>
      <c r="Q358" s="7" t="s">
        <v>4701</v>
      </c>
      <c r="R358" s="7"/>
      <c r="S358" s="7"/>
      <c r="T358" s="7" t="n">
        <v>15</v>
      </c>
      <c r="U358" s="7" t="s">
        <v>6472</v>
      </c>
      <c r="V358" s="7" t="s">
        <v>5484</v>
      </c>
      <c r="W358" s="7" t="s">
        <v>6791</v>
      </c>
      <c r="X358" s="7" t="s">
        <v>6792</v>
      </c>
      <c r="Y358" s="7"/>
      <c r="Z358" s="7"/>
      <c r="AA358" s="7" t="s">
        <v>6438</v>
      </c>
      <c r="AB358" s="7" t="s">
        <v>6041</v>
      </c>
    </row>
    <row r="359" customFormat="false" ht="48" hidden="false" customHeight="true" outlineLevel="0" collapsed="false">
      <c r="A359" s="7" t="n">
        <v>356</v>
      </c>
      <c r="B359" s="7" t="n">
        <v>1579</v>
      </c>
      <c r="C359" s="7" t="s">
        <v>5649</v>
      </c>
      <c r="D359" s="7" t="s">
        <v>23</v>
      </c>
      <c r="E359" s="7" t="s">
        <v>3217</v>
      </c>
      <c r="F359" s="7" t="s">
        <v>4038</v>
      </c>
      <c r="G359" s="7" t="s">
        <v>3998</v>
      </c>
      <c r="H359" s="7" t="n">
        <v>45</v>
      </c>
      <c r="I359" s="7" t="s">
        <v>18</v>
      </c>
      <c r="J359" s="7" t="s">
        <v>18</v>
      </c>
      <c r="K359" s="7" t="s">
        <v>6433</v>
      </c>
      <c r="L359" s="7" t="s">
        <v>6434</v>
      </c>
      <c r="M359" s="7" t="s">
        <v>6047</v>
      </c>
      <c r="N359" s="7" t="s">
        <v>5272</v>
      </c>
      <c r="O359" s="7"/>
      <c r="P359" s="7" t="s">
        <v>5274</v>
      </c>
      <c r="Q359" s="7" t="s">
        <v>4702</v>
      </c>
      <c r="R359" s="7"/>
      <c r="S359" s="7"/>
      <c r="T359" s="7" t="n">
        <v>15</v>
      </c>
      <c r="U359" s="7" t="s">
        <v>6457</v>
      </c>
      <c r="V359" s="7" t="s">
        <v>5475</v>
      </c>
      <c r="W359" s="7" t="s">
        <v>6793</v>
      </c>
      <c r="X359" s="7" t="s">
        <v>6794</v>
      </c>
      <c r="Y359" s="7"/>
      <c r="Z359" s="7"/>
      <c r="AA359" s="7" t="s">
        <v>6438</v>
      </c>
      <c r="AB359" s="7" t="s">
        <v>6041</v>
      </c>
    </row>
    <row r="360" customFormat="false" ht="48" hidden="false" customHeight="true" outlineLevel="0" collapsed="false">
      <c r="A360" s="7" t="n">
        <v>357</v>
      </c>
      <c r="B360" s="7" t="n">
        <v>407</v>
      </c>
      <c r="C360" s="7" t="s">
        <v>5650</v>
      </c>
      <c r="D360" s="7" t="s">
        <v>15</v>
      </c>
      <c r="E360" s="7" t="s">
        <v>3217</v>
      </c>
      <c r="F360" s="7" t="s">
        <v>4143</v>
      </c>
      <c r="G360" s="7" t="s">
        <v>4302</v>
      </c>
      <c r="H360" s="7" t="n">
        <v>100</v>
      </c>
      <c r="I360" s="7" t="s">
        <v>20</v>
      </c>
      <c r="J360" s="7" t="s">
        <v>30</v>
      </c>
      <c r="K360" s="7" t="s">
        <v>6433</v>
      </c>
      <c r="L360" s="7" t="s">
        <v>6434</v>
      </c>
      <c r="M360" s="7" t="s">
        <v>6042</v>
      </c>
      <c r="N360" s="7" t="s">
        <v>5471</v>
      </c>
      <c r="O360" s="7"/>
      <c r="P360" s="7" t="s">
        <v>5271</v>
      </c>
      <c r="Q360" s="7" t="s">
        <v>4708</v>
      </c>
      <c r="R360" s="7"/>
      <c r="S360" s="7"/>
      <c r="T360" s="7" t="n">
        <v>26</v>
      </c>
      <c r="U360" s="7" t="s">
        <v>6511</v>
      </c>
      <c r="V360" s="7" t="s">
        <v>5507</v>
      </c>
      <c r="W360" s="7" t="s">
        <v>6795</v>
      </c>
      <c r="X360" s="7" t="s">
        <v>6796</v>
      </c>
      <c r="Y360" s="7"/>
      <c r="Z360" s="7"/>
      <c r="AA360" s="7" t="s">
        <v>6452</v>
      </c>
      <c r="AB360" s="7" t="s">
        <v>6041</v>
      </c>
    </row>
    <row r="361" customFormat="false" ht="48" hidden="false" customHeight="true" outlineLevel="0" collapsed="false">
      <c r="A361" s="7" t="n">
        <v>358</v>
      </c>
      <c r="B361" s="7" t="n">
        <v>1263</v>
      </c>
      <c r="C361" s="7" t="s">
        <v>5651</v>
      </c>
      <c r="D361" s="7" t="s">
        <v>19</v>
      </c>
      <c r="E361" s="7" t="s">
        <v>4003</v>
      </c>
      <c r="F361" s="7" t="s">
        <v>4004</v>
      </c>
      <c r="G361" s="7" t="s">
        <v>4005</v>
      </c>
      <c r="H361" s="7" t="n">
        <v>153</v>
      </c>
      <c r="I361" s="7" t="s">
        <v>20</v>
      </c>
      <c r="J361" s="7" t="s">
        <v>28</v>
      </c>
      <c r="K361" s="7" t="s">
        <v>6433</v>
      </c>
      <c r="L361" s="7" t="s">
        <v>6434</v>
      </c>
      <c r="M361" s="7" t="s">
        <v>6042</v>
      </c>
      <c r="N361" s="7"/>
      <c r="O361" s="7"/>
      <c r="P361" s="7" t="s">
        <v>5276</v>
      </c>
      <c r="Q361" s="7" t="s">
        <v>4711</v>
      </c>
      <c r="R361" s="7"/>
      <c r="S361" s="7"/>
      <c r="T361" s="7" t="n">
        <v>34</v>
      </c>
      <c r="U361" s="7" t="s">
        <v>6439</v>
      </c>
      <c r="V361" s="7" t="s">
        <v>5464</v>
      </c>
      <c r="W361" s="7" t="s">
        <v>6797</v>
      </c>
      <c r="X361" s="7" t="s">
        <v>6798</v>
      </c>
      <c r="Y361" s="7"/>
      <c r="Z361" s="7"/>
      <c r="AA361" s="7" t="s">
        <v>6438</v>
      </c>
      <c r="AB361" s="7" t="s">
        <v>6041</v>
      </c>
    </row>
    <row r="362" customFormat="false" ht="48" hidden="false" customHeight="true" outlineLevel="0" collapsed="false">
      <c r="A362" s="7" t="n">
        <v>359</v>
      </c>
      <c r="B362" s="7" t="n">
        <v>2050</v>
      </c>
      <c r="C362" s="7" t="s">
        <v>5652</v>
      </c>
      <c r="D362" s="7" t="s">
        <v>25</v>
      </c>
      <c r="E362" s="7" t="s">
        <v>4019</v>
      </c>
      <c r="F362" s="7" t="s">
        <v>4020</v>
      </c>
      <c r="G362" s="7" t="s">
        <v>4005</v>
      </c>
      <c r="H362" s="7" t="n">
        <v>109</v>
      </c>
      <c r="I362" s="7" t="s">
        <v>20</v>
      </c>
      <c r="J362" s="7" t="s">
        <v>28</v>
      </c>
      <c r="K362" s="7" t="s">
        <v>6433</v>
      </c>
      <c r="L362" s="7" t="s">
        <v>6434</v>
      </c>
      <c r="M362" s="7" t="s">
        <v>6047</v>
      </c>
      <c r="N362" s="7" t="s">
        <v>5272</v>
      </c>
      <c r="O362" s="7"/>
      <c r="P362" s="7" t="s">
        <v>5268</v>
      </c>
      <c r="Q362" s="7" t="s">
        <v>4717</v>
      </c>
      <c r="R362" s="7"/>
      <c r="S362" s="7"/>
      <c r="T362" s="7" t="n">
        <v>25</v>
      </c>
      <c r="U362" s="7" t="s">
        <v>6447</v>
      </c>
      <c r="V362" s="7" t="s">
        <v>5469</v>
      </c>
      <c r="W362" s="7" t="s">
        <v>6799</v>
      </c>
      <c r="X362" s="7" t="s">
        <v>6800</v>
      </c>
      <c r="Y362" s="7"/>
      <c r="Z362" s="7"/>
      <c r="AA362" s="7" t="s">
        <v>6438</v>
      </c>
      <c r="AB362" s="7" t="s">
        <v>6041</v>
      </c>
    </row>
    <row r="363" customFormat="false" ht="48" hidden="false" customHeight="true" outlineLevel="0" collapsed="false">
      <c r="A363" s="7" t="n">
        <v>360</v>
      </c>
      <c r="B363" s="7" t="n">
        <v>552</v>
      </c>
      <c r="C363" s="7" t="s">
        <v>5653</v>
      </c>
      <c r="D363" s="7" t="s">
        <v>17</v>
      </c>
      <c r="E363" s="7" t="s">
        <v>4058</v>
      </c>
      <c r="F363" s="7" t="s">
        <v>4084</v>
      </c>
      <c r="G363" s="7" t="s">
        <v>3998</v>
      </c>
      <c r="H363" s="7" t="n">
        <v>92</v>
      </c>
      <c r="I363" s="7" t="s">
        <v>18</v>
      </c>
      <c r="J363" s="7" t="s">
        <v>18</v>
      </c>
      <c r="K363" s="7" t="s">
        <v>6433</v>
      </c>
      <c r="L363" s="7" t="s">
        <v>6434</v>
      </c>
      <c r="M363" s="7" t="s">
        <v>6047</v>
      </c>
      <c r="N363" s="7" t="s">
        <v>5272</v>
      </c>
      <c r="O363" s="7"/>
      <c r="P363" s="7" t="s">
        <v>5271</v>
      </c>
      <c r="Q363" s="7" t="s">
        <v>4720</v>
      </c>
      <c r="R363" s="7"/>
      <c r="S363" s="7"/>
      <c r="T363" s="7" t="n">
        <v>33</v>
      </c>
      <c r="U363" s="7" t="s">
        <v>6479</v>
      </c>
      <c r="V363" s="7" t="s">
        <v>5488</v>
      </c>
      <c r="W363" s="7" t="s">
        <v>6801</v>
      </c>
      <c r="X363" s="7" t="s">
        <v>6802</v>
      </c>
      <c r="Y363" s="7"/>
      <c r="Z363" s="7"/>
      <c r="AA363" s="7" t="s">
        <v>6438</v>
      </c>
      <c r="AB363" s="7" t="s">
        <v>6041</v>
      </c>
    </row>
    <row r="364" customFormat="false" ht="48" hidden="false" customHeight="true" outlineLevel="0" collapsed="false">
      <c r="A364" s="7" t="n">
        <v>361</v>
      </c>
      <c r="B364" s="7" t="n">
        <v>467</v>
      </c>
      <c r="C364" s="7" t="s">
        <v>5654</v>
      </c>
      <c r="D364" s="7" t="s">
        <v>17</v>
      </c>
      <c r="E364" s="7" t="s">
        <v>4058</v>
      </c>
      <c r="F364" s="7" t="s">
        <v>4084</v>
      </c>
      <c r="G364" s="7" t="s">
        <v>3998</v>
      </c>
      <c r="H364" s="7" t="n">
        <v>7</v>
      </c>
      <c r="I364" s="7" t="s">
        <v>18</v>
      </c>
      <c r="J364" s="7" t="s">
        <v>18</v>
      </c>
      <c r="K364" s="7" t="s">
        <v>6433</v>
      </c>
      <c r="L364" s="7" t="s">
        <v>6434</v>
      </c>
      <c r="M364" s="7" t="s">
        <v>6042</v>
      </c>
      <c r="N364" s="7"/>
      <c r="O364" s="7"/>
      <c r="P364" s="7" t="s">
        <v>5276</v>
      </c>
      <c r="Q364" s="7" t="s">
        <v>4723</v>
      </c>
      <c r="R364" s="7"/>
      <c r="S364" s="7"/>
      <c r="T364" s="7" t="n">
        <v>5</v>
      </c>
      <c r="U364" s="7" t="s">
        <v>6479</v>
      </c>
      <c r="V364" s="7" t="s">
        <v>5488</v>
      </c>
      <c r="W364" s="7" t="s">
        <v>6803</v>
      </c>
      <c r="X364" s="7" t="s">
        <v>6804</v>
      </c>
      <c r="Y364" s="7"/>
      <c r="Z364" s="7"/>
      <c r="AA364" s="7" t="s">
        <v>6438</v>
      </c>
      <c r="AB364" s="7" t="s">
        <v>6041</v>
      </c>
    </row>
    <row r="365" customFormat="false" ht="48" hidden="false" customHeight="true" outlineLevel="0" collapsed="false">
      <c r="A365" s="7" t="n">
        <v>362</v>
      </c>
      <c r="B365" s="7" t="n">
        <v>1412</v>
      </c>
      <c r="C365" s="7" t="s">
        <v>5655</v>
      </c>
      <c r="D365" s="7" t="s">
        <v>22</v>
      </c>
      <c r="E365" s="7" t="s">
        <v>3996</v>
      </c>
      <c r="F365" s="7" t="s">
        <v>3997</v>
      </c>
      <c r="G365" s="7" t="s">
        <v>3998</v>
      </c>
      <c r="H365" s="7" t="n">
        <v>38</v>
      </c>
      <c r="I365" s="7" t="s">
        <v>18</v>
      </c>
      <c r="J365" s="7" t="s">
        <v>18</v>
      </c>
      <c r="K365" s="7" t="s">
        <v>6433</v>
      </c>
      <c r="L365" s="7" t="s">
        <v>6434</v>
      </c>
      <c r="M365" s="7" t="s">
        <v>6047</v>
      </c>
      <c r="N365" s="7" t="s">
        <v>5272</v>
      </c>
      <c r="O365" s="7"/>
      <c r="P365" s="7" t="s">
        <v>5276</v>
      </c>
      <c r="Q365" s="7" t="s">
        <v>4727</v>
      </c>
      <c r="R365" s="7"/>
      <c r="S365" s="7"/>
      <c r="T365" s="7" t="n">
        <v>8</v>
      </c>
      <c r="U365" s="7" t="s">
        <v>6435</v>
      </c>
      <c r="V365" s="7" t="s">
        <v>5462</v>
      </c>
      <c r="W365" s="7" t="s">
        <v>6805</v>
      </c>
      <c r="X365" s="7" t="s">
        <v>6806</v>
      </c>
      <c r="Y365" s="7"/>
      <c r="Z365" s="7"/>
      <c r="AA365" s="7" t="s">
        <v>6438</v>
      </c>
      <c r="AB365" s="7" t="s">
        <v>6041</v>
      </c>
    </row>
    <row r="366" customFormat="false" ht="48" hidden="false" customHeight="true" outlineLevel="0" collapsed="false">
      <c r="A366" s="7" t="n">
        <v>363</v>
      </c>
      <c r="B366" s="7" t="n">
        <v>2821</v>
      </c>
      <c r="C366" s="7" t="s">
        <v>5656</v>
      </c>
      <c r="D366" s="7" t="s">
        <v>31</v>
      </c>
      <c r="E366" s="7" t="s">
        <v>4003</v>
      </c>
      <c r="F366" s="7" t="s">
        <v>4010</v>
      </c>
      <c r="G366" s="7" t="s">
        <v>3998</v>
      </c>
      <c r="H366" s="7" t="n">
        <v>61</v>
      </c>
      <c r="I366" s="7" t="s">
        <v>18</v>
      </c>
      <c r="J366" s="7" t="s">
        <v>18</v>
      </c>
      <c r="K366" s="7" t="s">
        <v>6433</v>
      </c>
      <c r="L366" s="7" t="s">
        <v>6434</v>
      </c>
      <c r="M366" s="7" t="s">
        <v>6042</v>
      </c>
      <c r="N366" s="7"/>
      <c r="O366" s="7"/>
      <c r="P366" s="7" t="s">
        <v>5268</v>
      </c>
      <c r="Q366" s="7" t="s">
        <v>4290</v>
      </c>
      <c r="R366" s="7"/>
      <c r="S366" s="7"/>
      <c r="T366" s="7" t="n">
        <v>11</v>
      </c>
      <c r="U366" s="7" t="s">
        <v>6442</v>
      </c>
      <c r="V366" s="7" t="s">
        <v>5466</v>
      </c>
      <c r="W366" s="7" t="s">
        <v>6807</v>
      </c>
      <c r="X366" s="7" t="s">
        <v>6808</v>
      </c>
      <c r="Y366" s="7"/>
      <c r="Z366" s="7"/>
      <c r="AA366" s="7" t="s">
        <v>6438</v>
      </c>
      <c r="AB366" s="7" t="s">
        <v>6041</v>
      </c>
    </row>
    <row r="367" customFormat="false" ht="48" hidden="false" customHeight="true" outlineLevel="0" collapsed="false">
      <c r="A367" s="7" t="n">
        <v>364</v>
      </c>
      <c r="B367" s="7" t="n">
        <v>1569</v>
      </c>
      <c r="C367" s="7" t="s">
        <v>5657</v>
      </c>
      <c r="D367" s="7" t="s">
        <v>23</v>
      </c>
      <c r="E367" s="7" t="s">
        <v>3217</v>
      </c>
      <c r="F367" s="7" t="s">
        <v>4038</v>
      </c>
      <c r="G367" s="7" t="s">
        <v>3998</v>
      </c>
      <c r="H367" s="7" t="n">
        <v>35</v>
      </c>
      <c r="I367" s="7" t="s">
        <v>18</v>
      </c>
      <c r="J367" s="7" t="s">
        <v>18</v>
      </c>
      <c r="K367" s="7" t="s">
        <v>6433</v>
      </c>
      <c r="L367" s="7" t="s">
        <v>6434</v>
      </c>
      <c r="M367" s="7" t="s">
        <v>6042</v>
      </c>
      <c r="N367" s="7"/>
      <c r="O367" s="7"/>
      <c r="P367" s="7" t="s">
        <v>5271</v>
      </c>
      <c r="Q367" s="7" t="s">
        <v>4734</v>
      </c>
      <c r="R367" s="7"/>
      <c r="S367" s="7"/>
      <c r="T367" s="7" t="n">
        <v>12</v>
      </c>
      <c r="U367" s="7" t="s">
        <v>6457</v>
      </c>
      <c r="V367" s="7" t="s">
        <v>5475</v>
      </c>
      <c r="W367" s="7" t="s">
        <v>6809</v>
      </c>
      <c r="X367" s="7" t="s">
        <v>6810</v>
      </c>
      <c r="Y367" s="7"/>
      <c r="Z367" s="7"/>
      <c r="AA367" s="7" t="s">
        <v>6438</v>
      </c>
      <c r="AB367" s="7" t="s">
        <v>6041</v>
      </c>
    </row>
    <row r="368" customFormat="false" ht="48" hidden="false" customHeight="true" outlineLevel="0" collapsed="false">
      <c r="A368" s="7" t="n">
        <v>365</v>
      </c>
      <c r="B368" s="7" t="n">
        <v>365</v>
      </c>
      <c r="C368" s="7" t="s">
        <v>5658</v>
      </c>
      <c r="D368" s="7" t="s">
        <v>15</v>
      </c>
      <c r="E368" s="7" t="s">
        <v>3217</v>
      </c>
      <c r="F368" s="7" t="s">
        <v>4143</v>
      </c>
      <c r="G368" s="7" t="s">
        <v>4302</v>
      </c>
      <c r="H368" s="7" t="n">
        <v>58</v>
      </c>
      <c r="I368" s="7" t="s">
        <v>20</v>
      </c>
      <c r="J368" s="7" t="s">
        <v>30</v>
      </c>
      <c r="K368" s="7" t="s">
        <v>6433</v>
      </c>
      <c r="L368" s="7" t="s">
        <v>6434</v>
      </c>
      <c r="M368" s="7" t="s">
        <v>6042</v>
      </c>
      <c r="N368" s="7"/>
      <c r="O368" s="7"/>
      <c r="P368" s="7" t="s">
        <v>5274</v>
      </c>
      <c r="Q368" s="7" t="s">
        <v>4736</v>
      </c>
      <c r="R368" s="7"/>
      <c r="S368" s="7"/>
      <c r="T368" s="7" t="n">
        <v>16</v>
      </c>
      <c r="U368" s="7" t="s">
        <v>6511</v>
      </c>
      <c r="V368" s="7" t="s">
        <v>5507</v>
      </c>
      <c r="W368" s="7" t="s">
        <v>6811</v>
      </c>
      <c r="X368" s="7" t="s">
        <v>6812</v>
      </c>
      <c r="Y368" s="7"/>
      <c r="Z368" s="7"/>
      <c r="AA368" s="7" t="s">
        <v>6438</v>
      </c>
      <c r="AB368" s="7" t="s">
        <v>6041</v>
      </c>
    </row>
    <row r="369" customFormat="false" ht="48" hidden="false" customHeight="true" outlineLevel="0" collapsed="false">
      <c r="A369" s="7" t="n">
        <v>366</v>
      </c>
      <c r="B369" s="7" t="n">
        <v>2558</v>
      </c>
      <c r="C369" s="7" t="s">
        <v>5659</v>
      </c>
      <c r="D369" s="7" t="s">
        <v>27</v>
      </c>
      <c r="E369" s="7" t="s">
        <v>4129</v>
      </c>
      <c r="F369" s="7" t="s">
        <v>4130</v>
      </c>
      <c r="G369" s="7" t="s">
        <v>3998</v>
      </c>
      <c r="H369" s="7" t="n">
        <v>9</v>
      </c>
      <c r="I369" s="7" t="s">
        <v>18</v>
      </c>
      <c r="J369" s="7" t="s">
        <v>18</v>
      </c>
      <c r="K369" s="7" t="s">
        <v>6433</v>
      </c>
      <c r="L369" s="7" t="s">
        <v>6434</v>
      </c>
      <c r="M369" s="7" t="s">
        <v>6042</v>
      </c>
      <c r="N369" s="7" t="s">
        <v>5471</v>
      </c>
      <c r="O369" s="7"/>
      <c r="P369" s="7" t="s">
        <v>5276</v>
      </c>
      <c r="Q369" s="7" t="s">
        <v>4741</v>
      </c>
      <c r="R369" s="7"/>
      <c r="S369" s="7"/>
      <c r="T369" s="7" t="n">
        <v>5</v>
      </c>
      <c r="U369" s="7" t="s">
        <v>6503</v>
      </c>
      <c r="V369" s="7" t="s">
        <v>5502</v>
      </c>
      <c r="W369" s="7" t="s">
        <v>6813</v>
      </c>
      <c r="X369" s="7" t="s">
        <v>6814</v>
      </c>
      <c r="Y369" s="7"/>
      <c r="Z369" s="7"/>
      <c r="AA369" s="7" t="s">
        <v>6452</v>
      </c>
      <c r="AB369" s="7" t="s">
        <v>6041</v>
      </c>
    </row>
    <row r="370" customFormat="false" ht="48" hidden="false" customHeight="true" outlineLevel="0" collapsed="false">
      <c r="A370" s="7" t="n">
        <v>367</v>
      </c>
      <c r="B370" s="7" t="n">
        <v>2661</v>
      </c>
      <c r="C370" s="7" t="s">
        <v>5660</v>
      </c>
      <c r="D370" s="7" t="s">
        <v>29</v>
      </c>
      <c r="E370" s="7" t="s">
        <v>3217</v>
      </c>
      <c r="F370" s="7" t="s">
        <v>3898</v>
      </c>
      <c r="G370" s="7" t="s">
        <v>4025</v>
      </c>
      <c r="H370" s="7" t="n">
        <v>12</v>
      </c>
      <c r="I370" s="7" t="s">
        <v>20</v>
      </c>
      <c r="J370" s="7" t="s">
        <v>33</v>
      </c>
      <c r="K370" s="7" t="s">
        <v>6433</v>
      </c>
      <c r="L370" s="7" t="s">
        <v>6434</v>
      </c>
      <c r="M370" s="7" t="s">
        <v>6042</v>
      </c>
      <c r="N370" s="7"/>
      <c r="O370" s="7"/>
      <c r="P370" s="7" t="s">
        <v>5276</v>
      </c>
      <c r="Q370" s="7" t="s">
        <v>4745</v>
      </c>
      <c r="R370" s="7"/>
      <c r="S370" s="7"/>
      <c r="T370" s="7" t="n">
        <v>4</v>
      </c>
      <c r="U370" s="7" t="s">
        <v>6390</v>
      </c>
      <c r="V370" s="7" t="s">
        <v>5440</v>
      </c>
      <c r="W370" s="7" t="s">
        <v>6815</v>
      </c>
      <c r="X370" s="7" t="s">
        <v>6816</v>
      </c>
      <c r="Y370" s="7"/>
      <c r="Z370" s="7"/>
      <c r="AA370" s="7" t="s">
        <v>6648</v>
      </c>
      <c r="AB370" s="7" t="s">
        <v>6041</v>
      </c>
    </row>
    <row r="371" customFormat="false" ht="48" hidden="false" customHeight="true" outlineLevel="0" collapsed="false">
      <c r="A371" s="7" t="n">
        <v>368</v>
      </c>
      <c r="B371" s="7" t="n">
        <v>1272</v>
      </c>
      <c r="C371" s="7" t="s">
        <v>5661</v>
      </c>
      <c r="D371" s="7" t="s">
        <v>19</v>
      </c>
      <c r="E371" s="7" t="s">
        <v>4003</v>
      </c>
      <c r="F371" s="7" t="s">
        <v>4004</v>
      </c>
      <c r="G371" s="7" t="s">
        <v>4005</v>
      </c>
      <c r="H371" s="7" t="n">
        <v>162</v>
      </c>
      <c r="I371" s="7" t="s">
        <v>20</v>
      </c>
      <c r="J371" s="7" t="s">
        <v>28</v>
      </c>
      <c r="K371" s="7" t="s">
        <v>6433</v>
      </c>
      <c r="L371" s="7" t="s">
        <v>6434</v>
      </c>
      <c r="M371" s="7" t="s">
        <v>6047</v>
      </c>
      <c r="N371" s="7" t="s">
        <v>5272</v>
      </c>
      <c r="O371" s="7"/>
      <c r="P371" s="7" t="s">
        <v>5276</v>
      </c>
      <c r="Q371" s="7" t="s">
        <v>4749</v>
      </c>
      <c r="R371" s="7"/>
      <c r="S371" s="7"/>
      <c r="T371" s="7" t="n">
        <v>36</v>
      </c>
      <c r="U371" s="7" t="s">
        <v>6439</v>
      </c>
      <c r="V371" s="7" t="s">
        <v>5464</v>
      </c>
      <c r="W371" s="7" t="s">
        <v>6817</v>
      </c>
      <c r="X371" s="7" t="s">
        <v>6818</v>
      </c>
      <c r="Y371" s="7"/>
      <c r="Z371" s="7"/>
      <c r="AA371" s="7" t="s">
        <v>6438</v>
      </c>
      <c r="AB371" s="7" t="s">
        <v>6041</v>
      </c>
    </row>
    <row r="372" customFormat="false" ht="48" hidden="false" customHeight="true" outlineLevel="0" collapsed="false">
      <c r="A372" s="7" t="n">
        <v>369</v>
      </c>
      <c r="B372" s="7" t="n">
        <v>1374</v>
      </c>
      <c r="C372" s="7" t="s">
        <v>5662</v>
      </c>
      <c r="D372" s="7" t="s">
        <v>19</v>
      </c>
      <c r="E372" s="7" t="s">
        <v>3217</v>
      </c>
      <c r="F372" s="7" t="s">
        <v>4139</v>
      </c>
      <c r="G372" s="7" t="s">
        <v>4071</v>
      </c>
      <c r="H372" s="7" t="n">
        <v>99</v>
      </c>
      <c r="I372" s="7" t="s">
        <v>20</v>
      </c>
      <c r="J372" s="7" t="s">
        <v>28</v>
      </c>
      <c r="K372" s="7" t="s">
        <v>6433</v>
      </c>
      <c r="L372" s="7" t="s">
        <v>6434</v>
      </c>
      <c r="M372" s="7" t="s">
        <v>6042</v>
      </c>
      <c r="N372" s="7"/>
      <c r="O372" s="7"/>
      <c r="P372" s="7" t="s">
        <v>5276</v>
      </c>
      <c r="Q372" s="7" t="s">
        <v>4753</v>
      </c>
      <c r="R372" s="7"/>
      <c r="S372" s="7"/>
      <c r="T372" s="7" t="n">
        <v>25</v>
      </c>
      <c r="U372" s="7" t="s">
        <v>6508</v>
      </c>
      <c r="V372" s="7" t="s">
        <v>5505</v>
      </c>
      <c r="W372" s="7" t="s">
        <v>6819</v>
      </c>
      <c r="X372" s="7" t="s">
        <v>6820</v>
      </c>
      <c r="Y372" s="7"/>
      <c r="Z372" s="7"/>
      <c r="AA372" s="7" t="s">
        <v>6438</v>
      </c>
      <c r="AB372" s="7" t="s">
        <v>6041</v>
      </c>
    </row>
    <row r="373" customFormat="false" ht="48" hidden="false" customHeight="true" outlineLevel="0" collapsed="false">
      <c r="A373" s="7" t="n">
        <v>370</v>
      </c>
      <c r="B373" s="7" t="n">
        <v>984</v>
      </c>
      <c r="C373" s="7" t="s">
        <v>5663</v>
      </c>
      <c r="D373" s="7" t="s">
        <v>21</v>
      </c>
      <c r="E373" s="7" t="s">
        <v>4058</v>
      </c>
      <c r="F373" s="7" t="s">
        <v>4059</v>
      </c>
      <c r="G373" s="7" t="s">
        <v>3998</v>
      </c>
      <c r="H373" s="7" t="n">
        <v>84</v>
      </c>
      <c r="I373" s="7" t="s">
        <v>18</v>
      </c>
      <c r="J373" s="7" t="s">
        <v>18</v>
      </c>
      <c r="K373" s="7" t="s">
        <v>6433</v>
      </c>
      <c r="L373" s="7" t="s">
        <v>6434</v>
      </c>
      <c r="M373" s="7" t="s">
        <v>6042</v>
      </c>
      <c r="N373" s="7"/>
      <c r="O373" s="7"/>
      <c r="P373" s="7" t="s">
        <v>5276</v>
      </c>
      <c r="Q373" s="7" t="s">
        <v>4756</v>
      </c>
      <c r="R373" s="7"/>
      <c r="S373" s="7"/>
      <c r="T373" s="7" t="n">
        <v>15</v>
      </c>
      <c r="U373" s="7" t="s">
        <v>6467</v>
      </c>
      <c r="V373" s="7" t="s">
        <v>5481</v>
      </c>
      <c r="W373" s="7" t="s">
        <v>6821</v>
      </c>
      <c r="X373" s="7" t="s">
        <v>6822</v>
      </c>
      <c r="Y373" s="7"/>
      <c r="Z373" s="7"/>
      <c r="AA373" s="7" t="s">
        <v>6438</v>
      </c>
      <c r="AB373" s="7" t="s">
        <v>6041</v>
      </c>
    </row>
    <row r="374" customFormat="false" ht="48" hidden="false" customHeight="true" outlineLevel="0" collapsed="false">
      <c r="A374" s="7" t="n">
        <v>371</v>
      </c>
      <c r="B374" s="7" t="n">
        <v>1553</v>
      </c>
      <c r="C374" s="7" t="s">
        <v>5664</v>
      </c>
      <c r="D374" s="7" t="s">
        <v>23</v>
      </c>
      <c r="E374" s="7" t="s">
        <v>3217</v>
      </c>
      <c r="F374" s="7" t="s">
        <v>4038</v>
      </c>
      <c r="G374" s="7" t="s">
        <v>3998</v>
      </c>
      <c r="H374" s="7" t="n">
        <v>19</v>
      </c>
      <c r="I374" s="7" t="s">
        <v>18</v>
      </c>
      <c r="J374" s="7" t="s">
        <v>18</v>
      </c>
      <c r="K374" s="7" t="s">
        <v>6433</v>
      </c>
      <c r="L374" s="7" t="s">
        <v>6434</v>
      </c>
      <c r="M374" s="7" t="s">
        <v>6047</v>
      </c>
      <c r="N374" s="7" t="s">
        <v>5272</v>
      </c>
      <c r="O374" s="7"/>
      <c r="P374" s="7" t="s">
        <v>5271</v>
      </c>
      <c r="Q374" s="7" t="s">
        <v>4761</v>
      </c>
      <c r="R374" s="7"/>
      <c r="S374" s="7"/>
      <c r="T374" s="7" t="n">
        <v>8</v>
      </c>
      <c r="U374" s="7" t="s">
        <v>6457</v>
      </c>
      <c r="V374" s="7" t="s">
        <v>5475</v>
      </c>
      <c r="W374" s="7" t="s">
        <v>6823</v>
      </c>
      <c r="X374" s="7" t="s">
        <v>6824</v>
      </c>
      <c r="Y374" s="7"/>
      <c r="Z374" s="7"/>
      <c r="AA374" s="7" t="s">
        <v>6438</v>
      </c>
      <c r="AB374" s="7" t="s">
        <v>6041</v>
      </c>
    </row>
    <row r="375" customFormat="false" ht="48" hidden="false" customHeight="true" outlineLevel="0" collapsed="false">
      <c r="A375" s="7" t="n">
        <v>372</v>
      </c>
      <c r="B375" s="7" t="n">
        <v>648</v>
      </c>
      <c r="C375" s="7" t="s">
        <v>5665</v>
      </c>
      <c r="D375" s="7" t="s">
        <v>17</v>
      </c>
      <c r="E375" s="7" t="s">
        <v>4044</v>
      </c>
      <c r="F375" s="7" t="s">
        <v>4045</v>
      </c>
      <c r="G375" s="7" t="s">
        <v>3998</v>
      </c>
      <c r="H375" s="7" t="n">
        <v>78</v>
      </c>
      <c r="I375" s="7" t="s">
        <v>18</v>
      </c>
      <c r="J375" s="7" t="s">
        <v>18</v>
      </c>
      <c r="K375" s="7" t="s">
        <v>6433</v>
      </c>
      <c r="L375" s="7" t="s">
        <v>6434</v>
      </c>
      <c r="M375" s="7" t="s">
        <v>6042</v>
      </c>
      <c r="N375" s="7"/>
      <c r="O375" s="7"/>
      <c r="P375" s="7" t="s">
        <v>5271</v>
      </c>
      <c r="Q375" s="7" t="s">
        <v>4765</v>
      </c>
      <c r="R375" s="7"/>
      <c r="S375" s="7"/>
      <c r="T375" s="7" t="n">
        <v>16</v>
      </c>
      <c r="U375" s="7" t="s">
        <v>6460</v>
      </c>
      <c r="V375" s="7" t="s">
        <v>5477</v>
      </c>
      <c r="W375" s="7" t="s">
        <v>6825</v>
      </c>
      <c r="X375" s="7" t="s">
        <v>6826</v>
      </c>
      <c r="Y375" s="7"/>
      <c r="Z375" s="7"/>
      <c r="AA375" s="7" t="s">
        <v>6438</v>
      </c>
      <c r="AB375" s="7" t="s">
        <v>6041</v>
      </c>
    </row>
    <row r="376" customFormat="false" ht="48" hidden="false" customHeight="true" outlineLevel="0" collapsed="false">
      <c r="A376" s="7" t="n">
        <v>373</v>
      </c>
      <c r="B376" s="7" t="n">
        <v>201</v>
      </c>
      <c r="C376" s="7" t="s">
        <v>5666</v>
      </c>
      <c r="D376" s="7" t="s">
        <v>15</v>
      </c>
      <c r="E376" s="7" t="s">
        <v>3996</v>
      </c>
      <c r="F376" s="7" t="s">
        <v>4030</v>
      </c>
      <c r="G376" s="7" t="s">
        <v>4302</v>
      </c>
      <c r="H376" s="7" t="n">
        <v>47</v>
      </c>
      <c r="I376" s="7" t="s">
        <v>20</v>
      </c>
      <c r="J376" s="7" t="s">
        <v>30</v>
      </c>
      <c r="K376" s="7" t="s">
        <v>6433</v>
      </c>
      <c r="L376" s="7" t="s">
        <v>6434</v>
      </c>
      <c r="M376" s="7" t="s">
        <v>6047</v>
      </c>
      <c r="N376" s="7" t="s">
        <v>5272</v>
      </c>
      <c r="O376" s="7"/>
      <c r="P376" s="7" t="s">
        <v>5268</v>
      </c>
      <c r="Q376" s="7" t="s">
        <v>4770</v>
      </c>
      <c r="R376" s="7"/>
      <c r="S376" s="7"/>
      <c r="T376" s="7" t="n">
        <v>13</v>
      </c>
      <c r="U376" s="7" t="s">
        <v>6453</v>
      </c>
      <c r="V376" s="7" t="s">
        <v>5473</v>
      </c>
      <c r="W376" s="7" t="s">
        <v>6827</v>
      </c>
      <c r="X376" s="7" t="s">
        <v>6828</v>
      </c>
      <c r="Y376" s="7"/>
      <c r="Z376" s="7"/>
      <c r="AA376" s="7" t="s">
        <v>6438</v>
      </c>
      <c r="AB376" s="7" t="s">
        <v>6041</v>
      </c>
    </row>
    <row r="377" customFormat="false" ht="48" hidden="false" customHeight="true" outlineLevel="0" collapsed="false">
      <c r="A377" s="7" t="n">
        <v>374</v>
      </c>
      <c r="B377" s="7" t="n">
        <v>971</v>
      </c>
      <c r="C377" s="7" t="s">
        <v>5667</v>
      </c>
      <c r="D377" s="7" t="s">
        <v>21</v>
      </c>
      <c r="E377" s="7" t="s">
        <v>4058</v>
      </c>
      <c r="F377" s="7" t="s">
        <v>4059</v>
      </c>
      <c r="G377" s="7" t="s">
        <v>3998</v>
      </c>
      <c r="H377" s="7" t="n">
        <v>71</v>
      </c>
      <c r="I377" s="7" t="s">
        <v>18</v>
      </c>
      <c r="J377" s="7" t="s">
        <v>18</v>
      </c>
      <c r="K377" s="7" t="s">
        <v>6433</v>
      </c>
      <c r="L377" s="7" t="s">
        <v>6434</v>
      </c>
      <c r="M377" s="7" t="s">
        <v>6042</v>
      </c>
      <c r="N377" s="7"/>
      <c r="O377" s="7"/>
      <c r="P377" s="7" t="s">
        <v>5268</v>
      </c>
      <c r="Q377" s="7" t="s">
        <v>4774</v>
      </c>
      <c r="R377" s="7"/>
      <c r="S377" s="7"/>
      <c r="T377" s="7" t="n">
        <v>13</v>
      </c>
      <c r="U377" s="7" t="s">
        <v>6467</v>
      </c>
      <c r="V377" s="7" t="s">
        <v>5481</v>
      </c>
      <c r="W377" s="7" t="s">
        <v>6829</v>
      </c>
      <c r="X377" s="7" t="s">
        <v>6830</v>
      </c>
      <c r="Y377" s="7"/>
      <c r="Z377" s="7"/>
      <c r="AA377" s="7" t="s">
        <v>6438</v>
      </c>
      <c r="AB377" s="7" t="s">
        <v>6041</v>
      </c>
    </row>
    <row r="378" customFormat="false" ht="48" hidden="false" customHeight="true" outlineLevel="0" collapsed="false">
      <c r="A378" s="7" t="n">
        <v>375</v>
      </c>
      <c r="B378" s="7" t="n">
        <v>2152</v>
      </c>
      <c r="C378" s="7" t="s">
        <v>5668</v>
      </c>
      <c r="D378" s="7" t="s">
        <v>25</v>
      </c>
      <c r="E378" s="7" t="s">
        <v>4003</v>
      </c>
      <c r="F378" s="7" t="s">
        <v>4224</v>
      </c>
      <c r="G378" s="7" t="s">
        <v>4005</v>
      </c>
      <c r="H378" s="7" t="n">
        <v>101</v>
      </c>
      <c r="I378" s="7" t="s">
        <v>20</v>
      </c>
      <c r="J378" s="7" t="s">
        <v>28</v>
      </c>
      <c r="K378" s="7" t="s">
        <v>6433</v>
      </c>
      <c r="L378" s="7" t="s">
        <v>6434</v>
      </c>
      <c r="M378" s="7" t="s">
        <v>6042</v>
      </c>
      <c r="N378" s="7"/>
      <c r="O378" s="7"/>
      <c r="P378" s="7" t="s">
        <v>5271</v>
      </c>
      <c r="Q378" s="7" t="s">
        <v>4777</v>
      </c>
      <c r="R378" s="7"/>
      <c r="S378" s="7"/>
      <c r="T378" s="7" t="n">
        <v>20</v>
      </c>
      <c r="U378" s="7" t="s">
        <v>6550</v>
      </c>
      <c r="V378" s="7" t="s">
        <v>5527</v>
      </c>
      <c r="W378" s="7" t="s">
        <v>6831</v>
      </c>
      <c r="X378" s="7" t="s">
        <v>6832</v>
      </c>
      <c r="Y378" s="7"/>
      <c r="Z378" s="7"/>
      <c r="AA378" s="7" t="s">
        <v>6438</v>
      </c>
      <c r="AB378" s="7" t="s">
        <v>6041</v>
      </c>
    </row>
    <row r="379" customFormat="false" ht="48" hidden="false" customHeight="true" outlineLevel="0" collapsed="false">
      <c r="A379" s="7" t="n">
        <v>376</v>
      </c>
      <c r="B379" s="7" t="n">
        <v>1487</v>
      </c>
      <c r="C379" s="7" t="s">
        <v>5669</v>
      </c>
      <c r="D379" s="7" t="s">
        <v>22</v>
      </c>
      <c r="E379" s="7" t="s">
        <v>3996</v>
      </c>
      <c r="F379" s="7" t="s">
        <v>3997</v>
      </c>
      <c r="G379" s="7" t="s">
        <v>3998</v>
      </c>
      <c r="H379" s="7" t="n">
        <v>113</v>
      </c>
      <c r="I379" s="7" t="s">
        <v>18</v>
      </c>
      <c r="J379" s="7" t="s">
        <v>18</v>
      </c>
      <c r="K379" s="7" t="s">
        <v>6433</v>
      </c>
      <c r="L379" s="7" t="s">
        <v>6434</v>
      </c>
      <c r="M379" s="7" t="s">
        <v>6042</v>
      </c>
      <c r="N379" s="7"/>
      <c r="O379" s="7"/>
      <c r="P379" s="7" t="s">
        <v>5276</v>
      </c>
      <c r="Q379" s="7" t="s">
        <v>4780</v>
      </c>
      <c r="R379" s="7"/>
      <c r="S379" s="7"/>
      <c r="T379" s="7" t="n">
        <v>21</v>
      </c>
      <c r="U379" s="7" t="s">
        <v>6435</v>
      </c>
      <c r="V379" s="7" t="s">
        <v>5462</v>
      </c>
      <c r="W379" s="7" t="s">
        <v>6833</v>
      </c>
      <c r="X379" s="7" t="s">
        <v>6834</v>
      </c>
      <c r="Y379" s="7"/>
      <c r="Z379" s="7"/>
      <c r="AA379" s="7" t="s">
        <v>6438</v>
      </c>
      <c r="AB379" s="7" t="s">
        <v>6041</v>
      </c>
    </row>
    <row r="380" customFormat="false" ht="48" hidden="false" customHeight="true" outlineLevel="0" collapsed="false">
      <c r="A380" s="7" t="n">
        <v>377</v>
      </c>
      <c r="B380" s="7" t="n">
        <v>2639</v>
      </c>
      <c r="C380" s="7" t="s">
        <v>5670</v>
      </c>
      <c r="D380" s="7" t="s">
        <v>27</v>
      </c>
      <c r="E380" s="7" t="s">
        <v>4129</v>
      </c>
      <c r="F380" s="7" t="s">
        <v>4130</v>
      </c>
      <c r="G380" s="7" t="s">
        <v>3998</v>
      </c>
      <c r="H380" s="7" t="n">
        <v>90</v>
      </c>
      <c r="I380" s="7" t="s">
        <v>18</v>
      </c>
      <c r="J380" s="7" t="s">
        <v>18</v>
      </c>
      <c r="K380" s="7" t="s">
        <v>6433</v>
      </c>
      <c r="L380" s="7" t="s">
        <v>6434</v>
      </c>
      <c r="M380" s="7" t="s">
        <v>6042</v>
      </c>
      <c r="N380" s="7"/>
      <c r="O380" s="7"/>
      <c r="P380" s="7" t="s">
        <v>5274</v>
      </c>
      <c r="Q380" s="7" t="s">
        <v>4783</v>
      </c>
      <c r="R380" s="7"/>
      <c r="S380" s="7"/>
      <c r="T380" s="7" t="n">
        <v>23</v>
      </c>
      <c r="U380" s="7" t="s">
        <v>6503</v>
      </c>
      <c r="V380" s="7" t="s">
        <v>5502</v>
      </c>
      <c r="W380" s="7" t="s">
        <v>6835</v>
      </c>
      <c r="X380" s="7" t="s">
        <v>6836</v>
      </c>
      <c r="Y380" s="7"/>
      <c r="Z380" s="7"/>
      <c r="AA380" s="7" t="s">
        <v>6438</v>
      </c>
      <c r="AB380" s="7" t="s">
        <v>6041</v>
      </c>
    </row>
    <row r="381" customFormat="false" ht="48" hidden="false" customHeight="true" outlineLevel="0" collapsed="false">
      <c r="A381" s="7" t="n">
        <v>378</v>
      </c>
      <c r="B381" s="7" t="n">
        <v>1005</v>
      </c>
      <c r="C381" s="7" t="s">
        <v>5671</v>
      </c>
      <c r="D381" s="7" t="s">
        <v>21</v>
      </c>
      <c r="E381" s="7" t="s">
        <v>4058</v>
      </c>
      <c r="F381" s="7" t="s">
        <v>4059</v>
      </c>
      <c r="G381" s="7" t="s">
        <v>4005</v>
      </c>
      <c r="H381" s="7" t="n">
        <v>105</v>
      </c>
      <c r="I381" s="7" t="s">
        <v>20</v>
      </c>
      <c r="J381" s="7" t="s">
        <v>28</v>
      </c>
      <c r="K381" s="7" t="s">
        <v>6433</v>
      </c>
      <c r="L381" s="7" t="s">
        <v>6434</v>
      </c>
      <c r="M381" s="7" t="s">
        <v>6042</v>
      </c>
      <c r="N381" s="7"/>
      <c r="O381" s="7"/>
      <c r="P381" s="7" t="s">
        <v>5274</v>
      </c>
      <c r="Q381" s="7" t="s">
        <v>4787</v>
      </c>
      <c r="R381" s="7"/>
      <c r="S381" s="7"/>
      <c r="T381" s="7" t="n">
        <v>19</v>
      </c>
      <c r="U381" s="7" t="s">
        <v>6467</v>
      </c>
      <c r="V381" s="7" t="s">
        <v>5481</v>
      </c>
      <c r="W381" s="7" t="s">
        <v>6837</v>
      </c>
      <c r="X381" s="7" t="s">
        <v>6838</v>
      </c>
      <c r="Y381" s="7"/>
      <c r="Z381" s="7"/>
      <c r="AA381" s="7" t="s">
        <v>6438</v>
      </c>
      <c r="AB381" s="7" t="s">
        <v>6041</v>
      </c>
    </row>
    <row r="382" customFormat="false" ht="48" hidden="false" customHeight="true" outlineLevel="0" collapsed="false">
      <c r="A382" s="7" t="n">
        <v>379</v>
      </c>
      <c r="B382" s="7" t="n">
        <v>278</v>
      </c>
      <c r="C382" s="7" t="s">
        <v>5672</v>
      </c>
      <c r="D382" s="7" t="s">
        <v>15</v>
      </c>
      <c r="E382" s="7" t="s">
        <v>3996</v>
      </c>
      <c r="F382" s="7" t="s">
        <v>4030</v>
      </c>
      <c r="G382" s="7" t="s">
        <v>4031</v>
      </c>
      <c r="H382" s="7" t="n">
        <v>124</v>
      </c>
      <c r="I382" s="7" t="s">
        <v>20</v>
      </c>
      <c r="J382" s="7" t="s">
        <v>32</v>
      </c>
      <c r="K382" s="7" t="s">
        <v>6433</v>
      </c>
      <c r="L382" s="7" t="s">
        <v>6434</v>
      </c>
      <c r="M382" s="7" t="s">
        <v>6042</v>
      </c>
      <c r="N382" s="7"/>
      <c r="O382" s="7"/>
      <c r="P382" s="7" t="s">
        <v>5276</v>
      </c>
      <c r="Q382" s="7" t="s">
        <v>4792</v>
      </c>
      <c r="R382" s="7" t="s">
        <v>4037</v>
      </c>
      <c r="S382" s="7"/>
      <c r="T382" s="7" t="n">
        <v>33</v>
      </c>
      <c r="U382" s="7" t="s">
        <v>6453</v>
      </c>
      <c r="V382" s="7" t="s">
        <v>5473</v>
      </c>
      <c r="W382" s="7" t="s">
        <v>6839</v>
      </c>
      <c r="X382" s="7" t="s">
        <v>6840</v>
      </c>
      <c r="Y382" s="7"/>
      <c r="Z382" s="7" t="s">
        <v>4037</v>
      </c>
      <c r="AA382" s="7" t="s">
        <v>6456</v>
      </c>
      <c r="AB382" s="7" t="s">
        <v>6041</v>
      </c>
    </row>
    <row r="383" customFormat="false" ht="48" hidden="false" customHeight="true" outlineLevel="0" collapsed="false">
      <c r="A383" s="7" t="n">
        <v>380</v>
      </c>
      <c r="B383" s="7" t="n">
        <v>1072</v>
      </c>
      <c r="C383" s="7" t="s">
        <v>5673</v>
      </c>
      <c r="D383" s="7" t="s">
        <v>21</v>
      </c>
      <c r="E383" s="7" t="s">
        <v>3217</v>
      </c>
      <c r="F383" s="7" t="s">
        <v>4108</v>
      </c>
      <c r="G383" s="7" t="s">
        <v>3998</v>
      </c>
      <c r="H383" s="7" t="n">
        <v>67</v>
      </c>
      <c r="I383" s="7" t="s">
        <v>18</v>
      </c>
      <c r="J383" s="7" t="s">
        <v>18</v>
      </c>
      <c r="K383" s="7" t="s">
        <v>6433</v>
      </c>
      <c r="L383" s="7" t="s">
        <v>6434</v>
      </c>
      <c r="M383" s="7" t="s">
        <v>6042</v>
      </c>
      <c r="N383" s="7"/>
      <c r="O383" s="7"/>
      <c r="P383" s="7" t="s">
        <v>5274</v>
      </c>
      <c r="Q383" s="7" t="s">
        <v>4795</v>
      </c>
      <c r="R383" s="7"/>
      <c r="S383" s="7"/>
      <c r="T383" s="7" t="n">
        <v>12</v>
      </c>
      <c r="U383" s="7" t="s">
        <v>6492</v>
      </c>
      <c r="V383" s="7" t="s">
        <v>5496</v>
      </c>
      <c r="W383" s="7" t="s">
        <v>6841</v>
      </c>
      <c r="X383" s="7" t="s">
        <v>6842</v>
      </c>
      <c r="Y383" s="7"/>
      <c r="Z383" s="7"/>
      <c r="AA383" s="7" t="s">
        <v>6438</v>
      </c>
      <c r="AB383" s="7" t="s">
        <v>6041</v>
      </c>
    </row>
    <row r="384" customFormat="false" ht="48" hidden="false" customHeight="true" outlineLevel="0" collapsed="false">
      <c r="A384" s="7" t="n">
        <v>381</v>
      </c>
      <c r="B384" s="7" t="n">
        <v>2904</v>
      </c>
      <c r="C384" s="7" t="s">
        <v>5674</v>
      </c>
      <c r="D384" s="7" t="s">
        <v>31</v>
      </c>
      <c r="E384" s="7" t="s">
        <v>4003</v>
      </c>
      <c r="F384" s="7" t="s">
        <v>4010</v>
      </c>
      <c r="G384" s="7" t="s">
        <v>3998</v>
      </c>
      <c r="H384" s="7" t="n">
        <v>144</v>
      </c>
      <c r="I384" s="7" t="s">
        <v>18</v>
      </c>
      <c r="J384" s="7" t="s">
        <v>18</v>
      </c>
      <c r="K384" s="7" t="s">
        <v>6433</v>
      </c>
      <c r="L384" s="7" t="s">
        <v>6434</v>
      </c>
      <c r="M384" s="7" t="s">
        <v>6047</v>
      </c>
      <c r="N384" s="7" t="s">
        <v>5272</v>
      </c>
      <c r="O384" s="7"/>
      <c r="P384" s="7" t="s">
        <v>5276</v>
      </c>
      <c r="Q384" s="7" t="s">
        <v>4800</v>
      </c>
      <c r="R384" s="7"/>
      <c r="S384" s="7"/>
      <c r="T384" s="7" t="n">
        <v>23</v>
      </c>
      <c r="U384" s="7" t="s">
        <v>6442</v>
      </c>
      <c r="V384" s="7" t="s">
        <v>5466</v>
      </c>
      <c r="W384" s="7" t="s">
        <v>6843</v>
      </c>
      <c r="X384" s="7" t="s">
        <v>6844</v>
      </c>
      <c r="Y384" s="7"/>
      <c r="Z384" s="7"/>
      <c r="AA384" s="7" t="s">
        <v>6438</v>
      </c>
      <c r="AB384" s="7" t="s">
        <v>6041</v>
      </c>
    </row>
    <row r="385" customFormat="false" ht="48" hidden="false" customHeight="true" outlineLevel="0" collapsed="false">
      <c r="A385" s="7" t="n">
        <v>382</v>
      </c>
      <c r="B385" s="7" t="n">
        <v>2672</v>
      </c>
      <c r="C385" s="7" t="s">
        <v>5675</v>
      </c>
      <c r="D385" s="7" t="s">
        <v>29</v>
      </c>
      <c r="E385" s="7" t="s">
        <v>3217</v>
      </c>
      <c r="F385" s="7" t="s">
        <v>3898</v>
      </c>
      <c r="G385" s="7" t="s">
        <v>4025</v>
      </c>
      <c r="H385" s="7" t="n">
        <v>23</v>
      </c>
      <c r="I385" s="7" t="s">
        <v>20</v>
      </c>
      <c r="J385" s="7" t="s">
        <v>33</v>
      </c>
      <c r="K385" s="7" t="s">
        <v>6433</v>
      </c>
      <c r="L385" s="7" t="s">
        <v>6434</v>
      </c>
      <c r="M385" s="7" t="s">
        <v>6047</v>
      </c>
      <c r="N385" s="7" t="s">
        <v>5272</v>
      </c>
      <c r="O385" s="7"/>
      <c r="P385" s="7" t="s">
        <v>5274</v>
      </c>
      <c r="Q385" s="7" t="s">
        <v>4803</v>
      </c>
      <c r="R385" s="7"/>
      <c r="S385" s="7"/>
      <c r="T385" s="7" t="n">
        <v>7</v>
      </c>
      <c r="U385" s="7" t="s">
        <v>6390</v>
      </c>
      <c r="V385" s="7" t="s">
        <v>5440</v>
      </c>
      <c r="W385" s="7" t="s">
        <v>6845</v>
      </c>
      <c r="X385" s="7" t="s">
        <v>6846</v>
      </c>
      <c r="Y385" s="7"/>
      <c r="Z385" s="7"/>
      <c r="AA385" s="7" t="s">
        <v>6648</v>
      </c>
      <c r="AB385" s="7" t="s">
        <v>6041</v>
      </c>
    </row>
    <row r="386" customFormat="false" ht="48" hidden="false" customHeight="true" outlineLevel="0" collapsed="false">
      <c r="A386" s="7" t="n">
        <v>383</v>
      </c>
      <c r="B386" s="7" t="n">
        <v>1573</v>
      </c>
      <c r="C386" s="7" t="s">
        <v>5676</v>
      </c>
      <c r="D386" s="7" t="s">
        <v>23</v>
      </c>
      <c r="E386" s="7" t="s">
        <v>3217</v>
      </c>
      <c r="F386" s="7" t="s">
        <v>4038</v>
      </c>
      <c r="G386" s="7" t="s">
        <v>3998</v>
      </c>
      <c r="H386" s="7" t="n">
        <v>39</v>
      </c>
      <c r="I386" s="7" t="s">
        <v>18</v>
      </c>
      <c r="J386" s="7" t="s">
        <v>18</v>
      </c>
      <c r="K386" s="7" t="s">
        <v>6433</v>
      </c>
      <c r="L386" s="7" t="s">
        <v>6434</v>
      </c>
      <c r="M386" s="7" t="s">
        <v>6047</v>
      </c>
      <c r="N386" s="7" t="s">
        <v>5272</v>
      </c>
      <c r="O386" s="7"/>
      <c r="P386" s="7" t="s">
        <v>5276</v>
      </c>
      <c r="Q386" s="7" t="s">
        <v>4808</v>
      </c>
      <c r="R386" s="7"/>
      <c r="S386" s="7"/>
      <c r="T386" s="7" t="n">
        <v>13</v>
      </c>
      <c r="U386" s="7" t="s">
        <v>6457</v>
      </c>
      <c r="V386" s="7" t="s">
        <v>5475</v>
      </c>
      <c r="W386" s="7" t="s">
        <v>6847</v>
      </c>
      <c r="X386" s="7" t="s">
        <v>6848</v>
      </c>
      <c r="Y386" s="7"/>
      <c r="Z386" s="7"/>
      <c r="AA386" s="7" t="s">
        <v>6438</v>
      </c>
      <c r="AB386" s="7" t="s">
        <v>6041</v>
      </c>
    </row>
    <row r="387" customFormat="false" ht="48" hidden="false" customHeight="true" outlineLevel="0" collapsed="false">
      <c r="A387" s="7" t="n">
        <v>384</v>
      </c>
      <c r="B387" s="7" t="n">
        <v>1527</v>
      </c>
      <c r="C387" s="7" t="s">
        <v>5677</v>
      </c>
      <c r="D387" s="7" t="s">
        <v>22</v>
      </c>
      <c r="E387" s="7" t="s">
        <v>3996</v>
      </c>
      <c r="F387" s="7" t="s">
        <v>3997</v>
      </c>
      <c r="G387" s="7" t="s">
        <v>4005</v>
      </c>
      <c r="H387" s="7" t="n">
        <v>153</v>
      </c>
      <c r="I387" s="7" t="s">
        <v>20</v>
      </c>
      <c r="J387" s="7" t="s">
        <v>28</v>
      </c>
      <c r="K387" s="7" t="s">
        <v>6433</v>
      </c>
      <c r="L387" s="7" t="s">
        <v>6434</v>
      </c>
      <c r="M387" s="7" t="s">
        <v>6042</v>
      </c>
      <c r="N387" s="7"/>
      <c r="O387" s="7"/>
      <c r="P387" s="7" t="s">
        <v>5268</v>
      </c>
      <c r="Q387" s="7" t="s">
        <v>4814</v>
      </c>
      <c r="R387" s="7"/>
      <c r="S387" s="7"/>
      <c r="T387" s="7" t="n">
        <v>27</v>
      </c>
      <c r="U387" s="7" t="s">
        <v>6435</v>
      </c>
      <c r="V387" s="7" t="s">
        <v>5462</v>
      </c>
      <c r="W387" s="7" t="s">
        <v>6849</v>
      </c>
      <c r="X387" s="7" t="s">
        <v>6850</v>
      </c>
      <c r="Y387" s="7"/>
      <c r="Z387" s="7"/>
      <c r="AA387" s="7" t="s">
        <v>6438</v>
      </c>
      <c r="AB387" s="7" t="s">
        <v>6041</v>
      </c>
    </row>
    <row r="388" customFormat="false" ht="48" hidden="false" customHeight="true" outlineLevel="0" collapsed="false">
      <c r="A388" s="7" t="n">
        <v>385</v>
      </c>
      <c r="B388" s="7" t="n">
        <v>1275</v>
      </c>
      <c r="C388" s="7" t="s">
        <v>5678</v>
      </c>
      <c r="D388" s="7" t="s">
        <v>19</v>
      </c>
      <c r="E388" s="7" t="s">
        <v>4003</v>
      </c>
      <c r="F388" s="7" t="s">
        <v>4004</v>
      </c>
      <c r="G388" s="7" t="s">
        <v>4815</v>
      </c>
      <c r="H388" s="7" t="n">
        <v>165</v>
      </c>
      <c r="I388" s="7" t="s">
        <v>20</v>
      </c>
      <c r="J388" s="7" t="s">
        <v>28</v>
      </c>
      <c r="K388" s="7" t="s">
        <v>6433</v>
      </c>
      <c r="L388" s="7" t="s">
        <v>6434</v>
      </c>
      <c r="M388" s="7" t="s">
        <v>6042</v>
      </c>
      <c r="N388" s="7"/>
      <c r="O388" s="7"/>
      <c r="P388" s="7" t="s">
        <v>5276</v>
      </c>
      <c r="Q388" s="7" t="s">
        <v>4817</v>
      </c>
      <c r="R388" s="7"/>
      <c r="S388" s="7"/>
      <c r="T388" s="7" t="n">
        <v>37</v>
      </c>
      <c r="U388" s="7" t="s">
        <v>6439</v>
      </c>
      <c r="V388" s="7" t="s">
        <v>5464</v>
      </c>
      <c r="W388" s="7" t="s">
        <v>6851</v>
      </c>
      <c r="X388" s="7" t="s">
        <v>6852</v>
      </c>
      <c r="Y388" s="7"/>
      <c r="Z388" s="7"/>
      <c r="AA388" s="7" t="s">
        <v>6438</v>
      </c>
      <c r="AB388" s="7" t="s">
        <v>6041</v>
      </c>
    </row>
    <row r="389" customFormat="false" ht="48" hidden="false" customHeight="true" outlineLevel="0" collapsed="false">
      <c r="A389" s="7" t="n">
        <v>386</v>
      </c>
      <c r="B389" s="7" t="n">
        <v>2627</v>
      </c>
      <c r="C389" s="7" t="s">
        <v>5679</v>
      </c>
      <c r="D389" s="7" t="s">
        <v>27</v>
      </c>
      <c r="E389" s="7" t="s">
        <v>4129</v>
      </c>
      <c r="F389" s="7" t="s">
        <v>4130</v>
      </c>
      <c r="G389" s="7" t="s">
        <v>3998</v>
      </c>
      <c r="H389" s="7" t="n">
        <v>78</v>
      </c>
      <c r="I389" s="7" t="s">
        <v>18</v>
      </c>
      <c r="J389" s="7" t="s">
        <v>18</v>
      </c>
      <c r="K389" s="7" t="s">
        <v>6433</v>
      </c>
      <c r="L389" s="7" t="s">
        <v>6434</v>
      </c>
      <c r="M389" s="7" t="s">
        <v>6047</v>
      </c>
      <c r="N389" s="7" t="s">
        <v>5272</v>
      </c>
      <c r="O389" s="7"/>
      <c r="P389" s="7" t="s">
        <v>5276</v>
      </c>
      <c r="Q389" s="7" t="s">
        <v>4821</v>
      </c>
      <c r="R389" s="7"/>
      <c r="S389" s="7"/>
      <c r="T389" s="7" t="n">
        <v>20</v>
      </c>
      <c r="U389" s="7" t="s">
        <v>6503</v>
      </c>
      <c r="V389" s="7" t="s">
        <v>5502</v>
      </c>
      <c r="W389" s="7" t="s">
        <v>6853</v>
      </c>
      <c r="X389" s="7" t="s">
        <v>6854</v>
      </c>
      <c r="Y389" s="7"/>
      <c r="Z389" s="7"/>
      <c r="AA389" s="7" t="s">
        <v>6438</v>
      </c>
      <c r="AB389" s="7" t="s">
        <v>6041</v>
      </c>
    </row>
    <row r="390" customFormat="false" ht="48" hidden="false" customHeight="true" outlineLevel="0" collapsed="false">
      <c r="A390" s="7" t="n">
        <v>387</v>
      </c>
      <c r="B390" s="7" t="n">
        <v>363</v>
      </c>
      <c r="C390" s="7" t="s">
        <v>5680</v>
      </c>
      <c r="D390" s="7" t="s">
        <v>15</v>
      </c>
      <c r="E390" s="7" t="s">
        <v>3217</v>
      </c>
      <c r="F390" s="7" t="s">
        <v>4143</v>
      </c>
      <c r="G390" s="7" t="s">
        <v>4302</v>
      </c>
      <c r="H390" s="7" t="n">
        <v>56</v>
      </c>
      <c r="I390" s="7" t="s">
        <v>20</v>
      </c>
      <c r="J390" s="7" t="s">
        <v>30</v>
      </c>
      <c r="K390" s="7" t="s">
        <v>6433</v>
      </c>
      <c r="L390" s="7" t="s">
        <v>6434</v>
      </c>
      <c r="M390" s="7" t="s">
        <v>6042</v>
      </c>
      <c r="N390" s="7" t="s">
        <v>5471</v>
      </c>
      <c r="O390" s="7"/>
      <c r="P390" s="7" t="s">
        <v>5271</v>
      </c>
      <c r="Q390" s="7" t="s">
        <v>4475</v>
      </c>
      <c r="R390" s="7"/>
      <c r="S390" s="7"/>
      <c r="T390" s="7" t="n">
        <v>15</v>
      </c>
      <c r="U390" s="7" t="s">
        <v>6511</v>
      </c>
      <c r="V390" s="7" t="s">
        <v>5507</v>
      </c>
      <c r="W390" s="7" t="s">
        <v>6855</v>
      </c>
      <c r="X390" s="7" t="s">
        <v>6856</v>
      </c>
      <c r="Y390" s="7"/>
      <c r="Z390" s="7"/>
      <c r="AA390" s="7" t="s">
        <v>6452</v>
      </c>
      <c r="AB390" s="7" t="s">
        <v>6041</v>
      </c>
    </row>
    <row r="391" customFormat="false" ht="48" hidden="false" customHeight="true" outlineLevel="0" collapsed="false">
      <c r="A391" s="7" t="n">
        <v>388</v>
      </c>
      <c r="B391" s="7" t="n">
        <v>1267</v>
      </c>
      <c r="C391" s="7" t="s">
        <v>5681</v>
      </c>
      <c r="D391" s="7" t="s">
        <v>19</v>
      </c>
      <c r="E391" s="7" t="s">
        <v>4003</v>
      </c>
      <c r="F391" s="7" t="s">
        <v>4004</v>
      </c>
      <c r="G391" s="7" t="s">
        <v>4005</v>
      </c>
      <c r="H391" s="7" t="n">
        <v>157</v>
      </c>
      <c r="I391" s="7" t="s">
        <v>20</v>
      </c>
      <c r="J391" s="7" t="s">
        <v>28</v>
      </c>
      <c r="K391" s="7" t="s">
        <v>6433</v>
      </c>
      <c r="L391" s="7" t="s">
        <v>6434</v>
      </c>
      <c r="M391" s="7" t="s">
        <v>6047</v>
      </c>
      <c r="N391" s="7" t="s">
        <v>5272</v>
      </c>
      <c r="O391" s="7"/>
      <c r="P391" s="7" t="s">
        <v>5268</v>
      </c>
      <c r="Q391" s="7" t="s">
        <v>4828</v>
      </c>
      <c r="R391" s="7"/>
      <c r="S391" s="7"/>
      <c r="T391" s="7" t="n">
        <v>35</v>
      </c>
      <c r="U391" s="7" t="s">
        <v>6439</v>
      </c>
      <c r="V391" s="7" t="s">
        <v>5464</v>
      </c>
      <c r="W391" s="7" t="s">
        <v>6857</v>
      </c>
      <c r="X391" s="7" t="s">
        <v>6858</v>
      </c>
      <c r="Y391" s="7"/>
      <c r="Z391" s="7"/>
      <c r="AA391" s="7" t="s">
        <v>6438</v>
      </c>
      <c r="AB391" s="7" t="s">
        <v>6041</v>
      </c>
    </row>
    <row r="392" customFormat="false" ht="48" hidden="false" customHeight="true" outlineLevel="0" collapsed="false">
      <c r="A392" s="7" t="n">
        <v>389</v>
      </c>
      <c r="B392" s="7" t="n">
        <v>2641</v>
      </c>
      <c r="C392" s="7" t="s">
        <v>5682</v>
      </c>
      <c r="D392" s="7" t="s">
        <v>27</v>
      </c>
      <c r="E392" s="7" t="s">
        <v>4129</v>
      </c>
      <c r="F392" s="7" t="s">
        <v>4130</v>
      </c>
      <c r="G392" s="7" t="s">
        <v>3998</v>
      </c>
      <c r="H392" s="7" t="n">
        <v>92</v>
      </c>
      <c r="I392" s="7" t="s">
        <v>18</v>
      </c>
      <c r="J392" s="7" t="s">
        <v>18</v>
      </c>
      <c r="K392" s="7" t="s">
        <v>6433</v>
      </c>
      <c r="L392" s="7" t="s">
        <v>6434</v>
      </c>
      <c r="M392" s="7" t="s">
        <v>6047</v>
      </c>
      <c r="N392" s="7" t="s">
        <v>5272</v>
      </c>
      <c r="O392" s="7"/>
      <c r="P392" s="7" t="s">
        <v>5274</v>
      </c>
      <c r="Q392" s="7" t="s">
        <v>4829</v>
      </c>
      <c r="R392" s="7"/>
      <c r="S392" s="7"/>
      <c r="T392" s="7" t="n">
        <v>24</v>
      </c>
      <c r="U392" s="7" t="s">
        <v>6503</v>
      </c>
      <c r="V392" s="7" t="s">
        <v>5502</v>
      </c>
      <c r="W392" s="7" t="s">
        <v>6859</v>
      </c>
      <c r="X392" s="7" t="s">
        <v>6860</v>
      </c>
      <c r="Y392" s="7"/>
      <c r="Z392" s="7"/>
      <c r="AA392" s="7" t="s">
        <v>6438</v>
      </c>
      <c r="AB392" s="7" t="s">
        <v>6041</v>
      </c>
    </row>
    <row r="393" customFormat="false" ht="48" hidden="false" customHeight="true" outlineLevel="0" collapsed="false">
      <c r="A393" s="7" t="n">
        <v>390</v>
      </c>
      <c r="B393" s="7" t="n">
        <v>2549</v>
      </c>
      <c r="C393" s="7" t="s">
        <v>5683</v>
      </c>
      <c r="D393" s="7" t="s">
        <v>27</v>
      </c>
      <c r="E393" s="7" t="s">
        <v>3996</v>
      </c>
      <c r="F393" s="7" t="s">
        <v>4070</v>
      </c>
      <c r="G393" s="7" t="s">
        <v>4071</v>
      </c>
      <c r="H393" s="7" t="n">
        <v>110</v>
      </c>
      <c r="I393" s="7" t="s">
        <v>20</v>
      </c>
      <c r="J393" s="7" t="s">
        <v>28</v>
      </c>
      <c r="K393" s="7" t="s">
        <v>6433</v>
      </c>
      <c r="L393" s="7" t="s">
        <v>6434</v>
      </c>
      <c r="M393" s="7" t="s">
        <v>6047</v>
      </c>
      <c r="N393" s="7" t="s">
        <v>5272</v>
      </c>
      <c r="O393" s="7"/>
      <c r="P393" s="7" t="s">
        <v>5268</v>
      </c>
      <c r="Q393" s="7" t="s">
        <v>4836</v>
      </c>
      <c r="R393" s="7"/>
      <c r="S393" s="7"/>
      <c r="T393" s="7" t="n">
        <v>39</v>
      </c>
      <c r="U393" s="7" t="s">
        <v>6472</v>
      </c>
      <c r="V393" s="7" t="s">
        <v>5484</v>
      </c>
      <c r="W393" s="7" t="s">
        <v>6861</v>
      </c>
      <c r="X393" s="7" t="s">
        <v>6862</v>
      </c>
      <c r="Y393" s="7"/>
      <c r="Z393" s="7"/>
      <c r="AA393" s="7" t="s">
        <v>6438</v>
      </c>
      <c r="AB393" s="7" t="s">
        <v>6041</v>
      </c>
    </row>
    <row r="394" customFormat="false" ht="48" hidden="false" customHeight="true" outlineLevel="0" collapsed="false">
      <c r="A394" s="7" t="n">
        <v>391</v>
      </c>
      <c r="B394" s="7" t="n">
        <v>1003</v>
      </c>
      <c r="C394" s="7" t="s">
        <v>5684</v>
      </c>
      <c r="D394" s="7" t="s">
        <v>21</v>
      </c>
      <c r="E394" s="7" t="s">
        <v>4058</v>
      </c>
      <c r="F394" s="7" t="s">
        <v>4059</v>
      </c>
      <c r="G394" s="7" t="s">
        <v>4005</v>
      </c>
      <c r="H394" s="7" t="n">
        <v>103</v>
      </c>
      <c r="I394" s="7" t="s">
        <v>20</v>
      </c>
      <c r="J394" s="7" t="s">
        <v>28</v>
      </c>
      <c r="K394" s="7" t="s">
        <v>6433</v>
      </c>
      <c r="L394" s="7" t="s">
        <v>6434</v>
      </c>
      <c r="M394" s="7" t="s">
        <v>6047</v>
      </c>
      <c r="N394" s="7" t="s">
        <v>5272</v>
      </c>
      <c r="O394" s="7"/>
      <c r="P394" s="7" t="s">
        <v>5274</v>
      </c>
      <c r="Q394" s="7" t="s">
        <v>4837</v>
      </c>
      <c r="R394" s="7"/>
      <c r="S394" s="7"/>
      <c r="T394" s="7" t="n">
        <v>18</v>
      </c>
      <c r="U394" s="7" t="s">
        <v>6467</v>
      </c>
      <c r="V394" s="7" t="s">
        <v>5481</v>
      </c>
      <c r="W394" s="7" t="s">
        <v>6863</v>
      </c>
      <c r="X394" s="7" t="s">
        <v>6864</v>
      </c>
      <c r="Y394" s="7"/>
      <c r="Z394" s="7"/>
      <c r="AA394" s="7" t="s">
        <v>6438</v>
      </c>
      <c r="AB394" s="7" t="s">
        <v>6041</v>
      </c>
    </row>
    <row r="395" customFormat="false" ht="48" hidden="false" customHeight="true" outlineLevel="0" collapsed="false">
      <c r="A395" s="7" t="n">
        <v>392</v>
      </c>
      <c r="B395" s="7" t="n">
        <v>2712</v>
      </c>
      <c r="C395" s="7" t="s">
        <v>5685</v>
      </c>
      <c r="D395" s="7" t="s">
        <v>29</v>
      </c>
      <c r="E395" s="7" t="s">
        <v>3217</v>
      </c>
      <c r="F395" s="7" t="s">
        <v>3898</v>
      </c>
      <c r="G395" s="7" t="s">
        <v>4025</v>
      </c>
      <c r="H395" s="7" t="n">
        <v>63</v>
      </c>
      <c r="I395" s="7" t="s">
        <v>20</v>
      </c>
      <c r="J395" s="7" t="s">
        <v>33</v>
      </c>
      <c r="K395" s="7" t="s">
        <v>6433</v>
      </c>
      <c r="L395" s="7" t="s">
        <v>6434</v>
      </c>
      <c r="M395" s="7" t="s">
        <v>6047</v>
      </c>
      <c r="N395" s="7" t="s">
        <v>5495</v>
      </c>
      <c r="O395" s="7"/>
      <c r="P395" s="7" t="s">
        <v>5276</v>
      </c>
      <c r="Q395" s="7" t="s">
        <v>4842</v>
      </c>
      <c r="R395" s="7"/>
      <c r="S395" s="7"/>
      <c r="T395" s="7" t="n">
        <v>14</v>
      </c>
      <c r="U395" s="7" t="s">
        <v>6390</v>
      </c>
      <c r="V395" s="7" t="s">
        <v>5440</v>
      </c>
      <c r="W395" s="7" t="s">
        <v>6865</v>
      </c>
      <c r="X395" s="7" t="s">
        <v>6866</v>
      </c>
      <c r="Y395" s="7"/>
      <c r="Z395" s="7"/>
      <c r="AA395" s="7" t="s">
        <v>6452</v>
      </c>
      <c r="AB395" s="7" t="s">
        <v>6041</v>
      </c>
    </row>
    <row r="396" customFormat="false" ht="48" hidden="false" customHeight="true" outlineLevel="0" collapsed="false">
      <c r="A396" s="7" t="n">
        <v>393</v>
      </c>
      <c r="B396" s="7" t="n">
        <v>1599</v>
      </c>
      <c r="C396" s="7" t="s">
        <v>5686</v>
      </c>
      <c r="D396" s="7" t="s">
        <v>23</v>
      </c>
      <c r="E396" s="7" t="s">
        <v>3217</v>
      </c>
      <c r="F396" s="7" t="s">
        <v>4038</v>
      </c>
      <c r="G396" s="7" t="s">
        <v>4039</v>
      </c>
      <c r="H396" s="7" t="n">
        <v>65</v>
      </c>
      <c r="I396" s="7" t="s">
        <v>18</v>
      </c>
      <c r="J396" s="7" t="s">
        <v>18</v>
      </c>
      <c r="K396" s="7" t="s">
        <v>6433</v>
      </c>
      <c r="L396" s="7" t="s">
        <v>6434</v>
      </c>
      <c r="M396" s="7" t="s">
        <v>6042</v>
      </c>
      <c r="N396" s="7"/>
      <c r="O396" s="7"/>
      <c r="P396" s="7" t="s">
        <v>5271</v>
      </c>
      <c r="Q396" s="7" t="s">
        <v>4847</v>
      </c>
      <c r="R396" s="7"/>
      <c r="S396" s="7"/>
      <c r="T396" s="7" t="n">
        <v>20</v>
      </c>
      <c r="U396" s="7" t="s">
        <v>6457</v>
      </c>
      <c r="V396" s="7" t="s">
        <v>5475</v>
      </c>
      <c r="W396" s="7" t="s">
        <v>6867</v>
      </c>
      <c r="X396" s="7" t="s">
        <v>6868</v>
      </c>
      <c r="Y396" s="7"/>
      <c r="Z396" s="7"/>
      <c r="AA396" s="7" t="s">
        <v>6438</v>
      </c>
      <c r="AB396" s="7" t="s">
        <v>6041</v>
      </c>
    </row>
    <row r="397" customFormat="false" ht="48" hidden="false" customHeight="true" outlineLevel="0" collapsed="false">
      <c r="A397" s="7" t="n">
        <v>394</v>
      </c>
      <c r="B397" s="7" t="n">
        <v>1307</v>
      </c>
      <c r="C397" s="7" t="s">
        <v>5687</v>
      </c>
      <c r="D397" s="7" t="s">
        <v>19</v>
      </c>
      <c r="E397" s="7" t="s">
        <v>3217</v>
      </c>
      <c r="F397" s="7" t="s">
        <v>4139</v>
      </c>
      <c r="G397" s="7" t="s">
        <v>3998</v>
      </c>
      <c r="H397" s="7" t="n">
        <v>32</v>
      </c>
      <c r="I397" s="7" t="s">
        <v>18</v>
      </c>
      <c r="J397" s="7" t="s">
        <v>18</v>
      </c>
      <c r="K397" s="7" t="s">
        <v>6433</v>
      </c>
      <c r="L397" s="7" t="s">
        <v>6434</v>
      </c>
      <c r="M397" s="7" t="s">
        <v>6042</v>
      </c>
      <c r="N397" s="7"/>
      <c r="O397" s="7"/>
      <c r="P397" s="7" t="s">
        <v>5271</v>
      </c>
      <c r="Q397" s="7" t="s">
        <v>4687</v>
      </c>
      <c r="R397" s="7"/>
      <c r="S397" s="7"/>
      <c r="T397" s="7" t="n">
        <v>9</v>
      </c>
      <c r="U397" s="7" t="s">
        <v>6508</v>
      </c>
      <c r="V397" s="7" t="s">
        <v>5505</v>
      </c>
      <c r="W397" s="7" t="s">
        <v>6869</v>
      </c>
      <c r="X397" s="7" t="s">
        <v>6870</v>
      </c>
      <c r="Y397" s="7"/>
      <c r="Z397" s="7"/>
      <c r="AA397" s="7" t="s">
        <v>6438</v>
      </c>
      <c r="AB397" s="7" t="s">
        <v>6041</v>
      </c>
    </row>
    <row r="398" customFormat="false" ht="48" hidden="false" customHeight="true" outlineLevel="0" collapsed="false">
      <c r="A398" s="7" t="n">
        <v>395</v>
      </c>
      <c r="B398" s="7" t="n">
        <v>2825</v>
      </c>
      <c r="C398" s="7" t="s">
        <v>5688</v>
      </c>
      <c r="D398" s="7" t="s">
        <v>31</v>
      </c>
      <c r="E398" s="7" t="s">
        <v>4003</v>
      </c>
      <c r="F398" s="7" t="s">
        <v>4010</v>
      </c>
      <c r="G398" s="7" t="s">
        <v>3998</v>
      </c>
      <c r="H398" s="7" t="n">
        <v>65</v>
      </c>
      <c r="I398" s="7" t="s">
        <v>18</v>
      </c>
      <c r="J398" s="7" t="s">
        <v>18</v>
      </c>
      <c r="K398" s="7" t="s">
        <v>6433</v>
      </c>
      <c r="L398" s="7" t="s">
        <v>6434</v>
      </c>
      <c r="M398" s="7" t="s">
        <v>6047</v>
      </c>
      <c r="N398" s="7" t="s">
        <v>5272</v>
      </c>
      <c r="O398" s="7"/>
      <c r="P398" s="7" t="s">
        <v>5271</v>
      </c>
      <c r="Q398" s="7" t="s">
        <v>4852</v>
      </c>
      <c r="R398" s="7"/>
      <c r="S398" s="7"/>
      <c r="T398" s="7" t="n">
        <v>12</v>
      </c>
      <c r="U398" s="7" t="s">
        <v>6442</v>
      </c>
      <c r="V398" s="7" t="s">
        <v>5466</v>
      </c>
      <c r="W398" s="7" t="s">
        <v>6871</v>
      </c>
      <c r="X398" s="7" t="s">
        <v>6872</v>
      </c>
      <c r="Y398" s="7"/>
      <c r="Z398" s="7"/>
      <c r="AA398" s="7" t="s">
        <v>6438</v>
      </c>
      <c r="AB398" s="7" t="s">
        <v>6041</v>
      </c>
    </row>
    <row r="399" customFormat="false" ht="48" hidden="false" customHeight="true" outlineLevel="0" collapsed="false">
      <c r="A399" s="7" t="n">
        <v>396</v>
      </c>
      <c r="B399" s="7" t="n">
        <v>1273</v>
      </c>
      <c r="C399" s="7" t="s">
        <v>5689</v>
      </c>
      <c r="D399" s="7" t="s">
        <v>19</v>
      </c>
      <c r="E399" s="7" t="s">
        <v>4003</v>
      </c>
      <c r="F399" s="7" t="s">
        <v>4004</v>
      </c>
      <c r="G399" s="7" t="s">
        <v>4815</v>
      </c>
      <c r="H399" s="7" t="n">
        <v>163</v>
      </c>
      <c r="I399" s="7" t="s">
        <v>20</v>
      </c>
      <c r="J399" s="7" t="s">
        <v>28</v>
      </c>
      <c r="K399" s="7" t="s">
        <v>6433</v>
      </c>
      <c r="L399" s="7" t="s">
        <v>6434</v>
      </c>
      <c r="M399" s="7" t="s">
        <v>6042</v>
      </c>
      <c r="N399" s="7"/>
      <c r="O399" s="7"/>
      <c r="P399" s="7" t="s">
        <v>5268</v>
      </c>
      <c r="Q399" s="7" t="s">
        <v>4857</v>
      </c>
      <c r="R399" s="7"/>
      <c r="S399" s="7"/>
      <c r="T399" s="7" t="n">
        <v>37</v>
      </c>
      <c r="U399" s="7" t="s">
        <v>6439</v>
      </c>
      <c r="V399" s="7" t="s">
        <v>5464</v>
      </c>
      <c r="W399" s="7" t="s">
        <v>6873</v>
      </c>
      <c r="X399" s="7" t="s">
        <v>6874</v>
      </c>
      <c r="Y399" s="7"/>
      <c r="Z399" s="7"/>
      <c r="AA399" s="7" t="s">
        <v>6438</v>
      </c>
      <c r="AB399" s="7" t="s">
        <v>6041</v>
      </c>
    </row>
    <row r="400" customFormat="false" ht="48" hidden="false" customHeight="true" outlineLevel="0" collapsed="false">
      <c r="A400" s="7" t="n">
        <v>397</v>
      </c>
      <c r="B400" s="7" t="n">
        <v>2779</v>
      </c>
      <c r="C400" s="7" t="s">
        <v>5690</v>
      </c>
      <c r="D400" s="7" t="s">
        <v>31</v>
      </c>
      <c r="E400" s="7" t="s">
        <v>4003</v>
      </c>
      <c r="F400" s="7" t="s">
        <v>4010</v>
      </c>
      <c r="G400" s="7" t="s">
        <v>3998</v>
      </c>
      <c r="H400" s="7" t="n">
        <v>19</v>
      </c>
      <c r="I400" s="7" t="s">
        <v>18</v>
      </c>
      <c r="J400" s="7" t="s">
        <v>18</v>
      </c>
      <c r="K400" s="7" t="s">
        <v>6433</v>
      </c>
      <c r="L400" s="7" t="s">
        <v>6434</v>
      </c>
      <c r="M400" s="7" t="s">
        <v>6047</v>
      </c>
      <c r="N400" s="7" t="s">
        <v>5272</v>
      </c>
      <c r="O400" s="7"/>
      <c r="P400" s="7" t="s">
        <v>5274</v>
      </c>
      <c r="Q400" s="7" t="s">
        <v>4858</v>
      </c>
      <c r="R400" s="7"/>
      <c r="S400" s="7"/>
      <c r="T400" s="7" t="n">
        <v>4</v>
      </c>
      <c r="U400" s="7" t="s">
        <v>6442</v>
      </c>
      <c r="V400" s="7" t="s">
        <v>5466</v>
      </c>
      <c r="W400" s="7" t="s">
        <v>6875</v>
      </c>
      <c r="X400" s="7" t="s">
        <v>6876</v>
      </c>
      <c r="Y400" s="7"/>
      <c r="Z400" s="7"/>
      <c r="AA400" s="7" t="s">
        <v>6438</v>
      </c>
      <c r="AB400" s="7" t="s">
        <v>6041</v>
      </c>
    </row>
    <row r="401" customFormat="false" ht="48" hidden="false" customHeight="true" outlineLevel="0" collapsed="false">
      <c r="A401" s="7" t="n">
        <v>398</v>
      </c>
      <c r="B401" s="7" t="n">
        <v>1439</v>
      </c>
      <c r="C401" s="7" t="s">
        <v>5691</v>
      </c>
      <c r="D401" s="7" t="s">
        <v>22</v>
      </c>
      <c r="E401" s="7" t="s">
        <v>3996</v>
      </c>
      <c r="F401" s="7" t="s">
        <v>3997</v>
      </c>
      <c r="G401" s="7" t="s">
        <v>3998</v>
      </c>
      <c r="H401" s="7" t="n">
        <v>65</v>
      </c>
      <c r="I401" s="7" t="s">
        <v>18</v>
      </c>
      <c r="J401" s="7" t="s">
        <v>18</v>
      </c>
      <c r="K401" s="7" t="s">
        <v>6433</v>
      </c>
      <c r="L401" s="7" t="s">
        <v>6434</v>
      </c>
      <c r="M401" s="7" t="s">
        <v>6042</v>
      </c>
      <c r="N401" s="7"/>
      <c r="O401" s="7"/>
      <c r="P401" s="7" t="s">
        <v>5271</v>
      </c>
      <c r="Q401" s="7" t="s">
        <v>4864</v>
      </c>
      <c r="R401" s="7"/>
      <c r="S401" s="7"/>
      <c r="T401" s="7" t="n">
        <v>13</v>
      </c>
      <c r="U401" s="7" t="s">
        <v>6435</v>
      </c>
      <c r="V401" s="7" t="s">
        <v>5462</v>
      </c>
      <c r="W401" s="7" t="s">
        <v>6877</v>
      </c>
      <c r="X401" s="7" t="s">
        <v>6878</v>
      </c>
      <c r="Y401" s="7"/>
      <c r="Z401" s="7"/>
      <c r="AA401" s="7" t="s">
        <v>6438</v>
      </c>
      <c r="AB401" s="7" t="s">
        <v>6041</v>
      </c>
    </row>
    <row r="402" customFormat="false" ht="48" hidden="false" customHeight="true" outlineLevel="0" collapsed="false">
      <c r="A402" s="7" t="n">
        <v>399</v>
      </c>
      <c r="B402" s="7" t="n">
        <v>1372</v>
      </c>
      <c r="C402" s="7" t="s">
        <v>5692</v>
      </c>
      <c r="D402" s="7" t="s">
        <v>19</v>
      </c>
      <c r="E402" s="7" t="s">
        <v>3217</v>
      </c>
      <c r="F402" s="7" t="s">
        <v>4139</v>
      </c>
      <c r="G402" s="7" t="s">
        <v>4071</v>
      </c>
      <c r="H402" s="7" t="n">
        <v>97</v>
      </c>
      <c r="I402" s="7" t="s">
        <v>20</v>
      </c>
      <c r="J402" s="7" t="s">
        <v>28</v>
      </c>
      <c r="K402" s="7" t="s">
        <v>6433</v>
      </c>
      <c r="L402" s="7" t="s">
        <v>6434</v>
      </c>
      <c r="M402" s="7" t="s">
        <v>6042</v>
      </c>
      <c r="N402" s="7"/>
      <c r="O402" s="7"/>
      <c r="P402" s="7" t="s">
        <v>5274</v>
      </c>
      <c r="Q402" s="7" t="s">
        <v>4866</v>
      </c>
      <c r="R402" s="7"/>
      <c r="S402" s="7"/>
      <c r="T402" s="7" t="n">
        <v>24</v>
      </c>
      <c r="U402" s="7" t="s">
        <v>6508</v>
      </c>
      <c r="V402" s="7" t="s">
        <v>5505</v>
      </c>
      <c r="W402" s="7" t="s">
        <v>6879</v>
      </c>
      <c r="X402" s="7" t="s">
        <v>6880</v>
      </c>
      <c r="Y402" s="7"/>
      <c r="Z402" s="7"/>
      <c r="AA402" s="7" t="s">
        <v>6438</v>
      </c>
      <c r="AB402" s="7" t="s">
        <v>6041</v>
      </c>
    </row>
    <row r="403" customFormat="false" ht="48" hidden="false" customHeight="true" outlineLevel="0" collapsed="false">
      <c r="A403" s="7" t="n">
        <v>400</v>
      </c>
      <c r="B403" s="7" t="n">
        <v>2623</v>
      </c>
      <c r="C403" s="7" t="s">
        <v>5693</v>
      </c>
      <c r="D403" s="7" t="s">
        <v>27</v>
      </c>
      <c r="E403" s="7" t="s">
        <v>4129</v>
      </c>
      <c r="F403" s="7" t="s">
        <v>4130</v>
      </c>
      <c r="G403" s="7" t="s">
        <v>3998</v>
      </c>
      <c r="H403" s="7" t="n">
        <v>74</v>
      </c>
      <c r="I403" s="7" t="s">
        <v>18</v>
      </c>
      <c r="J403" s="7" t="s">
        <v>18</v>
      </c>
      <c r="K403" s="7" t="s">
        <v>6433</v>
      </c>
      <c r="L403" s="7" t="s">
        <v>6434</v>
      </c>
      <c r="M403" s="7" t="s">
        <v>6042</v>
      </c>
      <c r="N403" s="7" t="s">
        <v>5471</v>
      </c>
      <c r="O403" s="7"/>
      <c r="P403" s="7" t="s">
        <v>5271</v>
      </c>
      <c r="Q403" s="7" t="s">
        <v>4870</v>
      </c>
      <c r="R403" s="7"/>
      <c r="S403" s="7"/>
      <c r="T403" s="7" t="n">
        <v>19</v>
      </c>
      <c r="U403" s="7" t="s">
        <v>6503</v>
      </c>
      <c r="V403" s="7" t="s">
        <v>5502</v>
      </c>
      <c r="W403" s="7" t="s">
        <v>6881</v>
      </c>
      <c r="X403" s="7" t="s">
        <v>6882</v>
      </c>
      <c r="Y403" s="7"/>
      <c r="Z403" s="7"/>
      <c r="AA403" s="7" t="s">
        <v>6452</v>
      </c>
      <c r="AB403" s="7" t="s">
        <v>6041</v>
      </c>
    </row>
    <row r="404" customFormat="false" ht="48" hidden="false" customHeight="true" outlineLevel="0" collapsed="false">
      <c r="A404" s="7" t="n">
        <v>401</v>
      </c>
      <c r="B404" s="7" t="n">
        <v>2765</v>
      </c>
      <c r="C404" s="7" t="s">
        <v>5694</v>
      </c>
      <c r="D404" s="7" t="s">
        <v>31</v>
      </c>
      <c r="E404" s="7" t="s">
        <v>4003</v>
      </c>
      <c r="F404" s="7" t="s">
        <v>4010</v>
      </c>
      <c r="G404" s="7" t="s">
        <v>3998</v>
      </c>
      <c r="H404" s="7" t="n">
        <v>5</v>
      </c>
      <c r="I404" s="7" t="s">
        <v>18</v>
      </c>
      <c r="J404" s="7" t="s">
        <v>18</v>
      </c>
      <c r="K404" s="7" t="s">
        <v>6433</v>
      </c>
      <c r="L404" s="7" t="s">
        <v>6434</v>
      </c>
      <c r="M404" s="7" t="s">
        <v>6042</v>
      </c>
      <c r="N404" s="7"/>
      <c r="O404" s="7"/>
      <c r="P404" s="7" t="s">
        <v>5268</v>
      </c>
      <c r="Q404" s="7" t="s">
        <v>4875</v>
      </c>
      <c r="R404" s="7"/>
      <c r="S404" s="7"/>
      <c r="T404" s="7" t="n">
        <v>1</v>
      </c>
      <c r="U404" s="7" t="s">
        <v>6442</v>
      </c>
      <c r="V404" s="7" t="s">
        <v>5466</v>
      </c>
      <c r="W404" s="7" t="s">
        <v>6883</v>
      </c>
      <c r="X404" s="7" t="s">
        <v>6884</v>
      </c>
      <c r="Y404" s="7"/>
      <c r="Z404" s="7"/>
      <c r="AA404" s="7" t="s">
        <v>6438</v>
      </c>
      <c r="AB404" s="7" t="s">
        <v>6041</v>
      </c>
    </row>
    <row r="405" customFormat="false" ht="48" hidden="false" customHeight="true" outlineLevel="0" collapsed="false">
      <c r="A405" s="7" t="n">
        <v>402</v>
      </c>
      <c r="B405" s="7" t="n">
        <v>1366</v>
      </c>
      <c r="C405" s="7" t="s">
        <v>5695</v>
      </c>
      <c r="D405" s="7" t="s">
        <v>19</v>
      </c>
      <c r="E405" s="7" t="s">
        <v>3217</v>
      </c>
      <c r="F405" s="7" t="s">
        <v>4139</v>
      </c>
      <c r="G405" s="7" t="s">
        <v>4071</v>
      </c>
      <c r="H405" s="7" t="n">
        <v>91</v>
      </c>
      <c r="I405" s="7" t="s">
        <v>20</v>
      </c>
      <c r="J405" s="7" t="s">
        <v>28</v>
      </c>
      <c r="K405" s="7" t="s">
        <v>6433</v>
      </c>
      <c r="L405" s="7" t="s">
        <v>6434</v>
      </c>
      <c r="M405" s="7" t="s">
        <v>6042</v>
      </c>
      <c r="N405" s="7"/>
      <c r="O405" s="7"/>
      <c r="P405" s="7" t="s">
        <v>5274</v>
      </c>
      <c r="Q405" s="7" t="s">
        <v>4876</v>
      </c>
      <c r="R405" s="7"/>
      <c r="S405" s="7"/>
      <c r="T405" s="7" t="n">
        <v>23</v>
      </c>
      <c r="U405" s="7" t="s">
        <v>6508</v>
      </c>
      <c r="V405" s="7" t="s">
        <v>5505</v>
      </c>
      <c r="W405" s="7" t="s">
        <v>6885</v>
      </c>
      <c r="X405" s="7" t="s">
        <v>6886</v>
      </c>
      <c r="Y405" s="7"/>
      <c r="Z405" s="7"/>
      <c r="AA405" s="7" t="s">
        <v>6438</v>
      </c>
      <c r="AB405" s="7" t="s">
        <v>6041</v>
      </c>
    </row>
    <row r="406" customFormat="false" ht="48" hidden="false" customHeight="true" outlineLevel="0" collapsed="false">
      <c r="A406" s="7" t="n">
        <v>403</v>
      </c>
      <c r="B406" s="7" t="n">
        <v>1459</v>
      </c>
      <c r="C406" s="7" t="s">
        <v>5696</v>
      </c>
      <c r="D406" s="7" t="s">
        <v>22</v>
      </c>
      <c r="E406" s="7" t="s">
        <v>3996</v>
      </c>
      <c r="F406" s="7" t="s">
        <v>3997</v>
      </c>
      <c r="G406" s="7" t="s">
        <v>3998</v>
      </c>
      <c r="H406" s="7" t="n">
        <v>85</v>
      </c>
      <c r="I406" s="7" t="s">
        <v>18</v>
      </c>
      <c r="J406" s="7" t="s">
        <v>18</v>
      </c>
      <c r="K406" s="7" t="s">
        <v>6433</v>
      </c>
      <c r="L406" s="7" t="s">
        <v>6434</v>
      </c>
      <c r="M406" s="7" t="s">
        <v>6042</v>
      </c>
      <c r="N406" s="7"/>
      <c r="O406" s="7"/>
      <c r="P406" s="7" t="s">
        <v>5276</v>
      </c>
      <c r="Q406" s="7" t="s">
        <v>4880</v>
      </c>
      <c r="R406" s="7"/>
      <c r="S406" s="7"/>
      <c r="T406" s="7" t="n">
        <v>16</v>
      </c>
      <c r="U406" s="7" t="s">
        <v>6435</v>
      </c>
      <c r="V406" s="7" t="s">
        <v>5462</v>
      </c>
      <c r="W406" s="7" t="s">
        <v>6887</v>
      </c>
      <c r="X406" s="7" t="s">
        <v>6888</v>
      </c>
      <c r="Y406" s="7"/>
      <c r="Z406" s="7"/>
      <c r="AA406" s="7" t="s">
        <v>6438</v>
      </c>
      <c r="AB406" s="7" t="s">
        <v>6041</v>
      </c>
    </row>
    <row r="407" customFormat="false" ht="48" hidden="false" customHeight="true" outlineLevel="0" collapsed="false">
      <c r="A407" s="7" t="n">
        <v>404</v>
      </c>
      <c r="B407" s="7" t="n">
        <v>2809</v>
      </c>
      <c r="C407" s="7" t="s">
        <v>5697</v>
      </c>
      <c r="D407" s="7" t="s">
        <v>31</v>
      </c>
      <c r="E407" s="7" t="s">
        <v>4003</v>
      </c>
      <c r="F407" s="7" t="s">
        <v>4010</v>
      </c>
      <c r="G407" s="7" t="s">
        <v>3998</v>
      </c>
      <c r="H407" s="7" t="n">
        <v>49</v>
      </c>
      <c r="I407" s="7" t="s">
        <v>18</v>
      </c>
      <c r="J407" s="7" t="s">
        <v>18</v>
      </c>
      <c r="K407" s="7" t="s">
        <v>6433</v>
      </c>
      <c r="L407" s="7" t="s">
        <v>6434</v>
      </c>
      <c r="M407" s="7" t="s">
        <v>6047</v>
      </c>
      <c r="N407" s="7" t="s">
        <v>5272</v>
      </c>
      <c r="O407" s="7"/>
      <c r="P407" s="7" t="s">
        <v>5274</v>
      </c>
      <c r="Q407" s="7" t="s">
        <v>4883</v>
      </c>
      <c r="R407" s="7"/>
      <c r="S407" s="7"/>
      <c r="T407" s="7" t="n">
        <v>9</v>
      </c>
      <c r="U407" s="7" t="s">
        <v>6442</v>
      </c>
      <c r="V407" s="7" t="s">
        <v>5466</v>
      </c>
      <c r="W407" s="7" t="s">
        <v>6889</v>
      </c>
      <c r="X407" s="7" t="s">
        <v>6890</v>
      </c>
      <c r="Y407" s="7"/>
      <c r="Z407" s="7"/>
      <c r="AA407" s="7" t="s">
        <v>6438</v>
      </c>
      <c r="AB407" s="7" t="s">
        <v>6041</v>
      </c>
    </row>
    <row r="408" customFormat="false" ht="48" hidden="false" customHeight="true" outlineLevel="0" collapsed="false">
      <c r="A408" s="7" t="n">
        <v>405</v>
      </c>
      <c r="B408" s="7" t="n">
        <v>406</v>
      </c>
      <c r="C408" s="7" t="s">
        <v>5698</v>
      </c>
      <c r="D408" s="7" t="s">
        <v>15</v>
      </c>
      <c r="E408" s="7" t="s">
        <v>3217</v>
      </c>
      <c r="F408" s="7" t="s">
        <v>4143</v>
      </c>
      <c r="G408" s="7" t="s">
        <v>4302</v>
      </c>
      <c r="H408" s="7" t="n">
        <v>99</v>
      </c>
      <c r="I408" s="7" t="s">
        <v>20</v>
      </c>
      <c r="J408" s="7" t="s">
        <v>30</v>
      </c>
      <c r="K408" s="7" t="s">
        <v>6433</v>
      </c>
      <c r="L408" s="7" t="s">
        <v>6434</v>
      </c>
      <c r="M408" s="7" t="s">
        <v>6042</v>
      </c>
      <c r="N408" s="7"/>
      <c r="O408" s="7"/>
      <c r="P408" s="7" t="s">
        <v>5268</v>
      </c>
      <c r="Q408" s="7" t="s">
        <v>4890</v>
      </c>
      <c r="R408" s="7"/>
      <c r="S408" s="7"/>
      <c r="T408" s="7" t="n">
        <v>26</v>
      </c>
      <c r="U408" s="7" t="s">
        <v>6511</v>
      </c>
      <c r="V408" s="7" t="s">
        <v>5507</v>
      </c>
      <c r="W408" s="7" t="s">
        <v>6891</v>
      </c>
      <c r="X408" s="7" t="s">
        <v>6892</v>
      </c>
      <c r="Y408" s="7"/>
      <c r="Z408" s="7"/>
      <c r="AA408" s="7" t="s">
        <v>6438</v>
      </c>
      <c r="AB408" s="7" t="s">
        <v>6041</v>
      </c>
    </row>
    <row r="409" customFormat="false" ht="48" hidden="false" customHeight="true" outlineLevel="0" collapsed="false">
      <c r="A409" s="7" t="n">
        <v>406</v>
      </c>
      <c r="B409" s="7" t="n">
        <v>1280</v>
      </c>
      <c r="C409" s="7" t="s">
        <v>5699</v>
      </c>
      <c r="D409" s="7" t="s">
        <v>19</v>
      </c>
      <c r="E409" s="7" t="s">
        <v>3217</v>
      </c>
      <c r="F409" s="7" t="s">
        <v>4139</v>
      </c>
      <c r="G409" s="7" t="s">
        <v>3998</v>
      </c>
      <c r="H409" s="7" t="n">
        <v>5</v>
      </c>
      <c r="I409" s="7" t="s">
        <v>18</v>
      </c>
      <c r="J409" s="7" t="s">
        <v>18</v>
      </c>
      <c r="K409" s="7" t="s">
        <v>6433</v>
      </c>
      <c r="L409" s="7" t="s">
        <v>6434</v>
      </c>
      <c r="M409" s="7" t="s">
        <v>6042</v>
      </c>
      <c r="N409" s="7"/>
      <c r="O409" s="7"/>
      <c r="P409" s="7" t="s">
        <v>5276</v>
      </c>
      <c r="Q409" s="7" t="s">
        <v>4892</v>
      </c>
      <c r="R409" s="7"/>
      <c r="S409" s="7"/>
      <c r="T409" s="7" t="n">
        <v>3</v>
      </c>
      <c r="U409" s="7" t="s">
        <v>6508</v>
      </c>
      <c r="V409" s="7" t="s">
        <v>5505</v>
      </c>
      <c r="W409" s="7" t="s">
        <v>6893</v>
      </c>
      <c r="X409" s="7" t="s">
        <v>6894</v>
      </c>
      <c r="Y409" s="7"/>
      <c r="Z409" s="7"/>
      <c r="AA409" s="7" t="s">
        <v>6438</v>
      </c>
      <c r="AB409" s="7" t="s">
        <v>6041</v>
      </c>
    </row>
    <row r="410" customFormat="false" ht="48" hidden="false" customHeight="true" outlineLevel="0" collapsed="false">
      <c r="A410" s="7" t="n">
        <v>407</v>
      </c>
      <c r="B410" s="7" t="n">
        <v>2540</v>
      </c>
      <c r="C410" s="7" t="s">
        <v>5700</v>
      </c>
      <c r="D410" s="7" t="s">
        <v>27</v>
      </c>
      <c r="E410" s="7" t="s">
        <v>3996</v>
      </c>
      <c r="F410" s="7" t="s">
        <v>4070</v>
      </c>
      <c r="G410" s="7" t="s">
        <v>4071</v>
      </c>
      <c r="H410" s="7" t="n">
        <v>101</v>
      </c>
      <c r="I410" s="7" t="s">
        <v>20</v>
      </c>
      <c r="J410" s="7" t="s">
        <v>28</v>
      </c>
      <c r="K410" s="7" t="s">
        <v>6433</v>
      </c>
      <c r="L410" s="7" t="s">
        <v>6434</v>
      </c>
      <c r="M410" s="7" t="s">
        <v>6042</v>
      </c>
      <c r="N410" s="7"/>
      <c r="O410" s="7"/>
      <c r="P410" s="7" t="s">
        <v>5268</v>
      </c>
      <c r="Q410" s="7" t="s">
        <v>4897</v>
      </c>
      <c r="R410" s="7"/>
      <c r="S410" s="7"/>
      <c r="T410" s="7" t="n">
        <v>36</v>
      </c>
      <c r="U410" s="7" t="s">
        <v>6472</v>
      </c>
      <c r="V410" s="7" t="s">
        <v>5484</v>
      </c>
      <c r="W410" s="7" t="s">
        <v>6895</v>
      </c>
      <c r="X410" s="7" t="s">
        <v>6896</v>
      </c>
      <c r="Y410" s="7"/>
      <c r="Z410" s="7"/>
      <c r="AA410" s="7" t="s">
        <v>6438</v>
      </c>
      <c r="AB410" s="7" t="s">
        <v>6041</v>
      </c>
    </row>
    <row r="411" customFormat="false" ht="48" hidden="false" customHeight="true" outlineLevel="0" collapsed="false">
      <c r="A411" s="7" t="n">
        <v>408</v>
      </c>
      <c r="B411" s="7" t="n">
        <v>2547</v>
      </c>
      <c r="C411" s="7" t="s">
        <v>5701</v>
      </c>
      <c r="D411" s="7" t="s">
        <v>27</v>
      </c>
      <c r="E411" s="7" t="s">
        <v>3996</v>
      </c>
      <c r="F411" s="7" t="s">
        <v>4070</v>
      </c>
      <c r="G411" s="7" t="s">
        <v>4071</v>
      </c>
      <c r="H411" s="7" t="n">
        <v>108</v>
      </c>
      <c r="I411" s="7" t="s">
        <v>20</v>
      </c>
      <c r="J411" s="7" t="s">
        <v>28</v>
      </c>
      <c r="K411" s="7" t="s">
        <v>6433</v>
      </c>
      <c r="L411" s="7" t="s">
        <v>6434</v>
      </c>
      <c r="M411" s="7" t="s">
        <v>6042</v>
      </c>
      <c r="N411" s="7"/>
      <c r="O411" s="7"/>
      <c r="P411" s="7" t="s">
        <v>5271</v>
      </c>
      <c r="Q411" s="7" t="s">
        <v>4900</v>
      </c>
      <c r="R411" s="7"/>
      <c r="S411" s="7"/>
      <c r="T411" s="7" t="n">
        <v>38</v>
      </c>
      <c r="U411" s="7" t="s">
        <v>6472</v>
      </c>
      <c r="V411" s="7" t="s">
        <v>5484</v>
      </c>
      <c r="W411" s="7" t="s">
        <v>6897</v>
      </c>
      <c r="X411" s="7" t="s">
        <v>6898</v>
      </c>
      <c r="Y411" s="7"/>
      <c r="Z411" s="7"/>
      <c r="AA411" s="7" t="s">
        <v>6438</v>
      </c>
      <c r="AB411" s="7" t="s">
        <v>6041</v>
      </c>
    </row>
    <row r="412" customFormat="false" ht="48" hidden="false" customHeight="true" outlineLevel="0" collapsed="false">
      <c r="A412" s="7" t="n">
        <v>409</v>
      </c>
      <c r="B412" s="7" t="n">
        <v>1373</v>
      </c>
      <c r="C412" s="7" t="s">
        <v>5702</v>
      </c>
      <c r="D412" s="7" t="s">
        <v>19</v>
      </c>
      <c r="E412" s="7" t="s">
        <v>3217</v>
      </c>
      <c r="F412" s="7" t="s">
        <v>4139</v>
      </c>
      <c r="G412" s="7" t="s">
        <v>4071</v>
      </c>
      <c r="H412" s="7" t="n">
        <v>98</v>
      </c>
      <c r="I412" s="7" t="s">
        <v>20</v>
      </c>
      <c r="J412" s="7" t="s">
        <v>28</v>
      </c>
      <c r="K412" s="7" t="s">
        <v>6433</v>
      </c>
      <c r="L412" s="7" t="s">
        <v>6434</v>
      </c>
      <c r="M412" s="7" t="s">
        <v>6047</v>
      </c>
      <c r="N412" s="7" t="s">
        <v>5272</v>
      </c>
      <c r="O412" s="7"/>
      <c r="P412" s="7" t="s">
        <v>5276</v>
      </c>
      <c r="Q412" s="7" t="s">
        <v>4903</v>
      </c>
      <c r="R412" s="7"/>
      <c r="S412" s="7"/>
      <c r="T412" s="7" t="n">
        <v>24</v>
      </c>
      <c r="U412" s="7" t="s">
        <v>6508</v>
      </c>
      <c r="V412" s="7" t="s">
        <v>5505</v>
      </c>
      <c r="W412" s="7" t="s">
        <v>6899</v>
      </c>
      <c r="X412" s="7" t="s">
        <v>6900</v>
      </c>
      <c r="Y412" s="7"/>
      <c r="Z412" s="7"/>
      <c r="AA412" s="7" t="s">
        <v>6438</v>
      </c>
      <c r="AB412" s="7" t="s">
        <v>6041</v>
      </c>
    </row>
    <row r="413" customFormat="false" ht="48" hidden="false" customHeight="true" outlineLevel="0" collapsed="false">
      <c r="A413" s="7" t="n">
        <v>410</v>
      </c>
      <c r="B413" s="7" t="n">
        <v>492</v>
      </c>
      <c r="C413" s="7" t="s">
        <v>5703</v>
      </c>
      <c r="D413" s="7" t="s">
        <v>17</v>
      </c>
      <c r="E413" s="7" t="s">
        <v>4058</v>
      </c>
      <c r="F413" s="7" t="s">
        <v>4084</v>
      </c>
      <c r="G413" s="7" t="s">
        <v>3998</v>
      </c>
      <c r="H413" s="7" t="n">
        <v>32</v>
      </c>
      <c r="I413" s="7" t="s">
        <v>18</v>
      </c>
      <c r="J413" s="7" t="s">
        <v>18</v>
      </c>
      <c r="K413" s="7" t="s">
        <v>6433</v>
      </c>
      <c r="L413" s="7" t="s">
        <v>6434</v>
      </c>
      <c r="M413" s="7" t="s">
        <v>6042</v>
      </c>
      <c r="N413" s="7"/>
      <c r="O413" s="7"/>
      <c r="P413" s="7" t="s">
        <v>5274</v>
      </c>
      <c r="Q413" s="7" t="s">
        <v>4905</v>
      </c>
      <c r="R413" s="7"/>
      <c r="S413" s="7"/>
      <c r="T413" s="7" t="n">
        <v>13</v>
      </c>
      <c r="U413" s="7" t="s">
        <v>6479</v>
      </c>
      <c r="V413" s="7" t="s">
        <v>5488</v>
      </c>
      <c r="W413" s="7" t="s">
        <v>6901</v>
      </c>
      <c r="X413" s="7" t="s">
        <v>6902</v>
      </c>
      <c r="Y413" s="7"/>
      <c r="Z413" s="7"/>
      <c r="AA413" s="7" t="s">
        <v>6438</v>
      </c>
      <c r="AB413" s="7" t="s">
        <v>6041</v>
      </c>
    </row>
    <row r="414" customFormat="false" ht="48" hidden="false" customHeight="true" outlineLevel="0" collapsed="false">
      <c r="A414" s="7" t="n">
        <v>411</v>
      </c>
      <c r="B414" s="7" t="n">
        <v>2450</v>
      </c>
      <c r="C414" s="7" t="s">
        <v>5704</v>
      </c>
      <c r="D414" s="7" t="s">
        <v>27</v>
      </c>
      <c r="E414" s="7" t="s">
        <v>3996</v>
      </c>
      <c r="F414" s="7" t="s">
        <v>4070</v>
      </c>
      <c r="G414" s="7" t="s">
        <v>3998</v>
      </c>
      <c r="H414" s="7" t="n">
        <v>11</v>
      </c>
      <c r="I414" s="7" t="s">
        <v>18</v>
      </c>
      <c r="J414" s="7" t="s">
        <v>18</v>
      </c>
      <c r="K414" s="7" t="s">
        <v>6433</v>
      </c>
      <c r="L414" s="7" t="s">
        <v>6434</v>
      </c>
      <c r="M414" s="7" t="s">
        <v>6042</v>
      </c>
      <c r="N414" s="7"/>
      <c r="O414" s="7"/>
      <c r="P414" s="7" t="s">
        <v>5271</v>
      </c>
      <c r="Q414" s="7" t="s">
        <v>4911</v>
      </c>
      <c r="R414" s="7"/>
      <c r="S414" s="7"/>
      <c r="T414" s="7" t="n">
        <v>6</v>
      </c>
      <c r="U414" s="7" t="s">
        <v>6472</v>
      </c>
      <c r="V414" s="7" t="s">
        <v>5484</v>
      </c>
      <c r="W414" s="7" t="s">
        <v>6903</v>
      </c>
      <c r="X414" s="7" t="s">
        <v>6904</v>
      </c>
      <c r="Y414" s="7"/>
      <c r="Z414" s="7"/>
      <c r="AA414" s="7" t="s">
        <v>6438</v>
      </c>
      <c r="AB414" s="7" t="s">
        <v>6041</v>
      </c>
    </row>
    <row r="415" customFormat="false" ht="48" hidden="false" customHeight="true" outlineLevel="0" collapsed="false">
      <c r="A415" s="7" t="n">
        <v>412</v>
      </c>
      <c r="B415" s="7" t="n">
        <v>2834</v>
      </c>
      <c r="C415" s="7" t="s">
        <v>5705</v>
      </c>
      <c r="D415" s="7" t="s">
        <v>31</v>
      </c>
      <c r="E415" s="7" t="s">
        <v>4003</v>
      </c>
      <c r="F415" s="7" t="s">
        <v>4010</v>
      </c>
      <c r="G415" s="7" t="s">
        <v>3998</v>
      </c>
      <c r="H415" s="7" t="n">
        <v>74</v>
      </c>
      <c r="I415" s="7" t="s">
        <v>18</v>
      </c>
      <c r="J415" s="7" t="s">
        <v>18</v>
      </c>
      <c r="K415" s="7" t="s">
        <v>6433</v>
      </c>
      <c r="L415" s="7" t="s">
        <v>6434</v>
      </c>
      <c r="M415" s="7" t="s">
        <v>6047</v>
      </c>
      <c r="N415" s="7" t="s">
        <v>5272</v>
      </c>
      <c r="O415" s="7"/>
      <c r="P415" s="7" t="s">
        <v>5274</v>
      </c>
      <c r="Q415" s="7" t="s">
        <v>4913</v>
      </c>
      <c r="R415" s="7"/>
      <c r="S415" s="7"/>
      <c r="T415" s="7" t="n">
        <v>13</v>
      </c>
      <c r="U415" s="7" t="s">
        <v>6442</v>
      </c>
      <c r="V415" s="7" t="s">
        <v>5466</v>
      </c>
      <c r="W415" s="7" t="s">
        <v>6905</v>
      </c>
      <c r="X415" s="7" t="s">
        <v>6906</v>
      </c>
      <c r="Y415" s="7"/>
      <c r="Z415" s="7"/>
      <c r="AA415" s="7" t="s">
        <v>6438</v>
      </c>
      <c r="AB415" s="7" t="s">
        <v>6041</v>
      </c>
    </row>
    <row r="416" customFormat="false" ht="48" hidden="false" customHeight="true" outlineLevel="0" collapsed="false">
      <c r="A416" s="7" t="n">
        <v>413</v>
      </c>
      <c r="B416" s="7" t="n">
        <v>1497</v>
      </c>
      <c r="C416" s="7" t="s">
        <v>5706</v>
      </c>
      <c r="D416" s="7" t="s">
        <v>22</v>
      </c>
      <c r="E416" s="7" t="s">
        <v>3996</v>
      </c>
      <c r="F416" s="7" t="s">
        <v>3997</v>
      </c>
      <c r="G416" s="7" t="s">
        <v>3998</v>
      </c>
      <c r="H416" s="7" t="n">
        <v>123</v>
      </c>
      <c r="I416" s="7" t="s">
        <v>18</v>
      </c>
      <c r="J416" s="7" t="s">
        <v>18</v>
      </c>
      <c r="K416" s="7" t="s">
        <v>6433</v>
      </c>
      <c r="L416" s="7" t="s">
        <v>6434</v>
      </c>
      <c r="M416" s="7" t="s">
        <v>6047</v>
      </c>
      <c r="N416" s="7" t="s">
        <v>5272</v>
      </c>
      <c r="O416" s="7"/>
      <c r="P416" s="7" t="s">
        <v>5268</v>
      </c>
      <c r="Q416" s="7" t="s">
        <v>4920</v>
      </c>
      <c r="R416" s="7"/>
      <c r="S416" s="7"/>
      <c r="T416" s="7" t="n">
        <v>22</v>
      </c>
      <c r="U416" s="7" t="s">
        <v>6435</v>
      </c>
      <c r="V416" s="7" t="s">
        <v>5462</v>
      </c>
      <c r="W416" s="7" t="s">
        <v>6907</v>
      </c>
      <c r="X416" s="7" t="s">
        <v>6908</v>
      </c>
      <c r="Y416" s="7"/>
      <c r="Z416" s="7"/>
      <c r="AA416" s="7" t="s">
        <v>6438</v>
      </c>
      <c r="AB416" s="7" t="s">
        <v>6041</v>
      </c>
    </row>
    <row r="417" customFormat="false" ht="48" hidden="false" customHeight="true" outlineLevel="0" collapsed="false">
      <c r="A417" s="7" t="n">
        <v>414</v>
      </c>
      <c r="B417" s="7" t="n">
        <v>2685</v>
      </c>
      <c r="C417" s="7" t="s">
        <v>5707</v>
      </c>
      <c r="D417" s="7" t="s">
        <v>29</v>
      </c>
      <c r="E417" s="7" t="s">
        <v>3217</v>
      </c>
      <c r="F417" s="7" t="s">
        <v>3898</v>
      </c>
      <c r="G417" s="7" t="s">
        <v>4025</v>
      </c>
      <c r="H417" s="7" t="n">
        <v>36</v>
      </c>
      <c r="I417" s="7" t="s">
        <v>20</v>
      </c>
      <c r="J417" s="7" t="s">
        <v>33</v>
      </c>
      <c r="K417" s="7" t="s">
        <v>6433</v>
      </c>
      <c r="L417" s="7" t="s">
        <v>6434</v>
      </c>
      <c r="M417" s="7" t="s">
        <v>6047</v>
      </c>
      <c r="N417" s="7" t="s">
        <v>5272</v>
      </c>
      <c r="O417" s="7"/>
      <c r="P417" s="7" t="s">
        <v>5276</v>
      </c>
      <c r="Q417" s="7" t="s">
        <v>4922</v>
      </c>
      <c r="R417" s="7"/>
      <c r="S417" s="7"/>
      <c r="T417" s="7" t="n">
        <v>9</v>
      </c>
      <c r="U417" s="7" t="s">
        <v>6390</v>
      </c>
      <c r="V417" s="7" t="s">
        <v>5440</v>
      </c>
      <c r="W417" s="7" t="s">
        <v>6909</v>
      </c>
      <c r="X417" s="7" t="s">
        <v>6910</v>
      </c>
      <c r="Y417" s="7"/>
      <c r="Z417" s="7"/>
      <c r="AA417" s="7" t="s">
        <v>6648</v>
      </c>
      <c r="AB417" s="7" t="s">
        <v>6041</v>
      </c>
    </row>
    <row r="418" customFormat="false" ht="48" hidden="false" customHeight="true" outlineLevel="0" collapsed="false">
      <c r="A418" s="7" t="n">
        <v>415</v>
      </c>
      <c r="B418" s="7" t="n">
        <v>1959</v>
      </c>
      <c r="C418" s="7" t="s">
        <v>5708</v>
      </c>
      <c r="D418" s="7" t="s">
        <v>25</v>
      </c>
      <c r="E418" s="7" t="s">
        <v>4019</v>
      </c>
      <c r="F418" s="7" t="s">
        <v>4020</v>
      </c>
      <c r="G418" s="7" t="s">
        <v>3998</v>
      </c>
      <c r="H418" s="7" t="n">
        <v>18</v>
      </c>
      <c r="I418" s="7" t="s">
        <v>18</v>
      </c>
      <c r="J418" s="7" t="s">
        <v>18</v>
      </c>
      <c r="K418" s="7" t="s">
        <v>6433</v>
      </c>
      <c r="L418" s="7" t="s">
        <v>6434</v>
      </c>
      <c r="M418" s="7" t="s">
        <v>6042</v>
      </c>
      <c r="N418" s="7"/>
      <c r="O418" s="7"/>
      <c r="P418" s="7" t="s">
        <v>5276</v>
      </c>
      <c r="Q418" s="7" t="s">
        <v>4926</v>
      </c>
      <c r="R418" s="7"/>
      <c r="S418" s="7"/>
      <c r="T418" s="7" t="n">
        <v>6</v>
      </c>
      <c r="U418" s="7" t="s">
        <v>6447</v>
      </c>
      <c r="V418" s="7" t="s">
        <v>5469</v>
      </c>
      <c r="W418" s="7" t="s">
        <v>6911</v>
      </c>
      <c r="X418" s="7" t="s">
        <v>6912</v>
      </c>
      <c r="Y418" s="7"/>
      <c r="Z418" s="7"/>
      <c r="AA418" s="7" t="s">
        <v>6438</v>
      </c>
      <c r="AB418" s="7" t="s">
        <v>6041</v>
      </c>
    </row>
    <row r="419" customFormat="false" ht="48" hidden="false" customHeight="true" outlineLevel="0" collapsed="false">
      <c r="A419" s="7" t="n">
        <v>416</v>
      </c>
      <c r="B419" s="7" t="n">
        <v>1261</v>
      </c>
      <c r="C419" s="7" t="s">
        <v>5709</v>
      </c>
      <c r="D419" s="7" t="s">
        <v>19</v>
      </c>
      <c r="E419" s="7" t="s">
        <v>4003</v>
      </c>
      <c r="F419" s="7" t="s">
        <v>4004</v>
      </c>
      <c r="G419" s="7" t="s">
        <v>4005</v>
      </c>
      <c r="H419" s="7" t="n">
        <v>151</v>
      </c>
      <c r="I419" s="7" t="s">
        <v>20</v>
      </c>
      <c r="J419" s="7" t="s">
        <v>28</v>
      </c>
      <c r="K419" s="7" t="s">
        <v>6433</v>
      </c>
      <c r="L419" s="7" t="s">
        <v>6434</v>
      </c>
      <c r="M419" s="7" t="s">
        <v>6042</v>
      </c>
      <c r="N419" s="7"/>
      <c r="O419" s="7"/>
      <c r="P419" s="7" t="s">
        <v>5271</v>
      </c>
      <c r="Q419" s="7" t="s">
        <v>4930</v>
      </c>
      <c r="R419" s="7"/>
      <c r="S419" s="7"/>
      <c r="T419" s="7" t="n">
        <v>34</v>
      </c>
      <c r="U419" s="7" t="s">
        <v>6439</v>
      </c>
      <c r="V419" s="7" t="s">
        <v>5464</v>
      </c>
      <c r="W419" s="7" t="s">
        <v>6913</v>
      </c>
      <c r="X419" s="7" t="s">
        <v>6914</v>
      </c>
      <c r="Y419" s="7"/>
      <c r="Z419" s="7"/>
      <c r="AA419" s="7" t="s">
        <v>6438</v>
      </c>
      <c r="AB419" s="7" t="s">
        <v>6041</v>
      </c>
    </row>
    <row r="420" customFormat="false" ht="48" hidden="false" customHeight="true" outlineLevel="0" collapsed="false">
      <c r="A420" s="7" t="n">
        <v>417</v>
      </c>
      <c r="B420" s="7" t="n">
        <v>1549</v>
      </c>
      <c r="C420" s="7" t="s">
        <v>5710</v>
      </c>
      <c r="D420" s="7" t="s">
        <v>23</v>
      </c>
      <c r="E420" s="7" t="s">
        <v>3217</v>
      </c>
      <c r="F420" s="7" t="s">
        <v>4038</v>
      </c>
      <c r="G420" s="7" t="s">
        <v>3998</v>
      </c>
      <c r="H420" s="7" t="n">
        <v>15</v>
      </c>
      <c r="I420" s="7" t="s">
        <v>18</v>
      </c>
      <c r="J420" s="7" t="s">
        <v>18</v>
      </c>
      <c r="K420" s="7" t="s">
        <v>6433</v>
      </c>
      <c r="L420" s="7" t="s">
        <v>6434</v>
      </c>
      <c r="M420" s="7" t="s">
        <v>6042</v>
      </c>
      <c r="N420" s="7"/>
      <c r="O420" s="7"/>
      <c r="P420" s="7" t="s">
        <v>5276</v>
      </c>
      <c r="Q420" s="7" t="s">
        <v>4933</v>
      </c>
      <c r="R420" s="7"/>
      <c r="S420" s="7"/>
      <c r="T420" s="7" t="n">
        <v>7</v>
      </c>
      <c r="U420" s="7" t="s">
        <v>6457</v>
      </c>
      <c r="V420" s="7" t="s">
        <v>5475</v>
      </c>
      <c r="W420" s="7" t="s">
        <v>6915</v>
      </c>
      <c r="X420" s="7" t="s">
        <v>6916</v>
      </c>
      <c r="Y420" s="7"/>
      <c r="Z420" s="7"/>
      <c r="AA420" s="7" t="s">
        <v>6438</v>
      </c>
      <c r="AB420" s="7" t="s">
        <v>6041</v>
      </c>
    </row>
    <row r="421" customFormat="false" ht="48" hidden="false" customHeight="true" outlineLevel="0" collapsed="false">
      <c r="A421" s="7" t="n">
        <v>418</v>
      </c>
      <c r="B421" s="7" t="n">
        <v>234</v>
      </c>
      <c r="C421" s="7" t="s">
        <v>5711</v>
      </c>
      <c r="D421" s="7" t="s">
        <v>15</v>
      </c>
      <c r="E421" s="7" t="s">
        <v>3996</v>
      </c>
      <c r="F421" s="7" t="s">
        <v>4030</v>
      </c>
      <c r="G421" s="7" t="s">
        <v>4302</v>
      </c>
      <c r="H421" s="7" t="n">
        <v>80</v>
      </c>
      <c r="I421" s="7" t="s">
        <v>20</v>
      </c>
      <c r="J421" s="7" t="s">
        <v>30</v>
      </c>
      <c r="K421" s="7" t="s">
        <v>6433</v>
      </c>
      <c r="L421" s="7" t="s">
        <v>6434</v>
      </c>
      <c r="M421" s="7" t="s">
        <v>6042</v>
      </c>
      <c r="N421" s="7"/>
      <c r="O421" s="7"/>
      <c r="P421" s="7" t="s">
        <v>5271</v>
      </c>
      <c r="Q421" s="7" t="s">
        <v>4938</v>
      </c>
      <c r="R421" s="7"/>
      <c r="S421" s="7"/>
      <c r="T421" s="7" t="n">
        <v>19</v>
      </c>
      <c r="U421" s="7" t="s">
        <v>6453</v>
      </c>
      <c r="V421" s="7" t="s">
        <v>5473</v>
      </c>
      <c r="W421" s="7" t="s">
        <v>6917</v>
      </c>
      <c r="X421" s="7" t="s">
        <v>6918</v>
      </c>
      <c r="Y421" s="7"/>
      <c r="Z421" s="7"/>
      <c r="AA421" s="7" t="s">
        <v>6438</v>
      </c>
      <c r="AB421" s="7" t="s">
        <v>6041</v>
      </c>
    </row>
    <row r="422" customFormat="false" ht="48" hidden="false" customHeight="true" outlineLevel="0" collapsed="false">
      <c r="A422" s="7" t="n">
        <v>419</v>
      </c>
      <c r="B422" s="7" t="n">
        <v>360</v>
      </c>
      <c r="C422" s="7" t="s">
        <v>5712</v>
      </c>
      <c r="D422" s="7" t="s">
        <v>15</v>
      </c>
      <c r="E422" s="7" t="s">
        <v>3217</v>
      </c>
      <c r="F422" s="7" t="s">
        <v>4143</v>
      </c>
      <c r="G422" s="7" t="s">
        <v>4302</v>
      </c>
      <c r="H422" s="7" t="n">
        <v>53</v>
      </c>
      <c r="I422" s="7" t="s">
        <v>20</v>
      </c>
      <c r="J422" s="7" t="s">
        <v>30</v>
      </c>
      <c r="K422" s="7" t="s">
        <v>6433</v>
      </c>
      <c r="L422" s="7" t="s">
        <v>6434</v>
      </c>
      <c r="M422" s="7" t="s">
        <v>6042</v>
      </c>
      <c r="N422" s="7"/>
      <c r="O422" s="7"/>
      <c r="P422" s="7" t="s">
        <v>5274</v>
      </c>
      <c r="Q422" s="7" t="s">
        <v>4940</v>
      </c>
      <c r="R422" s="7"/>
      <c r="S422" s="7"/>
      <c r="T422" s="7" t="n">
        <v>14</v>
      </c>
      <c r="U422" s="7" t="s">
        <v>6511</v>
      </c>
      <c r="V422" s="7" t="s">
        <v>5507</v>
      </c>
      <c r="W422" s="7" t="s">
        <v>6919</v>
      </c>
      <c r="X422" s="7" t="s">
        <v>6920</v>
      </c>
      <c r="Y422" s="7"/>
      <c r="Z422" s="7"/>
      <c r="AA422" s="7" t="s">
        <v>6438</v>
      </c>
      <c r="AB422" s="7" t="s">
        <v>6041</v>
      </c>
    </row>
    <row r="423" customFormat="false" ht="48" hidden="false" customHeight="true" outlineLevel="0" collapsed="false">
      <c r="A423" s="7" t="n">
        <v>420</v>
      </c>
      <c r="B423" s="7" t="n">
        <v>1546</v>
      </c>
      <c r="C423" s="7" t="s">
        <v>5713</v>
      </c>
      <c r="D423" s="7" t="s">
        <v>23</v>
      </c>
      <c r="E423" s="7" t="s">
        <v>3217</v>
      </c>
      <c r="F423" s="7" t="s">
        <v>4038</v>
      </c>
      <c r="G423" s="7" t="s">
        <v>3998</v>
      </c>
      <c r="H423" s="7" t="n">
        <v>12</v>
      </c>
      <c r="I423" s="7" t="s">
        <v>18</v>
      </c>
      <c r="J423" s="7" t="s">
        <v>18</v>
      </c>
      <c r="K423" s="7" t="s">
        <v>6433</v>
      </c>
      <c r="L423" s="7" t="s">
        <v>6434</v>
      </c>
      <c r="M423" s="7" t="s">
        <v>6042</v>
      </c>
      <c r="N423" s="7"/>
      <c r="O423" s="7"/>
      <c r="P423" s="7" t="s">
        <v>5268</v>
      </c>
      <c r="Q423" s="7" t="s">
        <v>3360</v>
      </c>
      <c r="R423" s="7"/>
      <c r="S423" s="7"/>
      <c r="T423" s="7" t="n">
        <v>6</v>
      </c>
      <c r="U423" s="7" t="s">
        <v>6457</v>
      </c>
      <c r="V423" s="7" t="s">
        <v>5475</v>
      </c>
      <c r="W423" s="7" t="s">
        <v>6921</v>
      </c>
      <c r="X423" s="7" t="s">
        <v>6922</v>
      </c>
      <c r="Y423" s="7"/>
      <c r="Z423" s="7"/>
      <c r="AA423" s="7" t="s">
        <v>6438</v>
      </c>
      <c r="AB423" s="7" t="s">
        <v>6041</v>
      </c>
    </row>
    <row r="424" customFormat="false" ht="48" hidden="false" customHeight="true" outlineLevel="0" collapsed="false">
      <c r="A424" s="7" t="n">
        <v>421</v>
      </c>
      <c r="B424" s="7" t="n">
        <v>1026</v>
      </c>
      <c r="C424" s="7" t="s">
        <v>5714</v>
      </c>
      <c r="D424" s="7" t="s">
        <v>21</v>
      </c>
      <c r="E424" s="7" t="s">
        <v>3217</v>
      </c>
      <c r="F424" s="7" t="s">
        <v>4108</v>
      </c>
      <c r="G424" s="7" t="s">
        <v>3998</v>
      </c>
      <c r="H424" s="7" t="n">
        <v>21</v>
      </c>
      <c r="I424" s="7" t="s">
        <v>18</v>
      </c>
      <c r="J424" s="7" t="s">
        <v>18</v>
      </c>
      <c r="K424" s="7" t="s">
        <v>6433</v>
      </c>
      <c r="L424" s="7" t="s">
        <v>6434</v>
      </c>
      <c r="M424" s="7" t="s">
        <v>6042</v>
      </c>
      <c r="N424" s="7"/>
      <c r="O424" s="7"/>
      <c r="P424" s="7" t="s">
        <v>5276</v>
      </c>
      <c r="Q424" s="7" t="s">
        <v>4948</v>
      </c>
      <c r="R424" s="7"/>
      <c r="S424" s="7"/>
      <c r="T424" s="7" t="n">
        <v>5</v>
      </c>
      <c r="U424" s="7" t="s">
        <v>6492</v>
      </c>
      <c r="V424" s="7" t="s">
        <v>5496</v>
      </c>
      <c r="W424" s="7" t="s">
        <v>6923</v>
      </c>
      <c r="X424" s="7" t="s">
        <v>6924</v>
      </c>
      <c r="Y424" s="7"/>
      <c r="Z424" s="7"/>
      <c r="AA424" s="7" t="s">
        <v>6438</v>
      </c>
      <c r="AB424" s="7" t="s">
        <v>6041</v>
      </c>
    </row>
    <row r="425" customFormat="false" ht="48" hidden="false" customHeight="true" outlineLevel="0" collapsed="false">
      <c r="A425" s="7" t="n">
        <v>422</v>
      </c>
      <c r="B425" s="7" t="n">
        <v>2523</v>
      </c>
      <c r="C425" s="7" t="s">
        <v>5715</v>
      </c>
      <c r="D425" s="7" t="s">
        <v>27</v>
      </c>
      <c r="E425" s="7" t="s">
        <v>3996</v>
      </c>
      <c r="F425" s="7" t="s">
        <v>4070</v>
      </c>
      <c r="G425" s="7" t="s">
        <v>3998</v>
      </c>
      <c r="H425" s="7" t="n">
        <v>84</v>
      </c>
      <c r="I425" s="7" t="s">
        <v>18</v>
      </c>
      <c r="J425" s="7" t="s">
        <v>18</v>
      </c>
      <c r="K425" s="7" t="s">
        <v>6433</v>
      </c>
      <c r="L425" s="7" t="s">
        <v>6434</v>
      </c>
      <c r="M425" s="7" t="s">
        <v>6042</v>
      </c>
      <c r="N425" s="7"/>
      <c r="O425" s="7"/>
      <c r="P425" s="7" t="s">
        <v>5271</v>
      </c>
      <c r="Q425" s="7" t="s">
        <v>4953</v>
      </c>
      <c r="R425" s="7"/>
      <c r="S425" s="7"/>
      <c r="T425" s="7" t="n">
        <v>30</v>
      </c>
      <c r="U425" s="7" t="s">
        <v>6472</v>
      </c>
      <c r="V425" s="7" t="s">
        <v>5484</v>
      </c>
      <c r="W425" s="7" t="s">
        <v>6925</v>
      </c>
      <c r="X425" s="7" t="s">
        <v>6926</v>
      </c>
      <c r="Y425" s="7"/>
      <c r="Z425" s="7"/>
      <c r="AA425" s="7" t="s">
        <v>6438</v>
      </c>
      <c r="AB425" s="7" t="s">
        <v>6041</v>
      </c>
    </row>
    <row r="426" customFormat="false" ht="48" hidden="false" customHeight="true" outlineLevel="0" collapsed="false">
      <c r="A426" s="7" t="n">
        <v>423</v>
      </c>
      <c r="B426" s="7" t="n">
        <v>674</v>
      </c>
      <c r="C426" s="7" t="s">
        <v>5716</v>
      </c>
      <c r="D426" s="7" t="s">
        <v>17</v>
      </c>
      <c r="E426" s="7" t="s">
        <v>4044</v>
      </c>
      <c r="F426" s="7" t="s">
        <v>4045</v>
      </c>
      <c r="G426" s="7" t="s">
        <v>4005</v>
      </c>
      <c r="H426" s="7" t="n">
        <v>104</v>
      </c>
      <c r="I426" s="7" t="s">
        <v>20</v>
      </c>
      <c r="J426" s="7" t="s">
        <v>28</v>
      </c>
      <c r="K426" s="7" t="s">
        <v>6433</v>
      </c>
      <c r="L426" s="7" t="s">
        <v>6434</v>
      </c>
      <c r="M426" s="7" t="s">
        <v>6047</v>
      </c>
      <c r="N426" s="7" t="s">
        <v>5272</v>
      </c>
      <c r="O426" s="7"/>
      <c r="P426" s="7" t="s">
        <v>5268</v>
      </c>
      <c r="Q426" s="7" t="s">
        <v>4958</v>
      </c>
      <c r="R426" s="7"/>
      <c r="S426" s="7"/>
      <c r="T426" s="7" t="n">
        <v>20</v>
      </c>
      <c r="U426" s="7" t="s">
        <v>6460</v>
      </c>
      <c r="V426" s="7" t="s">
        <v>5477</v>
      </c>
      <c r="W426" s="7" t="s">
        <v>6927</v>
      </c>
      <c r="X426" s="7" t="s">
        <v>6928</v>
      </c>
      <c r="Y426" s="7"/>
      <c r="Z426" s="7"/>
      <c r="AA426" s="7" t="s">
        <v>6438</v>
      </c>
      <c r="AB426" s="7" t="s">
        <v>6041</v>
      </c>
    </row>
    <row r="427" customFormat="false" ht="48" hidden="false" customHeight="true" outlineLevel="0" collapsed="false">
      <c r="A427" s="7" t="n">
        <v>424</v>
      </c>
      <c r="B427" s="7" t="n">
        <v>2816</v>
      </c>
      <c r="C427" s="7" t="s">
        <v>5717</v>
      </c>
      <c r="D427" s="7" t="s">
        <v>31</v>
      </c>
      <c r="E427" s="7" t="s">
        <v>4003</v>
      </c>
      <c r="F427" s="7" t="s">
        <v>4010</v>
      </c>
      <c r="G427" s="7" t="s">
        <v>3998</v>
      </c>
      <c r="H427" s="7" t="n">
        <v>56</v>
      </c>
      <c r="I427" s="7" t="s">
        <v>18</v>
      </c>
      <c r="J427" s="7" t="s">
        <v>18</v>
      </c>
      <c r="K427" s="7" t="s">
        <v>6433</v>
      </c>
      <c r="L427" s="7" t="s">
        <v>6434</v>
      </c>
      <c r="M427" s="7" t="s">
        <v>6042</v>
      </c>
      <c r="N427" s="7" t="s">
        <v>5471</v>
      </c>
      <c r="O427" s="7"/>
      <c r="P427" s="7" t="s">
        <v>5274</v>
      </c>
      <c r="Q427" s="7" t="s">
        <v>4959</v>
      </c>
      <c r="R427" s="7"/>
      <c r="S427" s="7"/>
      <c r="T427" s="7" t="n">
        <v>10</v>
      </c>
      <c r="U427" s="7" t="s">
        <v>6442</v>
      </c>
      <c r="V427" s="7" t="s">
        <v>5466</v>
      </c>
      <c r="W427" s="7" t="s">
        <v>6929</v>
      </c>
      <c r="X427" s="7" t="s">
        <v>6930</v>
      </c>
      <c r="Y427" s="7"/>
      <c r="Z427" s="7"/>
      <c r="AA427" s="7" t="s">
        <v>6452</v>
      </c>
      <c r="AB427" s="7" t="s">
        <v>6041</v>
      </c>
    </row>
    <row r="428" customFormat="false" ht="48" hidden="false" customHeight="true" outlineLevel="0" collapsed="false">
      <c r="A428" s="7" t="n">
        <v>425</v>
      </c>
      <c r="B428" s="7" t="n">
        <v>562</v>
      </c>
      <c r="C428" s="7" t="s">
        <v>5718</v>
      </c>
      <c r="D428" s="7" t="s">
        <v>17</v>
      </c>
      <c r="E428" s="7" t="s">
        <v>4058</v>
      </c>
      <c r="F428" s="7" t="s">
        <v>4084</v>
      </c>
      <c r="G428" s="7" t="s">
        <v>4005</v>
      </c>
      <c r="H428" s="7" t="n">
        <v>102</v>
      </c>
      <c r="I428" s="7" t="s">
        <v>20</v>
      </c>
      <c r="J428" s="7" t="s">
        <v>28</v>
      </c>
      <c r="K428" s="7" t="s">
        <v>6433</v>
      </c>
      <c r="L428" s="7" t="s">
        <v>6434</v>
      </c>
      <c r="M428" s="7" t="s">
        <v>6042</v>
      </c>
      <c r="N428" s="7"/>
      <c r="O428" s="7"/>
      <c r="P428" s="7" t="s">
        <v>5271</v>
      </c>
      <c r="Q428" s="7" t="s">
        <v>4965</v>
      </c>
      <c r="R428" s="7"/>
      <c r="S428" s="7"/>
      <c r="T428" s="7" t="n">
        <v>37</v>
      </c>
      <c r="U428" s="7" t="s">
        <v>6479</v>
      </c>
      <c r="V428" s="7" t="s">
        <v>5488</v>
      </c>
      <c r="W428" s="7" t="s">
        <v>6931</v>
      </c>
      <c r="X428" s="7" t="s">
        <v>6932</v>
      </c>
      <c r="Y428" s="7"/>
      <c r="Z428" s="7"/>
      <c r="AA428" s="7" t="s">
        <v>6438</v>
      </c>
      <c r="AB428" s="7" t="s">
        <v>6041</v>
      </c>
    </row>
    <row r="429" customFormat="false" ht="48" hidden="false" customHeight="true" outlineLevel="0" collapsed="false">
      <c r="A429" s="7" t="n">
        <v>426</v>
      </c>
      <c r="B429" s="7" t="n">
        <v>1534</v>
      </c>
      <c r="C429" s="7" t="s">
        <v>5719</v>
      </c>
      <c r="D429" s="7" t="s">
        <v>22</v>
      </c>
      <c r="E429" s="7" t="s">
        <v>3996</v>
      </c>
      <c r="F429" s="7" t="s">
        <v>3997</v>
      </c>
      <c r="G429" s="7" t="s">
        <v>4005</v>
      </c>
      <c r="H429" s="7" t="n">
        <v>160</v>
      </c>
      <c r="I429" s="7" t="s">
        <v>20</v>
      </c>
      <c r="J429" s="7" t="s">
        <v>28</v>
      </c>
      <c r="K429" s="7" t="s">
        <v>6433</v>
      </c>
      <c r="L429" s="7" t="s">
        <v>6434</v>
      </c>
      <c r="M429" s="7" t="s">
        <v>6047</v>
      </c>
      <c r="N429" s="7" t="s">
        <v>5272</v>
      </c>
      <c r="O429" s="7"/>
      <c r="P429" s="7" t="s">
        <v>5274</v>
      </c>
      <c r="Q429" s="7" t="s">
        <v>4967</v>
      </c>
      <c r="R429" s="7"/>
      <c r="S429" s="7"/>
      <c r="T429" s="7" t="n">
        <v>29</v>
      </c>
      <c r="U429" s="7" t="s">
        <v>6435</v>
      </c>
      <c r="V429" s="7" t="s">
        <v>5462</v>
      </c>
      <c r="W429" s="7" t="s">
        <v>6933</v>
      </c>
      <c r="X429" s="7" t="s">
        <v>6934</v>
      </c>
      <c r="Y429" s="7"/>
      <c r="Z429" s="7"/>
      <c r="AA429" s="7" t="s">
        <v>6438</v>
      </c>
      <c r="AB429" s="7" t="s">
        <v>6041</v>
      </c>
    </row>
    <row r="430" customFormat="false" ht="48" hidden="false" customHeight="true" outlineLevel="0" collapsed="false">
      <c r="A430" s="7" t="n">
        <v>427</v>
      </c>
      <c r="B430" s="7" t="n">
        <v>2737</v>
      </c>
      <c r="C430" s="7" t="s">
        <v>5720</v>
      </c>
      <c r="D430" s="7" t="s">
        <v>29</v>
      </c>
      <c r="E430" s="7" t="s">
        <v>3217</v>
      </c>
      <c r="F430" s="7" t="s">
        <v>3898</v>
      </c>
      <c r="G430" s="7" t="s">
        <v>4971</v>
      </c>
      <c r="H430" s="7" t="n">
        <v>88</v>
      </c>
      <c r="I430" s="7" t="s">
        <v>20</v>
      </c>
      <c r="J430" s="7" t="s">
        <v>33</v>
      </c>
      <c r="K430" s="7" t="s">
        <v>6433</v>
      </c>
      <c r="L430" s="7" t="s">
        <v>6434</v>
      </c>
      <c r="M430" s="7" t="s">
        <v>6042</v>
      </c>
      <c r="N430" s="7"/>
      <c r="O430" s="7"/>
      <c r="P430" s="7" t="s">
        <v>5268</v>
      </c>
      <c r="Q430" s="7" t="s">
        <v>4975</v>
      </c>
      <c r="R430" s="7"/>
      <c r="S430" s="7"/>
      <c r="T430" s="7" t="n">
        <v>19</v>
      </c>
      <c r="U430" s="7" t="s">
        <v>6390</v>
      </c>
      <c r="V430" s="7" t="s">
        <v>5440</v>
      </c>
      <c r="W430" s="7" t="s">
        <v>6935</v>
      </c>
      <c r="X430" s="7" t="s">
        <v>6936</v>
      </c>
      <c r="Y430" s="7"/>
      <c r="Z430" s="7"/>
      <c r="AA430" s="7" t="s">
        <v>6648</v>
      </c>
      <c r="AB430" s="7" t="s">
        <v>6041</v>
      </c>
    </row>
    <row r="431" customFormat="false" ht="48" hidden="false" customHeight="true" outlineLevel="0" collapsed="false">
      <c r="A431" s="7" t="n">
        <v>428</v>
      </c>
      <c r="B431" s="7" t="n">
        <v>1413</v>
      </c>
      <c r="C431" s="7" t="s">
        <v>5721</v>
      </c>
      <c r="D431" s="7" t="s">
        <v>22</v>
      </c>
      <c r="E431" s="7" t="s">
        <v>3996</v>
      </c>
      <c r="F431" s="7" t="s">
        <v>3997</v>
      </c>
      <c r="G431" s="7" t="s">
        <v>3998</v>
      </c>
      <c r="H431" s="7" t="n">
        <v>39</v>
      </c>
      <c r="I431" s="7" t="s">
        <v>18</v>
      </c>
      <c r="J431" s="7" t="s">
        <v>18</v>
      </c>
      <c r="K431" s="7" t="s">
        <v>6433</v>
      </c>
      <c r="L431" s="7" t="s">
        <v>6434</v>
      </c>
      <c r="M431" s="7" t="s">
        <v>6042</v>
      </c>
      <c r="N431" s="7"/>
      <c r="O431" s="7"/>
      <c r="P431" s="7" t="s">
        <v>5276</v>
      </c>
      <c r="Q431" s="7" t="s">
        <v>4977</v>
      </c>
      <c r="R431" s="7"/>
      <c r="S431" s="7"/>
      <c r="T431" s="7" t="n">
        <v>8</v>
      </c>
      <c r="U431" s="7" t="s">
        <v>6435</v>
      </c>
      <c r="V431" s="7" t="s">
        <v>5462</v>
      </c>
      <c r="W431" s="7" t="s">
        <v>6937</v>
      </c>
      <c r="X431" s="7" t="s">
        <v>6938</v>
      </c>
      <c r="Y431" s="7"/>
      <c r="Z431" s="7"/>
      <c r="AA431" s="7" t="s">
        <v>6438</v>
      </c>
      <c r="AB431" s="7" t="s">
        <v>6041</v>
      </c>
    </row>
    <row r="432" customFormat="false" ht="48" hidden="false" customHeight="true" outlineLevel="0" collapsed="false">
      <c r="A432" s="7" t="n">
        <v>429</v>
      </c>
      <c r="B432" s="7" t="n">
        <v>2830</v>
      </c>
      <c r="C432" s="7" t="s">
        <v>5722</v>
      </c>
      <c r="D432" s="7" t="s">
        <v>31</v>
      </c>
      <c r="E432" s="7" t="s">
        <v>4003</v>
      </c>
      <c r="F432" s="7" t="s">
        <v>4010</v>
      </c>
      <c r="G432" s="7" t="s">
        <v>3998</v>
      </c>
      <c r="H432" s="7" t="n">
        <v>70</v>
      </c>
      <c r="I432" s="7" t="s">
        <v>18</v>
      </c>
      <c r="J432" s="7" t="s">
        <v>18</v>
      </c>
      <c r="K432" s="7" t="s">
        <v>6433</v>
      </c>
      <c r="L432" s="7" t="s">
        <v>6434</v>
      </c>
      <c r="M432" s="7" t="s">
        <v>6042</v>
      </c>
      <c r="N432" s="7" t="s">
        <v>5471</v>
      </c>
      <c r="O432" s="7"/>
      <c r="P432" s="7" t="s">
        <v>5274</v>
      </c>
      <c r="Q432" s="7" t="s">
        <v>4980</v>
      </c>
      <c r="R432" s="7"/>
      <c r="S432" s="7"/>
      <c r="T432" s="7" t="n">
        <v>12</v>
      </c>
      <c r="U432" s="7" t="s">
        <v>6442</v>
      </c>
      <c r="V432" s="7" t="s">
        <v>5466</v>
      </c>
      <c r="W432" s="7" t="s">
        <v>6939</v>
      </c>
      <c r="X432" s="7" t="s">
        <v>6940</v>
      </c>
      <c r="Y432" s="7"/>
      <c r="Z432" s="7"/>
      <c r="AA432" s="7" t="s">
        <v>6452</v>
      </c>
      <c r="AB432" s="7" t="s">
        <v>6041</v>
      </c>
    </row>
    <row r="433" customFormat="false" ht="48" hidden="false" customHeight="true" outlineLevel="0" collapsed="false">
      <c r="A433" s="7" t="n">
        <v>430</v>
      </c>
      <c r="B433" s="7" t="n">
        <v>1545</v>
      </c>
      <c r="C433" s="7" t="s">
        <v>5723</v>
      </c>
      <c r="D433" s="7" t="s">
        <v>23</v>
      </c>
      <c r="E433" s="7" t="s">
        <v>3217</v>
      </c>
      <c r="F433" s="7" t="s">
        <v>4038</v>
      </c>
      <c r="G433" s="7" t="s">
        <v>3998</v>
      </c>
      <c r="H433" s="7" t="n">
        <v>11</v>
      </c>
      <c r="I433" s="7" t="s">
        <v>18</v>
      </c>
      <c r="J433" s="7" t="s">
        <v>18</v>
      </c>
      <c r="K433" s="7" t="s">
        <v>6433</v>
      </c>
      <c r="L433" s="7" t="s">
        <v>6434</v>
      </c>
      <c r="M433" s="7" t="s">
        <v>6042</v>
      </c>
      <c r="N433" s="7"/>
      <c r="O433" s="7"/>
      <c r="P433" s="7" t="s">
        <v>5268</v>
      </c>
      <c r="Q433" s="7" t="s">
        <v>4650</v>
      </c>
      <c r="R433" s="7"/>
      <c r="S433" s="7"/>
      <c r="T433" s="7" t="n">
        <v>6</v>
      </c>
      <c r="U433" s="7" t="s">
        <v>6457</v>
      </c>
      <c r="V433" s="7" t="s">
        <v>5475</v>
      </c>
      <c r="W433" s="7" t="s">
        <v>6941</v>
      </c>
      <c r="X433" s="7" t="s">
        <v>6942</v>
      </c>
      <c r="Y433" s="7"/>
      <c r="Z433" s="7"/>
      <c r="AA433" s="7" t="s">
        <v>6438</v>
      </c>
      <c r="AB433" s="7" t="s">
        <v>6041</v>
      </c>
    </row>
    <row r="434" customFormat="false" ht="48" hidden="false" customHeight="true" outlineLevel="0" collapsed="false">
      <c r="A434" s="7" t="n">
        <v>431</v>
      </c>
      <c r="B434" s="7" t="n">
        <v>2708</v>
      </c>
      <c r="C434" s="7" t="s">
        <v>5724</v>
      </c>
      <c r="D434" s="7" t="s">
        <v>29</v>
      </c>
      <c r="E434" s="7" t="s">
        <v>3217</v>
      </c>
      <c r="F434" s="7" t="s">
        <v>3898</v>
      </c>
      <c r="G434" s="7" t="s">
        <v>4025</v>
      </c>
      <c r="H434" s="7" t="n">
        <v>59</v>
      </c>
      <c r="I434" s="7" t="s">
        <v>20</v>
      </c>
      <c r="J434" s="7" t="s">
        <v>33</v>
      </c>
      <c r="K434" s="7" t="s">
        <v>6433</v>
      </c>
      <c r="L434" s="7" t="s">
        <v>6434</v>
      </c>
      <c r="M434" s="7" t="s">
        <v>6042</v>
      </c>
      <c r="N434" s="7"/>
      <c r="O434" s="7"/>
      <c r="P434" s="7" t="s">
        <v>5271</v>
      </c>
      <c r="Q434" s="7" t="s">
        <v>4989</v>
      </c>
      <c r="R434" s="7"/>
      <c r="S434" s="7"/>
      <c r="T434" s="7" t="n">
        <v>13</v>
      </c>
      <c r="U434" s="7" t="s">
        <v>6390</v>
      </c>
      <c r="V434" s="7" t="s">
        <v>5440</v>
      </c>
      <c r="W434" s="7" t="s">
        <v>6943</v>
      </c>
      <c r="X434" s="7" t="s">
        <v>6944</v>
      </c>
      <c r="Y434" s="7"/>
      <c r="Z434" s="7"/>
      <c r="AA434" s="7" t="s">
        <v>6648</v>
      </c>
      <c r="AB434" s="7" t="s">
        <v>6041</v>
      </c>
    </row>
    <row r="435" customFormat="false" ht="48" hidden="false" customHeight="true" outlineLevel="0" collapsed="false">
      <c r="A435" s="7" t="n">
        <v>432</v>
      </c>
      <c r="B435" s="7" t="n">
        <v>277</v>
      </c>
      <c r="C435" s="7" t="s">
        <v>5725</v>
      </c>
      <c r="D435" s="7" t="s">
        <v>15</v>
      </c>
      <c r="E435" s="7" t="s">
        <v>3996</v>
      </c>
      <c r="F435" s="7" t="s">
        <v>4030</v>
      </c>
      <c r="G435" s="7" t="s">
        <v>4031</v>
      </c>
      <c r="H435" s="7" t="n">
        <v>123</v>
      </c>
      <c r="I435" s="7" t="s">
        <v>20</v>
      </c>
      <c r="J435" s="7" t="s">
        <v>32</v>
      </c>
      <c r="K435" s="7" t="s">
        <v>6433</v>
      </c>
      <c r="L435" s="7" t="s">
        <v>6434</v>
      </c>
      <c r="M435" s="7" t="s">
        <v>6042</v>
      </c>
      <c r="N435" s="7"/>
      <c r="O435" s="7"/>
      <c r="P435" s="7" t="s">
        <v>5271</v>
      </c>
      <c r="Q435" s="7" t="s">
        <v>4993</v>
      </c>
      <c r="R435" s="7" t="s">
        <v>4037</v>
      </c>
      <c r="S435" s="7"/>
      <c r="T435" s="7" t="n">
        <v>32</v>
      </c>
      <c r="U435" s="7" t="s">
        <v>6453</v>
      </c>
      <c r="V435" s="7" t="s">
        <v>5473</v>
      </c>
      <c r="W435" s="7" t="s">
        <v>6945</v>
      </c>
      <c r="X435" s="7" t="s">
        <v>6946</v>
      </c>
      <c r="Y435" s="7"/>
      <c r="Z435" s="7" t="s">
        <v>4037</v>
      </c>
      <c r="AA435" s="7" t="s">
        <v>6456</v>
      </c>
      <c r="AB435" s="7" t="s">
        <v>6041</v>
      </c>
    </row>
    <row r="436" customFormat="false" ht="48" hidden="false" customHeight="true" outlineLevel="0" collapsed="false">
      <c r="A436" s="7" t="n">
        <v>433</v>
      </c>
      <c r="B436" s="7" t="n">
        <v>1274</v>
      </c>
      <c r="C436" s="7" t="s">
        <v>5726</v>
      </c>
      <c r="D436" s="7" t="s">
        <v>19</v>
      </c>
      <c r="E436" s="7" t="s">
        <v>4003</v>
      </c>
      <c r="F436" s="7" t="s">
        <v>4004</v>
      </c>
      <c r="G436" s="7" t="s">
        <v>4815</v>
      </c>
      <c r="H436" s="7" t="n">
        <v>164</v>
      </c>
      <c r="I436" s="7" t="s">
        <v>20</v>
      </c>
      <c r="J436" s="7" t="s">
        <v>28</v>
      </c>
      <c r="K436" s="7" t="s">
        <v>6433</v>
      </c>
      <c r="L436" s="7" t="s">
        <v>6434</v>
      </c>
      <c r="M436" s="7" t="s">
        <v>6042</v>
      </c>
      <c r="N436" s="7"/>
      <c r="O436" s="7"/>
      <c r="P436" s="7" t="s">
        <v>5271</v>
      </c>
      <c r="Q436" s="7" t="s">
        <v>4997</v>
      </c>
      <c r="R436" s="7"/>
      <c r="S436" s="7"/>
      <c r="T436" s="7" t="n">
        <v>37</v>
      </c>
      <c r="U436" s="7" t="s">
        <v>6439</v>
      </c>
      <c r="V436" s="7" t="s">
        <v>5464</v>
      </c>
      <c r="W436" s="7" t="s">
        <v>6947</v>
      </c>
      <c r="X436" s="7" t="s">
        <v>6948</v>
      </c>
      <c r="Y436" s="7"/>
      <c r="Z436" s="7"/>
      <c r="AA436" s="7" t="s">
        <v>6438</v>
      </c>
      <c r="AB436" s="7" t="s">
        <v>6041</v>
      </c>
    </row>
    <row r="437" customFormat="false" ht="48" hidden="false" customHeight="true" outlineLevel="0" collapsed="false">
      <c r="A437" s="7" t="n">
        <v>434</v>
      </c>
      <c r="B437" s="7" t="n">
        <v>1470</v>
      </c>
      <c r="C437" s="7" t="s">
        <v>5727</v>
      </c>
      <c r="D437" s="7" t="s">
        <v>22</v>
      </c>
      <c r="E437" s="7" t="s">
        <v>3996</v>
      </c>
      <c r="F437" s="7" t="s">
        <v>3997</v>
      </c>
      <c r="G437" s="7" t="s">
        <v>3998</v>
      </c>
      <c r="H437" s="7" t="n">
        <v>96</v>
      </c>
      <c r="I437" s="7" t="s">
        <v>18</v>
      </c>
      <c r="J437" s="7" t="s">
        <v>18</v>
      </c>
      <c r="K437" s="7" t="s">
        <v>6433</v>
      </c>
      <c r="L437" s="7" t="s">
        <v>6434</v>
      </c>
      <c r="M437" s="7" t="s">
        <v>6047</v>
      </c>
      <c r="N437" s="7" t="s">
        <v>5272</v>
      </c>
      <c r="O437" s="7"/>
      <c r="P437" s="7" t="s">
        <v>5271</v>
      </c>
      <c r="Q437" s="7" t="s">
        <v>4254</v>
      </c>
      <c r="R437" s="7"/>
      <c r="S437" s="7"/>
      <c r="T437" s="7" t="n">
        <v>18</v>
      </c>
      <c r="U437" s="7" t="s">
        <v>6435</v>
      </c>
      <c r="V437" s="7" t="s">
        <v>5462</v>
      </c>
      <c r="W437" s="7" t="s">
        <v>6949</v>
      </c>
      <c r="X437" s="7" t="s">
        <v>6950</v>
      </c>
      <c r="Y437" s="7"/>
      <c r="Z437" s="7"/>
      <c r="AA437" s="7" t="s">
        <v>6438</v>
      </c>
      <c r="AB437" s="7" t="s">
        <v>6041</v>
      </c>
    </row>
    <row r="438" customFormat="false" ht="48" hidden="false" customHeight="true" outlineLevel="0" collapsed="false">
      <c r="A438" s="7" t="n">
        <v>435</v>
      </c>
      <c r="B438" s="7" t="n">
        <v>992</v>
      </c>
      <c r="C438" s="7" t="s">
        <v>5728</v>
      </c>
      <c r="D438" s="7" t="s">
        <v>21</v>
      </c>
      <c r="E438" s="7" t="s">
        <v>4058</v>
      </c>
      <c r="F438" s="7" t="s">
        <v>4059</v>
      </c>
      <c r="G438" s="7" t="s">
        <v>3998</v>
      </c>
      <c r="H438" s="7" t="n">
        <v>92</v>
      </c>
      <c r="I438" s="7" t="s">
        <v>18</v>
      </c>
      <c r="J438" s="7" t="s">
        <v>18</v>
      </c>
      <c r="K438" s="7" t="s">
        <v>6433</v>
      </c>
      <c r="L438" s="7" t="s">
        <v>6434</v>
      </c>
      <c r="M438" s="7" t="s">
        <v>6047</v>
      </c>
      <c r="N438" s="7" t="s">
        <v>5272</v>
      </c>
      <c r="O438" s="7"/>
      <c r="P438" s="7" t="s">
        <v>5276</v>
      </c>
      <c r="Q438" s="7" t="s">
        <v>5001</v>
      </c>
      <c r="R438" s="7"/>
      <c r="S438" s="7"/>
      <c r="T438" s="7" t="n">
        <v>16</v>
      </c>
      <c r="U438" s="7" t="s">
        <v>6467</v>
      </c>
      <c r="V438" s="7" t="s">
        <v>5481</v>
      </c>
      <c r="W438" s="7" t="s">
        <v>6951</v>
      </c>
      <c r="X438" s="7" t="s">
        <v>6952</v>
      </c>
      <c r="Y438" s="7"/>
      <c r="Z438" s="7"/>
      <c r="AA438" s="7" t="s">
        <v>6438</v>
      </c>
      <c r="AB438" s="7" t="s">
        <v>6041</v>
      </c>
    </row>
    <row r="439" customFormat="false" ht="48" hidden="false" customHeight="true" outlineLevel="0" collapsed="false">
      <c r="A439" s="7" t="n">
        <v>436</v>
      </c>
      <c r="B439" s="7" t="n">
        <v>1024</v>
      </c>
      <c r="C439" s="7" t="s">
        <v>5729</v>
      </c>
      <c r="D439" s="7" t="s">
        <v>21</v>
      </c>
      <c r="E439" s="7" t="s">
        <v>3217</v>
      </c>
      <c r="F439" s="7" t="s">
        <v>4108</v>
      </c>
      <c r="G439" s="7" t="s">
        <v>3998</v>
      </c>
      <c r="H439" s="7" t="n">
        <v>19</v>
      </c>
      <c r="I439" s="7" t="s">
        <v>18</v>
      </c>
      <c r="J439" s="7" t="s">
        <v>18</v>
      </c>
      <c r="K439" s="7" t="s">
        <v>6433</v>
      </c>
      <c r="L439" s="7" t="s">
        <v>6434</v>
      </c>
      <c r="M439" s="7" t="s">
        <v>6042</v>
      </c>
      <c r="N439" s="7"/>
      <c r="O439" s="7"/>
      <c r="P439" s="7" t="s">
        <v>5274</v>
      </c>
      <c r="Q439" s="7" t="s">
        <v>5004</v>
      </c>
      <c r="R439" s="7"/>
      <c r="S439" s="7"/>
      <c r="T439" s="7" t="n">
        <v>5</v>
      </c>
      <c r="U439" s="7" t="s">
        <v>6492</v>
      </c>
      <c r="V439" s="7" t="s">
        <v>5496</v>
      </c>
      <c r="W439" s="7" t="s">
        <v>6953</v>
      </c>
      <c r="X439" s="7" t="s">
        <v>6954</v>
      </c>
      <c r="Y439" s="7"/>
      <c r="Z439" s="7"/>
      <c r="AA439" s="7" t="s">
        <v>6438</v>
      </c>
      <c r="AB439" s="7" t="s">
        <v>6041</v>
      </c>
    </row>
    <row r="440" customFormat="false" ht="48" hidden="false" customHeight="true" outlineLevel="0" collapsed="false">
      <c r="A440" s="7" t="n">
        <v>437</v>
      </c>
      <c r="B440" s="7" t="n">
        <v>2606</v>
      </c>
      <c r="C440" s="7" t="s">
        <v>5730</v>
      </c>
      <c r="D440" s="7" t="s">
        <v>27</v>
      </c>
      <c r="E440" s="7" t="s">
        <v>4129</v>
      </c>
      <c r="F440" s="7" t="s">
        <v>4130</v>
      </c>
      <c r="G440" s="7" t="s">
        <v>3998</v>
      </c>
      <c r="H440" s="7" t="n">
        <v>57</v>
      </c>
      <c r="I440" s="7" t="s">
        <v>18</v>
      </c>
      <c r="J440" s="7" t="s">
        <v>18</v>
      </c>
      <c r="K440" s="7" t="s">
        <v>6433</v>
      </c>
      <c r="L440" s="7" t="s">
        <v>6434</v>
      </c>
      <c r="M440" s="7" t="s">
        <v>6042</v>
      </c>
      <c r="N440" s="7"/>
      <c r="O440" s="7"/>
      <c r="P440" s="7" t="s">
        <v>5268</v>
      </c>
      <c r="Q440" s="7" t="s">
        <v>5010</v>
      </c>
      <c r="R440" s="7"/>
      <c r="S440" s="7"/>
      <c r="T440" s="7" t="n">
        <v>15</v>
      </c>
      <c r="U440" s="7" t="s">
        <v>6503</v>
      </c>
      <c r="V440" s="7" t="s">
        <v>5502</v>
      </c>
      <c r="W440" s="7" t="s">
        <v>6955</v>
      </c>
      <c r="X440" s="7" t="s">
        <v>6956</v>
      </c>
      <c r="Y440" s="7"/>
      <c r="Z440" s="7"/>
      <c r="AA440" s="7" t="s">
        <v>6438</v>
      </c>
      <c r="AB440" s="7" t="s">
        <v>6041</v>
      </c>
    </row>
    <row r="441" customFormat="false" ht="48" hidden="false" customHeight="true" outlineLevel="0" collapsed="false">
      <c r="A441" s="7" t="n">
        <v>438</v>
      </c>
      <c r="B441" s="7" t="n">
        <v>1566</v>
      </c>
      <c r="C441" s="7" t="s">
        <v>5731</v>
      </c>
      <c r="D441" s="7" t="s">
        <v>23</v>
      </c>
      <c r="E441" s="7" t="s">
        <v>3217</v>
      </c>
      <c r="F441" s="7" t="s">
        <v>4038</v>
      </c>
      <c r="G441" s="7" t="s">
        <v>3998</v>
      </c>
      <c r="H441" s="7" t="n">
        <v>32</v>
      </c>
      <c r="I441" s="7" t="s">
        <v>18</v>
      </c>
      <c r="J441" s="7" t="s">
        <v>18</v>
      </c>
      <c r="K441" s="7" t="s">
        <v>6433</v>
      </c>
      <c r="L441" s="7" t="s">
        <v>6434</v>
      </c>
      <c r="M441" s="7" t="s">
        <v>6047</v>
      </c>
      <c r="N441" s="7" t="s">
        <v>5272</v>
      </c>
      <c r="O441" s="7"/>
      <c r="P441" s="7" t="s">
        <v>5274</v>
      </c>
      <c r="Q441" s="7" t="s">
        <v>5011</v>
      </c>
      <c r="R441" s="7"/>
      <c r="S441" s="7"/>
      <c r="T441" s="7" t="n">
        <v>11</v>
      </c>
      <c r="U441" s="7" t="s">
        <v>6457</v>
      </c>
      <c r="V441" s="7" t="s">
        <v>5475</v>
      </c>
      <c r="W441" s="7" t="s">
        <v>6957</v>
      </c>
      <c r="X441" s="7" t="s">
        <v>6958</v>
      </c>
      <c r="Y441" s="7"/>
      <c r="Z441" s="7"/>
      <c r="AA441" s="7" t="s">
        <v>6438</v>
      </c>
      <c r="AB441" s="7" t="s">
        <v>6041</v>
      </c>
    </row>
    <row r="442" customFormat="false" ht="48" hidden="false" customHeight="true" outlineLevel="0" collapsed="false">
      <c r="A442" s="7" t="n">
        <v>439</v>
      </c>
      <c r="B442" s="7" t="n">
        <v>2567</v>
      </c>
      <c r="C442" s="7" t="s">
        <v>5732</v>
      </c>
      <c r="D442" s="7" t="s">
        <v>27</v>
      </c>
      <c r="E442" s="7" t="s">
        <v>4129</v>
      </c>
      <c r="F442" s="7" t="s">
        <v>4130</v>
      </c>
      <c r="G442" s="7" t="s">
        <v>3998</v>
      </c>
      <c r="H442" s="7" t="n">
        <v>18</v>
      </c>
      <c r="I442" s="7" t="s">
        <v>18</v>
      </c>
      <c r="J442" s="7" t="s">
        <v>18</v>
      </c>
      <c r="K442" s="7" t="s">
        <v>6433</v>
      </c>
      <c r="L442" s="7" t="s">
        <v>6434</v>
      </c>
      <c r="M442" s="7" t="s">
        <v>6047</v>
      </c>
      <c r="N442" s="7" t="s">
        <v>5272</v>
      </c>
      <c r="O442" s="7"/>
      <c r="P442" s="7" t="s">
        <v>5274</v>
      </c>
      <c r="Q442" s="7" t="s">
        <v>5015</v>
      </c>
      <c r="R442" s="7"/>
      <c r="S442" s="7"/>
      <c r="T442" s="7" t="n">
        <v>6</v>
      </c>
      <c r="U442" s="7" t="s">
        <v>6503</v>
      </c>
      <c r="V442" s="7" t="s">
        <v>5502</v>
      </c>
      <c r="W442" s="7" t="s">
        <v>6959</v>
      </c>
      <c r="X442" s="7" t="s">
        <v>6960</v>
      </c>
      <c r="Y442" s="7"/>
      <c r="Z442" s="7"/>
      <c r="AA442" s="7" t="s">
        <v>6438</v>
      </c>
      <c r="AB442" s="7" t="s">
        <v>6041</v>
      </c>
    </row>
    <row r="443" customFormat="false" ht="48" hidden="false" customHeight="true" outlineLevel="0" collapsed="false">
      <c r="A443" s="7" t="n">
        <v>440</v>
      </c>
      <c r="B443" s="7" t="n">
        <v>1033</v>
      </c>
      <c r="C443" s="7" t="s">
        <v>5733</v>
      </c>
      <c r="D443" s="7" t="s">
        <v>21</v>
      </c>
      <c r="E443" s="7" t="s">
        <v>3217</v>
      </c>
      <c r="F443" s="7" t="s">
        <v>4108</v>
      </c>
      <c r="G443" s="7" t="s">
        <v>3998</v>
      </c>
      <c r="H443" s="7" t="n">
        <v>28</v>
      </c>
      <c r="I443" s="7" t="s">
        <v>18</v>
      </c>
      <c r="J443" s="7" t="s">
        <v>18</v>
      </c>
      <c r="K443" s="7" t="s">
        <v>6433</v>
      </c>
      <c r="L443" s="7" t="s">
        <v>6434</v>
      </c>
      <c r="M443" s="7" t="s">
        <v>6042</v>
      </c>
      <c r="N443" s="7"/>
      <c r="O443" s="7"/>
      <c r="P443" s="7" t="s">
        <v>5276</v>
      </c>
      <c r="Q443" s="7" t="s">
        <v>5020</v>
      </c>
      <c r="R443" s="7"/>
      <c r="S443" s="7"/>
      <c r="T443" s="7" t="n">
        <v>6</v>
      </c>
      <c r="U443" s="7" t="s">
        <v>6492</v>
      </c>
      <c r="V443" s="7" t="s">
        <v>5496</v>
      </c>
      <c r="W443" s="7" t="s">
        <v>6961</v>
      </c>
      <c r="X443" s="7" t="s">
        <v>6962</v>
      </c>
      <c r="Y443" s="7"/>
      <c r="Z443" s="7"/>
      <c r="AA443" s="7" t="s">
        <v>6438</v>
      </c>
      <c r="AB443" s="7" t="s">
        <v>6041</v>
      </c>
    </row>
    <row r="444" customFormat="false" ht="48" hidden="false" customHeight="true" outlineLevel="0" collapsed="false">
      <c r="A444" s="7" t="n">
        <v>441</v>
      </c>
      <c r="B444" s="7" t="n">
        <v>675</v>
      </c>
      <c r="C444" s="7" t="s">
        <v>5734</v>
      </c>
      <c r="D444" s="7" t="s">
        <v>17</v>
      </c>
      <c r="E444" s="7" t="s">
        <v>4044</v>
      </c>
      <c r="F444" s="7" t="s">
        <v>4045</v>
      </c>
      <c r="G444" s="7" t="s">
        <v>4005</v>
      </c>
      <c r="H444" s="7" t="n">
        <v>105</v>
      </c>
      <c r="I444" s="7" t="s">
        <v>20</v>
      </c>
      <c r="J444" s="7" t="s">
        <v>28</v>
      </c>
      <c r="K444" s="7" t="s">
        <v>6433</v>
      </c>
      <c r="L444" s="7" t="s">
        <v>6434</v>
      </c>
      <c r="M444" s="7" t="s">
        <v>6047</v>
      </c>
      <c r="N444" s="7" t="s">
        <v>5272</v>
      </c>
      <c r="O444" s="7"/>
      <c r="P444" s="7" t="s">
        <v>5271</v>
      </c>
      <c r="Q444" s="7" t="s">
        <v>5025</v>
      </c>
      <c r="R444" s="7"/>
      <c r="S444" s="7"/>
      <c r="T444" s="7" t="n">
        <v>20</v>
      </c>
      <c r="U444" s="7" t="s">
        <v>6460</v>
      </c>
      <c r="V444" s="7" t="s">
        <v>5477</v>
      </c>
      <c r="W444" s="7" t="s">
        <v>6963</v>
      </c>
      <c r="X444" s="7" t="s">
        <v>6964</v>
      </c>
      <c r="Y444" s="7"/>
      <c r="Z444" s="7"/>
      <c r="AA444" s="7" t="s">
        <v>6438</v>
      </c>
      <c r="AB444" s="7" t="s">
        <v>6041</v>
      </c>
    </row>
    <row r="445" customFormat="false" ht="48" hidden="false" customHeight="true" outlineLevel="0" collapsed="false">
      <c r="A445" s="7" t="n">
        <v>442</v>
      </c>
      <c r="B445" s="7" t="n">
        <v>2648</v>
      </c>
      <c r="C445" s="7" t="s">
        <v>5735</v>
      </c>
      <c r="D445" s="7" t="s">
        <v>27</v>
      </c>
      <c r="E445" s="7" t="s">
        <v>4129</v>
      </c>
      <c r="F445" s="7" t="s">
        <v>4130</v>
      </c>
      <c r="G445" s="7" t="s">
        <v>3998</v>
      </c>
      <c r="H445" s="7" t="n">
        <v>99</v>
      </c>
      <c r="I445" s="7" t="s">
        <v>18</v>
      </c>
      <c r="J445" s="7" t="s">
        <v>18</v>
      </c>
      <c r="K445" s="7" t="s">
        <v>6433</v>
      </c>
      <c r="L445" s="7" t="s">
        <v>6434</v>
      </c>
      <c r="M445" s="7" t="s">
        <v>6042</v>
      </c>
      <c r="N445" s="7"/>
      <c r="O445" s="7"/>
      <c r="P445" s="7" t="s">
        <v>5271</v>
      </c>
      <c r="Q445" s="7" t="s">
        <v>5029</v>
      </c>
      <c r="R445" s="7"/>
      <c r="S445" s="7"/>
      <c r="T445" s="7" t="n">
        <v>25</v>
      </c>
      <c r="U445" s="7" t="s">
        <v>6503</v>
      </c>
      <c r="V445" s="7" t="s">
        <v>5502</v>
      </c>
      <c r="W445" s="7" t="s">
        <v>6965</v>
      </c>
      <c r="X445" s="7" t="s">
        <v>6966</v>
      </c>
      <c r="Y445" s="7"/>
      <c r="Z445" s="7"/>
      <c r="AA445" s="7" t="s">
        <v>6438</v>
      </c>
      <c r="AB445" s="7" t="s">
        <v>6041</v>
      </c>
    </row>
    <row r="446" customFormat="false" ht="48" hidden="false" customHeight="true" outlineLevel="0" collapsed="false">
      <c r="A446" s="7" t="n">
        <v>443</v>
      </c>
      <c r="B446" s="7" t="n">
        <v>388</v>
      </c>
      <c r="C446" s="7" t="s">
        <v>5736</v>
      </c>
      <c r="D446" s="7" t="s">
        <v>15</v>
      </c>
      <c r="E446" s="7" t="s">
        <v>3217</v>
      </c>
      <c r="F446" s="7" t="s">
        <v>4143</v>
      </c>
      <c r="G446" s="7" t="s">
        <v>4302</v>
      </c>
      <c r="H446" s="7" t="n">
        <v>81</v>
      </c>
      <c r="I446" s="7" t="s">
        <v>20</v>
      </c>
      <c r="J446" s="7" t="s">
        <v>30</v>
      </c>
      <c r="K446" s="7" t="s">
        <v>6433</v>
      </c>
      <c r="L446" s="7" t="s">
        <v>6434</v>
      </c>
      <c r="M446" s="7" t="s">
        <v>6047</v>
      </c>
      <c r="N446" s="7" t="s">
        <v>5495</v>
      </c>
      <c r="O446" s="7"/>
      <c r="P446" s="7" t="s">
        <v>5276</v>
      </c>
      <c r="Q446" s="7" t="s">
        <v>5032</v>
      </c>
      <c r="R446" s="7"/>
      <c r="S446" s="7"/>
      <c r="T446" s="7" t="n">
        <v>22</v>
      </c>
      <c r="U446" s="7" t="s">
        <v>6511</v>
      </c>
      <c r="V446" s="7" t="s">
        <v>5507</v>
      </c>
      <c r="W446" s="7" t="s">
        <v>6967</v>
      </c>
      <c r="X446" s="7" t="s">
        <v>6968</v>
      </c>
      <c r="Y446" s="7"/>
      <c r="Z446" s="7"/>
      <c r="AA446" s="7" t="s">
        <v>6452</v>
      </c>
      <c r="AB446" s="7" t="s">
        <v>6041</v>
      </c>
    </row>
    <row r="447" customFormat="false" ht="48" hidden="false" customHeight="true" outlineLevel="0" collapsed="false">
      <c r="A447" s="7" t="n">
        <v>444</v>
      </c>
      <c r="B447" s="7" t="n">
        <v>957</v>
      </c>
      <c r="C447" s="7" t="s">
        <v>5737</v>
      </c>
      <c r="D447" s="7" t="s">
        <v>21</v>
      </c>
      <c r="E447" s="7" t="s">
        <v>4058</v>
      </c>
      <c r="F447" s="7" t="s">
        <v>4059</v>
      </c>
      <c r="G447" s="7" t="s">
        <v>3998</v>
      </c>
      <c r="H447" s="7" t="n">
        <v>57</v>
      </c>
      <c r="I447" s="7" t="s">
        <v>18</v>
      </c>
      <c r="J447" s="7" t="s">
        <v>18</v>
      </c>
      <c r="K447" s="7" t="s">
        <v>6433</v>
      </c>
      <c r="L447" s="7" t="s">
        <v>6434</v>
      </c>
      <c r="M447" s="7" t="s">
        <v>6047</v>
      </c>
      <c r="N447" s="7" t="s">
        <v>5272</v>
      </c>
      <c r="O447" s="7"/>
      <c r="P447" s="7" t="s">
        <v>5268</v>
      </c>
      <c r="Q447" s="7" t="s">
        <v>5038</v>
      </c>
      <c r="R447" s="7"/>
      <c r="S447" s="7"/>
      <c r="T447" s="7" t="n">
        <v>11</v>
      </c>
      <c r="U447" s="7" t="s">
        <v>6467</v>
      </c>
      <c r="V447" s="7" t="s">
        <v>5481</v>
      </c>
      <c r="W447" s="7" t="s">
        <v>6969</v>
      </c>
      <c r="X447" s="7" t="s">
        <v>6970</v>
      </c>
      <c r="Y447" s="7"/>
      <c r="Z447" s="7"/>
      <c r="AA447" s="7" t="s">
        <v>6438</v>
      </c>
      <c r="AB447" s="7" t="s">
        <v>6041</v>
      </c>
    </row>
    <row r="448" customFormat="false" ht="48" hidden="false" customHeight="true" outlineLevel="0" collapsed="false">
      <c r="A448" s="7" t="n">
        <v>445</v>
      </c>
      <c r="B448" s="7" t="n">
        <v>2866</v>
      </c>
      <c r="C448" s="7" t="s">
        <v>5738</v>
      </c>
      <c r="D448" s="7" t="s">
        <v>31</v>
      </c>
      <c r="E448" s="7" t="s">
        <v>4003</v>
      </c>
      <c r="F448" s="7" t="s">
        <v>4010</v>
      </c>
      <c r="G448" s="7" t="s">
        <v>3998</v>
      </c>
      <c r="H448" s="7" t="n">
        <v>106</v>
      </c>
      <c r="I448" s="7" t="s">
        <v>18</v>
      </c>
      <c r="J448" s="7" t="s">
        <v>18</v>
      </c>
      <c r="K448" s="7" t="s">
        <v>6433</v>
      </c>
      <c r="L448" s="7" t="s">
        <v>6434</v>
      </c>
      <c r="M448" s="7" t="s">
        <v>6042</v>
      </c>
      <c r="N448" s="7"/>
      <c r="O448" s="7"/>
      <c r="P448" s="7" t="s">
        <v>5274</v>
      </c>
      <c r="Q448" s="7" t="s">
        <v>5039</v>
      </c>
      <c r="R448" s="7"/>
      <c r="S448" s="7"/>
      <c r="T448" s="7" t="n">
        <v>18</v>
      </c>
      <c r="U448" s="7" t="s">
        <v>6442</v>
      </c>
      <c r="V448" s="7" t="s">
        <v>5466</v>
      </c>
      <c r="W448" s="7" t="s">
        <v>6971</v>
      </c>
      <c r="X448" s="7" t="s">
        <v>6972</v>
      </c>
      <c r="Y448" s="7"/>
      <c r="Z448" s="7"/>
      <c r="AA448" s="7" t="s">
        <v>6438</v>
      </c>
      <c r="AB448" s="7" t="s">
        <v>6041</v>
      </c>
    </row>
    <row r="449" customFormat="false" ht="48" hidden="false" customHeight="true" outlineLevel="0" collapsed="false">
      <c r="A449" s="7" t="n">
        <v>446</v>
      </c>
      <c r="B449" s="7" t="n">
        <v>2650</v>
      </c>
      <c r="C449" s="7" t="s">
        <v>5739</v>
      </c>
      <c r="D449" s="7" t="s">
        <v>29</v>
      </c>
      <c r="E449" s="7" t="s">
        <v>3217</v>
      </c>
      <c r="F449" s="7" t="s">
        <v>3898</v>
      </c>
      <c r="G449" s="7" t="s">
        <v>4025</v>
      </c>
      <c r="H449" s="7" t="n">
        <v>1</v>
      </c>
      <c r="I449" s="7" t="s">
        <v>20</v>
      </c>
      <c r="J449" s="7" t="s">
        <v>33</v>
      </c>
      <c r="K449" s="7" t="s">
        <v>6433</v>
      </c>
      <c r="L449" s="7" t="s">
        <v>6434</v>
      </c>
      <c r="M449" s="7" t="s">
        <v>6042</v>
      </c>
      <c r="N449" s="7"/>
      <c r="O449" s="7"/>
      <c r="P449" s="7" t="s">
        <v>5276</v>
      </c>
      <c r="Q449" s="7" t="s">
        <v>5044</v>
      </c>
      <c r="R449" s="7"/>
      <c r="S449" s="7"/>
      <c r="T449" s="7" t="n">
        <v>2</v>
      </c>
      <c r="U449" s="7" t="s">
        <v>6390</v>
      </c>
      <c r="V449" s="7" t="s">
        <v>5440</v>
      </c>
      <c r="W449" s="7" t="s">
        <v>6973</v>
      </c>
      <c r="X449" s="7" t="s">
        <v>6974</v>
      </c>
      <c r="Y449" s="7"/>
      <c r="Z449" s="7"/>
      <c r="AA449" s="7" t="s">
        <v>6648</v>
      </c>
      <c r="AB449" s="7" t="s">
        <v>6041</v>
      </c>
    </row>
    <row r="450" customFormat="false" ht="48" hidden="false" customHeight="true" outlineLevel="0" collapsed="false">
      <c r="A450" s="7" t="n">
        <v>447</v>
      </c>
      <c r="B450" s="7" t="n">
        <v>1264</v>
      </c>
      <c r="C450" s="7" t="s">
        <v>5740</v>
      </c>
      <c r="D450" s="7" t="s">
        <v>19</v>
      </c>
      <c r="E450" s="7" t="s">
        <v>4003</v>
      </c>
      <c r="F450" s="7" t="s">
        <v>4004</v>
      </c>
      <c r="G450" s="7" t="s">
        <v>4005</v>
      </c>
      <c r="H450" s="7" t="n">
        <v>154</v>
      </c>
      <c r="I450" s="7" t="s">
        <v>20</v>
      </c>
      <c r="J450" s="7" t="s">
        <v>28</v>
      </c>
      <c r="K450" s="7" t="s">
        <v>6433</v>
      </c>
      <c r="L450" s="7" t="s">
        <v>6434</v>
      </c>
      <c r="M450" s="7" t="s">
        <v>6042</v>
      </c>
      <c r="N450" s="7"/>
      <c r="O450" s="7"/>
      <c r="P450" s="7" t="s">
        <v>5268</v>
      </c>
      <c r="Q450" s="7" t="s">
        <v>5050</v>
      </c>
      <c r="R450" s="7"/>
      <c r="S450" s="7"/>
      <c r="T450" s="7" t="n">
        <v>35</v>
      </c>
      <c r="U450" s="7" t="s">
        <v>6439</v>
      </c>
      <c r="V450" s="7" t="s">
        <v>5464</v>
      </c>
      <c r="W450" s="7" t="s">
        <v>6975</v>
      </c>
      <c r="X450" s="7" t="s">
        <v>6976</v>
      </c>
      <c r="Y450" s="7"/>
      <c r="Z450" s="7"/>
      <c r="AA450" s="7" t="s">
        <v>6438</v>
      </c>
      <c r="AB450" s="7" t="s">
        <v>6041</v>
      </c>
    </row>
    <row r="451" customFormat="false" ht="48" hidden="false" customHeight="true" outlineLevel="0" collapsed="false">
      <c r="A451" s="7" t="n">
        <v>448</v>
      </c>
      <c r="B451" s="7" t="n">
        <v>1614</v>
      </c>
      <c r="C451" s="7" t="s">
        <v>5741</v>
      </c>
      <c r="D451" s="7" t="s">
        <v>23</v>
      </c>
      <c r="E451" s="7" t="s">
        <v>3217</v>
      </c>
      <c r="F451" s="7" t="s">
        <v>4038</v>
      </c>
      <c r="G451" s="7" t="s">
        <v>4039</v>
      </c>
      <c r="H451" s="7" t="n">
        <v>80</v>
      </c>
      <c r="I451" s="7" t="s">
        <v>18</v>
      </c>
      <c r="J451" s="7" t="s">
        <v>18</v>
      </c>
      <c r="K451" s="7" t="s">
        <v>6433</v>
      </c>
      <c r="L451" s="7" t="s">
        <v>6434</v>
      </c>
      <c r="M451" s="7" t="s">
        <v>6042</v>
      </c>
      <c r="N451" s="7"/>
      <c r="O451" s="7"/>
      <c r="P451" s="7" t="s">
        <v>5274</v>
      </c>
      <c r="Q451" s="7" t="s">
        <v>4687</v>
      </c>
      <c r="R451" s="7"/>
      <c r="S451" s="7"/>
      <c r="T451" s="7" t="n">
        <v>23</v>
      </c>
      <c r="U451" s="7" t="s">
        <v>6457</v>
      </c>
      <c r="V451" s="7" t="s">
        <v>5475</v>
      </c>
      <c r="W451" s="7" t="s">
        <v>6977</v>
      </c>
      <c r="X451" s="7" t="s">
        <v>6978</v>
      </c>
      <c r="Y451" s="7"/>
      <c r="Z451" s="7"/>
      <c r="AA451" s="7" t="s">
        <v>6438</v>
      </c>
      <c r="AB451" s="7" t="s">
        <v>6041</v>
      </c>
    </row>
    <row r="452" customFormat="false" ht="48" hidden="false" customHeight="true" outlineLevel="0" collapsed="false">
      <c r="A452" s="7" t="n">
        <v>449</v>
      </c>
      <c r="B452" s="7" t="n">
        <v>2571</v>
      </c>
      <c r="C452" s="7" t="s">
        <v>5742</v>
      </c>
      <c r="D452" s="7" t="s">
        <v>27</v>
      </c>
      <c r="E452" s="7" t="s">
        <v>4129</v>
      </c>
      <c r="F452" s="7" t="s">
        <v>4130</v>
      </c>
      <c r="G452" s="7" t="s">
        <v>3998</v>
      </c>
      <c r="H452" s="7" t="n">
        <v>22</v>
      </c>
      <c r="I452" s="7" t="s">
        <v>18</v>
      </c>
      <c r="J452" s="7" t="s">
        <v>18</v>
      </c>
      <c r="K452" s="7" t="s">
        <v>6433</v>
      </c>
      <c r="L452" s="7" t="s">
        <v>6434</v>
      </c>
      <c r="M452" s="7" t="s">
        <v>6042</v>
      </c>
      <c r="N452" s="7"/>
      <c r="O452" s="7"/>
      <c r="P452" s="7" t="s">
        <v>5276</v>
      </c>
      <c r="Q452" s="7" t="s">
        <v>5054</v>
      </c>
      <c r="R452" s="7"/>
      <c r="S452" s="7"/>
      <c r="T452" s="7" t="n">
        <v>7</v>
      </c>
      <c r="U452" s="7" t="s">
        <v>6503</v>
      </c>
      <c r="V452" s="7" t="s">
        <v>5502</v>
      </c>
      <c r="W452" s="7" t="s">
        <v>6979</v>
      </c>
      <c r="X452" s="7" t="s">
        <v>6980</v>
      </c>
      <c r="Y452" s="7"/>
      <c r="Z452" s="7"/>
      <c r="AA452" s="7" t="s">
        <v>6438</v>
      </c>
      <c r="AB452" s="7" t="s">
        <v>6041</v>
      </c>
    </row>
    <row r="453" customFormat="false" ht="48" hidden="false" customHeight="true" outlineLevel="0" collapsed="false">
      <c r="A453" s="7" t="n">
        <v>450</v>
      </c>
      <c r="B453" s="7" t="n">
        <v>1475</v>
      </c>
      <c r="C453" s="7" t="s">
        <v>5743</v>
      </c>
      <c r="D453" s="7" t="s">
        <v>22</v>
      </c>
      <c r="E453" s="7" t="s">
        <v>3996</v>
      </c>
      <c r="F453" s="7" t="s">
        <v>3997</v>
      </c>
      <c r="G453" s="7" t="s">
        <v>3998</v>
      </c>
      <c r="H453" s="7" t="n">
        <v>101</v>
      </c>
      <c r="I453" s="7" t="s">
        <v>18</v>
      </c>
      <c r="J453" s="7" t="s">
        <v>18</v>
      </c>
      <c r="K453" s="7" t="s">
        <v>6433</v>
      </c>
      <c r="L453" s="7" t="s">
        <v>6434</v>
      </c>
      <c r="M453" s="7" t="s">
        <v>6042</v>
      </c>
      <c r="N453" s="7"/>
      <c r="O453" s="7"/>
      <c r="P453" s="7" t="s">
        <v>5271</v>
      </c>
      <c r="Q453" s="7" t="s">
        <v>5059</v>
      </c>
      <c r="R453" s="7"/>
      <c r="S453" s="7"/>
      <c r="T453" s="7" t="n">
        <v>19</v>
      </c>
      <c r="U453" s="7" t="s">
        <v>6435</v>
      </c>
      <c r="V453" s="7" t="s">
        <v>5462</v>
      </c>
      <c r="W453" s="7" t="s">
        <v>6981</v>
      </c>
      <c r="X453" s="7" t="s">
        <v>6982</v>
      </c>
      <c r="Y453" s="7"/>
      <c r="Z453" s="7"/>
      <c r="AA453" s="7" t="s">
        <v>6438</v>
      </c>
      <c r="AB453" s="7" t="s">
        <v>6041</v>
      </c>
    </row>
    <row r="454" customFormat="false" ht="48" hidden="false" customHeight="true" outlineLevel="0" collapsed="false">
      <c r="A454" s="7" t="n">
        <v>451</v>
      </c>
      <c r="B454" s="7" t="n">
        <v>311</v>
      </c>
      <c r="C454" s="7" t="s">
        <v>5744</v>
      </c>
      <c r="D454" s="7" t="s">
        <v>15</v>
      </c>
      <c r="E454" s="7" t="s">
        <v>3217</v>
      </c>
      <c r="F454" s="7" t="s">
        <v>4143</v>
      </c>
      <c r="G454" s="7" t="s">
        <v>4302</v>
      </c>
      <c r="H454" s="7" t="n">
        <v>4</v>
      </c>
      <c r="I454" s="7" t="s">
        <v>20</v>
      </c>
      <c r="J454" s="7" t="s">
        <v>30</v>
      </c>
      <c r="K454" s="7" t="s">
        <v>6433</v>
      </c>
      <c r="L454" s="7" t="s">
        <v>6434</v>
      </c>
      <c r="M454" s="7" t="s">
        <v>6047</v>
      </c>
      <c r="N454" s="7" t="s">
        <v>5272</v>
      </c>
      <c r="O454" s="7"/>
      <c r="P454" s="7" t="s">
        <v>5271</v>
      </c>
      <c r="Q454" s="7" t="s">
        <v>5063</v>
      </c>
      <c r="R454" s="7"/>
      <c r="S454" s="7"/>
      <c r="T454" s="7" t="n">
        <v>2</v>
      </c>
      <c r="U454" s="7" t="s">
        <v>6511</v>
      </c>
      <c r="V454" s="7" t="s">
        <v>5507</v>
      </c>
      <c r="W454" s="7" t="s">
        <v>6983</v>
      </c>
      <c r="X454" s="7" t="s">
        <v>6984</v>
      </c>
      <c r="Y454" s="7"/>
      <c r="Z454" s="7"/>
      <c r="AA454" s="7" t="s">
        <v>6438</v>
      </c>
      <c r="AB454" s="7" t="s">
        <v>6041</v>
      </c>
    </row>
    <row r="455" customFormat="false" ht="48" hidden="false" customHeight="true" outlineLevel="0" collapsed="false">
      <c r="A455" s="7" t="n">
        <v>452</v>
      </c>
      <c r="B455" s="7" t="n">
        <v>2047</v>
      </c>
      <c r="C455" s="7" t="s">
        <v>5745</v>
      </c>
      <c r="D455" s="7" t="s">
        <v>25</v>
      </c>
      <c r="E455" s="7" t="s">
        <v>4019</v>
      </c>
      <c r="F455" s="7" t="s">
        <v>4020</v>
      </c>
      <c r="G455" s="7" t="s">
        <v>4005</v>
      </c>
      <c r="H455" s="7" t="n">
        <v>106</v>
      </c>
      <c r="I455" s="7" t="s">
        <v>20</v>
      </c>
      <c r="J455" s="7" t="s">
        <v>28</v>
      </c>
      <c r="K455" s="7" t="s">
        <v>6433</v>
      </c>
      <c r="L455" s="7" t="s">
        <v>6434</v>
      </c>
      <c r="M455" s="7" t="s">
        <v>6042</v>
      </c>
      <c r="N455" s="7"/>
      <c r="O455" s="7"/>
      <c r="P455" s="7" t="s">
        <v>5271</v>
      </c>
      <c r="Q455" s="7" t="s">
        <v>5067</v>
      </c>
      <c r="R455" s="7"/>
      <c r="S455" s="7"/>
      <c r="T455" s="7" t="n">
        <v>25</v>
      </c>
      <c r="U455" s="7" t="s">
        <v>6447</v>
      </c>
      <c r="V455" s="7" t="s">
        <v>5469</v>
      </c>
      <c r="W455" s="7" t="s">
        <v>6985</v>
      </c>
      <c r="X455" s="7" t="s">
        <v>6986</v>
      </c>
      <c r="Y455" s="7"/>
      <c r="Z455" s="7"/>
      <c r="AA455" s="7" t="s">
        <v>6438</v>
      </c>
      <c r="AB455" s="7" t="s">
        <v>6041</v>
      </c>
    </row>
    <row r="456" customFormat="false" ht="48" hidden="false" customHeight="true" outlineLevel="0" collapsed="false">
      <c r="A456" s="7" t="n">
        <v>453</v>
      </c>
      <c r="B456" s="7" t="n">
        <v>1040</v>
      </c>
      <c r="C456" s="7" t="s">
        <v>5746</v>
      </c>
      <c r="D456" s="7" t="s">
        <v>21</v>
      </c>
      <c r="E456" s="7" t="s">
        <v>3217</v>
      </c>
      <c r="F456" s="7" t="s">
        <v>4108</v>
      </c>
      <c r="G456" s="7" t="s">
        <v>3998</v>
      </c>
      <c r="H456" s="7" t="n">
        <v>35</v>
      </c>
      <c r="I456" s="7" t="s">
        <v>18</v>
      </c>
      <c r="J456" s="7" t="s">
        <v>18</v>
      </c>
      <c r="K456" s="7" t="s">
        <v>6433</v>
      </c>
      <c r="L456" s="7" t="s">
        <v>6434</v>
      </c>
      <c r="M456" s="7" t="s">
        <v>6047</v>
      </c>
      <c r="N456" s="7" t="s">
        <v>5272</v>
      </c>
      <c r="O456" s="7"/>
      <c r="P456" s="7" t="s">
        <v>5274</v>
      </c>
      <c r="Q456" s="7" t="s">
        <v>5069</v>
      </c>
      <c r="R456" s="7"/>
      <c r="S456" s="7"/>
      <c r="T456" s="7" t="n">
        <v>7</v>
      </c>
      <c r="U456" s="7" t="s">
        <v>6492</v>
      </c>
      <c r="V456" s="7" t="s">
        <v>5496</v>
      </c>
      <c r="W456" s="7" t="s">
        <v>6987</v>
      </c>
      <c r="X456" s="7" t="s">
        <v>6988</v>
      </c>
      <c r="Y456" s="7"/>
      <c r="Z456" s="7"/>
      <c r="AA456" s="7" t="s">
        <v>6438</v>
      </c>
      <c r="AB456" s="7" t="s">
        <v>6041</v>
      </c>
    </row>
    <row r="457" customFormat="false" ht="48" hidden="false" customHeight="true" outlineLevel="0" collapsed="false">
      <c r="A457" s="7" t="n">
        <v>454</v>
      </c>
      <c r="B457" s="7" t="n">
        <v>1262</v>
      </c>
      <c r="C457" s="7" t="s">
        <v>5747</v>
      </c>
      <c r="D457" s="7" t="s">
        <v>19</v>
      </c>
      <c r="E457" s="7" t="s">
        <v>4003</v>
      </c>
      <c r="F457" s="7" t="s">
        <v>4004</v>
      </c>
      <c r="G457" s="7" t="s">
        <v>4005</v>
      </c>
      <c r="H457" s="7" t="n">
        <v>152</v>
      </c>
      <c r="I457" s="7" t="s">
        <v>20</v>
      </c>
      <c r="J457" s="7" t="s">
        <v>28</v>
      </c>
      <c r="K457" s="7" t="s">
        <v>6433</v>
      </c>
      <c r="L457" s="7" t="s">
        <v>6434</v>
      </c>
      <c r="M457" s="7" t="s">
        <v>6042</v>
      </c>
      <c r="N457" s="7"/>
      <c r="O457" s="7"/>
      <c r="P457" s="7" t="s">
        <v>5274</v>
      </c>
      <c r="Q457" s="7" t="s">
        <v>5073</v>
      </c>
      <c r="R457" s="7"/>
      <c r="S457" s="7"/>
      <c r="T457" s="7" t="n">
        <v>34</v>
      </c>
      <c r="U457" s="7" t="s">
        <v>6439</v>
      </c>
      <c r="V457" s="7" t="s">
        <v>5464</v>
      </c>
      <c r="W457" s="7" t="s">
        <v>6989</v>
      </c>
      <c r="X457" s="7" t="s">
        <v>6990</v>
      </c>
      <c r="Y457" s="7"/>
      <c r="Z457" s="7"/>
      <c r="AA457" s="7" t="s">
        <v>6438</v>
      </c>
      <c r="AB457" s="7" t="s">
        <v>6041</v>
      </c>
    </row>
    <row r="458" customFormat="false" ht="48" hidden="false" customHeight="true" outlineLevel="0" collapsed="false">
      <c r="A458" s="7" t="n">
        <v>455</v>
      </c>
      <c r="B458" s="7" t="n">
        <v>539</v>
      </c>
      <c r="C458" s="7" t="s">
        <v>5748</v>
      </c>
      <c r="D458" s="7" t="s">
        <v>17</v>
      </c>
      <c r="E458" s="7" t="s">
        <v>4058</v>
      </c>
      <c r="F458" s="7" t="s">
        <v>4084</v>
      </c>
      <c r="G458" s="7" t="s">
        <v>3998</v>
      </c>
      <c r="H458" s="7" t="n">
        <v>79</v>
      </c>
      <c r="I458" s="7" t="s">
        <v>18</v>
      </c>
      <c r="J458" s="7" t="s">
        <v>18</v>
      </c>
      <c r="K458" s="7" t="s">
        <v>6433</v>
      </c>
      <c r="L458" s="7" t="s">
        <v>6434</v>
      </c>
      <c r="M458" s="7" t="s">
        <v>6042</v>
      </c>
      <c r="N458" s="7"/>
      <c r="O458" s="7"/>
      <c r="P458" s="7" t="s">
        <v>5268</v>
      </c>
      <c r="Q458" s="7" t="s">
        <v>5080</v>
      </c>
      <c r="R458" s="7"/>
      <c r="S458" s="7"/>
      <c r="T458" s="7" t="n">
        <v>29</v>
      </c>
      <c r="U458" s="7" t="s">
        <v>6479</v>
      </c>
      <c r="V458" s="7" t="s">
        <v>5488</v>
      </c>
      <c r="W458" s="7" t="s">
        <v>6991</v>
      </c>
      <c r="X458" s="7" t="s">
        <v>6992</v>
      </c>
      <c r="Y458" s="7"/>
      <c r="Z458" s="7"/>
      <c r="AA458" s="7" t="s">
        <v>6438</v>
      </c>
      <c r="AB458" s="7" t="s">
        <v>6041</v>
      </c>
    </row>
    <row r="459" customFormat="false" ht="48" hidden="false" customHeight="true" outlineLevel="0" collapsed="false">
      <c r="A459" s="7" t="n">
        <v>456</v>
      </c>
      <c r="B459" s="7" t="n">
        <v>1548</v>
      </c>
      <c r="C459" s="7" t="s">
        <v>5749</v>
      </c>
      <c r="D459" s="7" t="s">
        <v>23</v>
      </c>
      <c r="E459" s="7" t="s">
        <v>3217</v>
      </c>
      <c r="F459" s="7" t="s">
        <v>4038</v>
      </c>
      <c r="G459" s="7" t="s">
        <v>3998</v>
      </c>
      <c r="H459" s="7" t="n">
        <v>14</v>
      </c>
      <c r="I459" s="7" t="s">
        <v>18</v>
      </c>
      <c r="J459" s="7" t="s">
        <v>18</v>
      </c>
      <c r="K459" s="7" t="s">
        <v>6433</v>
      </c>
      <c r="L459" s="7" t="s">
        <v>6434</v>
      </c>
      <c r="M459" s="7" t="s">
        <v>6042</v>
      </c>
      <c r="N459" s="7"/>
      <c r="O459" s="7"/>
      <c r="P459" s="7" t="s">
        <v>5276</v>
      </c>
      <c r="Q459" s="7" t="s">
        <v>5082</v>
      </c>
      <c r="R459" s="7"/>
      <c r="S459" s="7"/>
      <c r="T459" s="7" t="n">
        <v>7</v>
      </c>
      <c r="U459" s="7" t="s">
        <v>6457</v>
      </c>
      <c r="V459" s="7" t="s">
        <v>5475</v>
      </c>
      <c r="W459" s="7" t="s">
        <v>6993</v>
      </c>
      <c r="X459" s="7" t="s">
        <v>6994</v>
      </c>
      <c r="Y459" s="7"/>
      <c r="Z459" s="7"/>
      <c r="AA459" s="7" t="s">
        <v>6438</v>
      </c>
      <c r="AB459" s="7" t="s">
        <v>6041</v>
      </c>
    </row>
    <row r="460" customFormat="false" ht="48" hidden="false" customHeight="true" outlineLevel="0" collapsed="false">
      <c r="A460" s="7" t="n">
        <v>457</v>
      </c>
      <c r="B460" s="7" t="n">
        <v>1396</v>
      </c>
      <c r="C460" s="7" t="s">
        <v>5750</v>
      </c>
      <c r="D460" s="7" t="s">
        <v>22</v>
      </c>
      <c r="E460" s="7" t="s">
        <v>3996</v>
      </c>
      <c r="F460" s="7" t="s">
        <v>3997</v>
      </c>
      <c r="G460" s="7" t="s">
        <v>3998</v>
      </c>
      <c r="H460" s="7" t="n">
        <v>22</v>
      </c>
      <c r="I460" s="7" t="s">
        <v>18</v>
      </c>
      <c r="J460" s="7" t="s">
        <v>18</v>
      </c>
      <c r="K460" s="7" t="s">
        <v>6433</v>
      </c>
      <c r="L460" s="7" t="s">
        <v>6434</v>
      </c>
      <c r="M460" s="7" t="s">
        <v>6042</v>
      </c>
      <c r="N460" s="7"/>
      <c r="O460" s="7"/>
      <c r="P460" s="7" t="s">
        <v>5276</v>
      </c>
      <c r="Q460" s="7" t="s">
        <v>4291</v>
      </c>
      <c r="R460" s="7"/>
      <c r="S460" s="7"/>
      <c r="T460" s="7" t="n">
        <v>5</v>
      </c>
      <c r="U460" s="7" t="s">
        <v>6435</v>
      </c>
      <c r="V460" s="7" t="s">
        <v>5462</v>
      </c>
      <c r="W460" s="7" t="s">
        <v>6995</v>
      </c>
      <c r="X460" s="7" t="s">
        <v>6996</v>
      </c>
      <c r="Y460" s="7"/>
      <c r="Z460" s="7"/>
      <c r="AA460" s="7" t="s">
        <v>6438</v>
      </c>
      <c r="AB460" s="7" t="s">
        <v>6041</v>
      </c>
    </row>
    <row r="461" customFormat="false" ht="48" hidden="false" customHeight="true" outlineLevel="0" collapsed="false">
      <c r="A461" s="7" t="n">
        <v>458</v>
      </c>
      <c r="B461" s="7" t="n">
        <v>2608</v>
      </c>
      <c r="C461" s="7" t="s">
        <v>5751</v>
      </c>
      <c r="D461" s="7" t="s">
        <v>27</v>
      </c>
      <c r="E461" s="7" t="s">
        <v>4129</v>
      </c>
      <c r="F461" s="7" t="s">
        <v>4130</v>
      </c>
      <c r="G461" s="7" t="s">
        <v>3998</v>
      </c>
      <c r="H461" s="7" t="n">
        <v>59</v>
      </c>
      <c r="I461" s="7" t="s">
        <v>18</v>
      </c>
      <c r="J461" s="7" t="s">
        <v>18</v>
      </c>
      <c r="K461" s="7" t="s">
        <v>6433</v>
      </c>
      <c r="L461" s="7" t="s">
        <v>6434</v>
      </c>
      <c r="M461" s="7" t="s">
        <v>6042</v>
      </c>
      <c r="N461" s="7"/>
      <c r="O461" s="7"/>
      <c r="P461" s="7" t="s">
        <v>5268</v>
      </c>
      <c r="Q461" s="7" t="s">
        <v>5090</v>
      </c>
      <c r="R461" s="7"/>
      <c r="S461" s="7"/>
      <c r="T461" s="7" t="n">
        <v>16</v>
      </c>
      <c r="U461" s="7" t="s">
        <v>6503</v>
      </c>
      <c r="V461" s="7" t="s">
        <v>5502</v>
      </c>
      <c r="W461" s="7" t="s">
        <v>6997</v>
      </c>
      <c r="X461" s="7" t="s">
        <v>6998</v>
      </c>
      <c r="Y461" s="7"/>
      <c r="Z461" s="7"/>
      <c r="AA461" s="7" t="s">
        <v>6438</v>
      </c>
      <c r="AB461" s="7" t="s">
        <v>6041</v>
      </c>
    </row>
    <row r="462" customFormat="false" ht="48" hidden="false" customHeight="true" outlineLevel="0" collapsed="false">
      <c r="A462" s="7" t="n">
        <v>459</v>
      </c>
      <c r="B462" s="7" t="n">
        <v>2263</v>
      </c>
      <c r="C462" s="7" t="s">
        <v>5752</v>
      </c>
      <c r="D462" s="7" t="s">
        <v>25</v>
      </c>
      <c r="E462" s="7" t="s">
        <v>3217</v>
      </c>
      <c r="F462" s="7" t="s">
        <v>4320</v>
      </c>
      <c r="G462" s="7" t="s">
        <v>4005</v>
      </c>
      <c r="H462" s="7" t="n">
        <v>102</v>
      </c>
      <c r="I462" s="7" t="s">
        <v>20</v>
      </c>
      <c r="J462" s="7" t="s">
        <v>28</v>
      </c>
      <c r="K462" s="7" t="s">
        <v>6433</v>
      </c>
      <c r="L462" s="7" t="s">
        <v>6434</v>
      </c>
      <c r="M462" s="7" t="s">
        <v>6047</v>
      </c>
      <c r="N462" s="7" t="s">
        <v>5272</v>
      </c>
      <c r="O462" s="7"/>
      <c r="P462" s="7" t="s">
        <v>5268</v>
      </c>
      <c r="Q462" s="7" t="s">
        <v>5094</v>
      </c>
      <c r="R462" s="7"/>
      <c r="S462" s="7"/>
      <c r="T462" s="7" t="n">
        <v>21</v>
      </c>
      <c r="U462" s="7" t="s">
        <v>6599</v>
      </c>
      <c r="V462" s="7" t="s">
        <v>5552</v>
      </c>
      <c r="W462" s="7" t="s">
        <v>6999</v>
      </c>
      <c r="X462" s="7" t="s">
        <v>7000</v>
      </c>
      <c r="Y462" s="7"/>
      <c r="Z462" s="7"/>
      <c r="AA462" s="7" t="s">
        <v>6438</v>
      </c>
      <c r="AB462" s="7" t="s">
        <v>6041</v>
      </c>
    </row>
    <row r="463" customFormat="false" ht="48" hidden="false" customHeight="true" outlineLevel="0" collapsed="false">
      <c r="A463" s="7" t="n">
        <v>460</v>
      </c>
      <c r="B463" s="7" t="n">
        <v>2543</v>
      </c>
      <c r="C463" s="7" t="s">
        <v>5753</v>
      </c>
      <c r="D463" s="7" t="s">
        <v>27</v>
      </c>
      <c r="E463" s="7" t="s">
        <v>3996</v>
      </c>
      <c r="F463" s="7" t="s">
        <v>4070</v>
      </c>
      <c r="G463" s="7" t="s">
        <v>4071</v>
      </c>
      <c r="H463" s="7" t="n">
        <v>104</v>
      </c>
      <c r="I463" s="7" t="s">
        <v>20</v>
      </c>
      <c r="J463" s="7" t="s">
        <v>28</v>
      </c>
      <c r="K463" s="7" t="s">
        <v>6433</v>
      </c>
      <c r="L463" s="7" t="s">
        <v>6434</v>
      </c>
      <c r="M463" s="7" t="s">
        <v>6047</v>
      </c>
      <c r="N463" s="7" t="s">
        <v>5495</v>
      </c>
      <c r="O463" s="7"/>
      <c r="P463" s="7" t="s">
        <v>5276</v>
      </c>
      <c r="Q463" s="7" t="s">
        <v>5096</v>
      </c>
      <c r="R463" s="7"/>
      <c r="S463" s="7"/>
      <c r="T463" s="7" t="n">
        <v>37</v>
      </c>
      <c r="U463" s="7" t="s">
        <v>6472</v>
      </c>
      <c r="V463" s="7" t="s">
        <v>5484</v>
      </c>
      <c r="W463" s="7" t="s">
        <v>7001</v>
      </c>
      <c r="X463" s="7" t="s">
        <v>7002</v>
      </c>
      <c r="Y463" s="7"/>
      <c r="Z463" s="7"/>
      <c r="AA463" s="7" t="s">
        <v>6452</v>
      </c>
      <c r="AB463" s="7" t="s">
        <v>6041</v>
      </c>
    </row>
    <row r="464" customFormat="false" ht="48" hidden="false" customHeight="true" outlineLevel="0" collapsed="false">
      <c r="A464" s="7" t="n">
        <v>461</v>
      </c>
      <c r="B464" s="7" t="n">
        <v>190</v>
      </c>
      <c r="C464" s="7" t="s">
        <v>5754</v>
      </c>
      <c r="D464" s="7" t="s">
        <v>15</v>
      </c>
      <c r="E464" s="7" t="s">
        <v>3996</v>
      </c>
      <c r="F464" s="7" t="s">
        <v>4030</v>
      </c>
      <c r="G464" s="7" t="s">
        <v>4302</v>
      </c>
      <c r="H464" s="7" t="n">
        <v>36</v>
      </c>
      <c r="I464" s="7" t="s">
        <v>20</v>
      </c>
      <c r="J464" s="7" t="s">
        <v>30</v>
      </c>
      <c r="K464" s="7" t="s">
        <v>6433</v>
      </c>
      <c r="L464" s="7" t="s">
        <v>6434</v>
      </c>
      <c r="M464" s="7" t="s">
        <v>6042</v>
      </c>
      <c r="N464" s="7"/>
      <c r="O464" s="7"/>
      <c r="P464" s="7" t="s">
        <v>5274</v>
      </c>
      <c r="Q464" s="7" t="s">
        <v>5099</v>
      </c>
      <c r="R464" s="7"/>
      <c r="S464" s="7"/>
      <c r="T464" s="7" t="n">
        <v>11</v>
      </c>
      <c r="U464" s="7" t="s">
        <v>6453</v>
      </c>
      <c r="V464" s="7" t="s">
        <v>5473</v>
      </c>
      <c r="W464" s="7" t="s">
        <v>7003</v>
      </c>
      <c r="X464" s="7" t="s">
        <v>7004</v>
      </c>
      <c r="Y464" s="7"/>
      <c r="Z464" s="7"/>
      <c r="AA464" s="7" t="s">
        <v>6438</v>
      </c>
      <c r="AB464" s="7" t="s">
        <v>6041</v>
      </c>
    </row>
    <row r="465" customFormat="false" ht="48" hidden="false" customHeight="true" outlineLevel="0" collapsed="false">
      <c r="A465" s="7" t="n">
        <v>462</v>
      </c>
      <c r="B465" s="7" t="n">
        <v>2270</v>
      </c>
      <c r="C465" s="7" t="s">
        <v>5755</v>
      </c>
      <c r="D465" s="7" t="s">
        <v>25</v>
      </c>
      <c r="E465" s="7" t="s">
        <v>3217</v>
      </c>
      <c r="F465" s="7" t="s">
        <v>4320</v>
      </c>
      <c r="G465" s="7" t="s">
        <v>4005</v>
      </c>
      <c r="H465" s="7" t="n">
        <v>109</v>
      </c>
      <c r="I465" s="7" t="s">
        <v>20</v>
      </c>
      <c r="J465" s="7" t="s">
        <v>28</v>
      </c>
      <c r="K465" s="7" t="s">
        <v>6433</v>
      </c>
      <c r="L465" s="7" t="s">
        <v>6434</v>
      </c>
      <c r="M465" s="7" t="s">
        <v>6042</v>
      </c>
      <c r="N465" s="7" t="s">
        <v>5471</v>
      </c>
      <c r="O465" s="7"/>
      <c r="P465" s="7" t="s">
        <v>5268</v>
      </c>
      <c r="Q465" s="7" t="s">
        <v>5106</v>
      </c>
      <c r="R465" s="7"/>
      <c r="S465" s="7"/>
      <c r="T465" s="7" t="n">
        <v>22</v>
      </c>
      <c r="U465" s="7" t="s">
        <v>6599</v>
      </c>
      <c r="V465" s="7" t="s">
        <v>5552</v>
      </c>
      <c r="W465" s="7" t="s">
        <v>7005</v>
      </c>
      <c r="X465" s="7" t="s">
        <v>7006</v>
      </c>
      <c r="Y465" s="7"/>
      <c r="Z465" s="7"/>
      <c r="AA465" s="7" t="s">
        <v>6452</v>
      </c>
      <c r="AB465" s="7" t="s">
        <v>6041</v>
      </c>
    </row>
    <row r="466" customFormat="false" ht="48" hidden="false" customHeight="true" outlineLevel="0" collapsed="false">
      <c r="A466" s="7" t="n">
        <v>463</v>
      </c>
      <c r="B466" s="7" t="n">
        <v>2903</v>
      </c>
      <c r="C466" s="7" t="s">
        <v>5756</v>
      </c>
      <c r="D466" s="7" t="s">
        <v>31</v>
      </c>
      <c r="E466" s="7" t="s">
        <v>4003</v>
      </c>
      <c r="F466" s="7" t="s">
        <v>4010</v>
      </c>
      <c r="G466" s="7" t="s">
        <v>3998</v>
      </c>
      <c r="H466" s="7" t="n">
        <v>143</v>
      </c>
      <c r="I466" s="7" t="s">
        <v>18</v>
      </c>
      <c r="J466" s="7" t="s">
        <v>18</v>
      </c>
      <c r="K466" s="7" t="s">
        <v>6433</v>
      </c>
      <c r="L466" s="7" t="s">
        <v>6434</v>
      </c>
      <c r="M466" s="7" t="s">
        <v>6042</v>
      </c>
      <c r="N466" s="7"/>
      <c r="O466" s="7"/>
      <c r="P466" s="7" t="s">
        <v>5274</v>
      </c>
      <c r="Q466" s="7" t="s">
        <v>5107</v>
      </c>
      <c r="R466" s="7"/>
      <c r="S466" s="7"/>
      <c r="T466" s="7" t="n">
        <v>23</v>
      </c>
      <c r="U466" s="7" t="s">
        <v>6442</v>
      </c>
      <c r="V466" s="7" t="s">
        <v>5466</v>
      </c>
      <c r="W466" s="7" t="s">
        <v>7007</v>
      </c>
      <c r="X466" s="7" t="s">
        <v>7008</v>
      </c>
      <c r="Y466" s="7"/>
      <c r="Z466" s="7"/>
      <c r="AA466" s="7" t="s">
        <v>6438</v>
      </c>
      <c r="AB466" s="7" t="s">
        <v>6041</v>
      </c>
    </row>
    <row r="467" customFormat="false" ht="48" hidden="false" customHeight="true" outlineLevel="0" collapsed="false">
      <c r="A467" s="7" t="n">
        <v>464</v>
      </c>
      <c r="B467" s="7" t="n">
        <v>2792</v>
      </c>
      <c r="C467" s="7" t="s">
        <v>5757</v>
      </c>
      <c r="D467" s="7" t="s">
        <v>31</v>
      </c>
      <c r="E467" s="7" t="s">
        <v>4003</v>
      </c>
      <c r="F467" s="7" t="s">
        <v>4010</v>
      </c>
      <c r="G467" s="7" t="s">
        <v>3998</v>
      </c>
      <c r="H467" s="7" t="n">
        <v>32</v>
      </c>
      <c r="I467" s="7" t="s">
        <v>18</v>
      </c>
      <c r="J467" s="7" t="s">
        <v>18</v>
      </c>
      <c r="K467" s="7" t="s">
        <v>6433</v>
      </c>
      <c r="L467" s="7" t="s">
        <v>6434</v>
      </c>
      <c r="M467" s="7" t="s">
        <v>6047</v>
      </c>
      <c r="N467" s="7" t="s">
        <v>5272</v>
      </c>
      <c r="O467" s="7"/>
      <c r="P467" s="7" t="s">
        <v>5268</v>
      </c>
      <c r="Q467" s="7" t="s">
        <v>5114</v>
      </c>
      <c r="R467" s="7"/>
      <c r="S467" s="7"/>
      <c r="T467" s="7" t="n">
        <v>6</v>
      </c>
      <c r="U467" s="7" t="s">
        <v>6442</v>
      </c>
      <c r="V467" s="7" t="s">
        <v>5466</v>
      </c>
      <c r="W467" s="7" t="s">
        <v>7009</v>
      </c>
      <c r="X467" s="7" t="s">
        <v>7010</v>
      </c>
      <c r="Y467" s="7"/>
      <c r="Z467" s="7"/>
      <c r="AA467" s="7" t="s">
        <v>6438</v>
      </c>
      <c r="AB467" s="7" t="s">
        <v>6041</v>
      </c>
    </row>
    <row r="468" customFormat="false" ht="48" hidden="false" customHeight="true" outlineLevel="0" collapsed="false">
      <c r="A468" s="7" t="n">
        <v>465</v>
      </c>
      <c r="B468" s="7" t="n">
        <v>1554</v>
      </c>
      <c r="C468" s="7" t="s">
        <v>5758</v>
      </c>
      <c r="D468" s="7" t="s">
        <v>23</v>
      </c>
      <c r="E468" s="7" t="s">
        <v>3217</v>
      </c>
      <c r="F468" s="7" t="s">
        <v>4038</v>
      </c>
      <c r="G468" s="7" t="s">
        <v>3998</v>
      </c>
      <c r="H468" s="7" t="n">
        <v>20</v>
      </c>
      <c r="I468" s="7" t="s">
        <v>18</v>
      </c>
      <c r="J468" s="7" t="s">
        <v>18</v>
      </c>
      <c r="K468" s="7" t="s">
        <v>6433</v>
      </c>
      <c r="L468" s="7" t="s">
        <v>6434</v>
      </c>
      <c r="M468" s="7" t="s">
        <v>6042</v>
      </c>
      <c r="N468" s="7"/>
      <c r="O468" s="7"/>
      <c r="P468" s="7" t="s">
        <v>5274</v>
      </c>
      <c r="Q468" s="7" t="s">
        <v>5115</v>
      </c>
      <c r="R468" s="7"/>
      <c r="S468" s="7"/>
      <c r="T468" s="7" t="n">
        <v>8</v>
      </c>
      <c r="U468" s="7" t="s">
        <v>6457</v>
      </c>
      <c r="V468" s="7" t="s">
        <v>5475</v>
      </c>
      <c r="W468" s="7" t="s">
        <v>7011</v>
      </c>
      <c r="X468" s="7" t="s">
        <v>7012</v>
      </c>
      <c r="Y468" s="7"/>
      <c r="Z468" s="7"/>
      <c r="AA468" s="7" t="s">
        <v>6438</v>
      </c>
      <c r="AB468" s="7" t="s">
        <v>6041</v>
      </c>
    </row>
    <row r="469" customFormat="false" ht="48" hidden="false" customHeight="true" outlineLevel="0" collapsed="false">
      <c r="A469" s="7" t="n">
        <v>466</v>
      </c>
      <c r="B469" s="7" t="n">
        <v>2613</v>
      </c>
      <c r="C469" s="7" t="s">
        <v>5759</v>
      </c>
      <c r="D469" s="7" t="s">
        <v>27</v>
      </c>
      <c r="E469" s="7" t="s">
        <v>4129</v>
      </c>
      <c r="F469" s="7" t="s">
        <v>4130</v>
      </c>
      <c r="G469" s="7" t="s">
        <v>3998</v>
      </c>
      <c r="H469" s="7" t="n">
        <v>64</v>
      </c>
      <c r="I469" s="7" t="s">
        <v>18</v>
      </c>
      <c r="J469" s="7" t="s">
        <v>18</v>
      </c>
      <c r="K469" s="7" t="s">
        <v>6433</v>
      </c>
      <c r="L469" s="7" t="s">
        <v>6434</v>
      </c>
      <c r="M469" s="7" t="s">
        <v>6042</v>
      </c>
      <c r="N469" s="7"/>
      <c r="O469" s="7"/>
      <c r="P469" s="7" t="s">
        <v>5274</v>
      </c>
      <c r="Q469" s="7" t="s">
        <v>5119</v>
      </c>
      <c r="R469" s="7"/>
      <c r="S469" s="7"/>
      <c r="T469" s="7" t="n">
        <v>17</v>
      </c>
      <c r="U469" s="7" t="s">
        <v>6503</v>
      </c>
      <c r="V469" s="7" t="s">
        <v>5502</v>
      </c>
      <c r="W469" s="7" t="s">
        <v>7013</v>
      </c>
      <c r="X469" s="7" t="s">
        <v>7014</v>
      </c>
      <c r="Y469" s="7"/>
      <c r="Z469" s="7"/>
      <c r="AA469" s="7" t="s">
        <v>6438</v>
      </c>
      <c r="AB469" s="7" t="s">
        <v>6041</v>
      </c>
    </row>
    <row r="470" customFormat="false" ht="48" hidden="false" customHeight="true" outlineLevel="0" collapsed="false">
      <c r="A470" s="7" t="n">
        <v>467</v>
      </c>
      <c r="B470" s="7" t="n">
        <v>540</v>
      </c>
      <c r="C470" s="7" t="s">
        <v>5760</v>
      </c>
      <c r="D470" s="7" t="s">
        <v>17</v>
      </c>
      <c r="E470" s="7" t="s">
        <v>4058</v>
      </c>
      <c r="F470" s="7" t="s">
        <v>4084</v>
      </c>
      <c r="G470" s="7" t="s">
        <v>3998</v>
      </c>
      <c r="H470" s="7" t="n">
        <v>80</v>
      </c>
      <c r="I470" s="7" t="s">
        <v>18</v>
      </c>
      <c r="J470" s="7" t="s">
        <v>18</v>
      </c>
      <c r="K470" s="7" t="s">
        <v>6433</v>
      </c>
      <c r="L470" s="7" t="s">
        <v>6434</v>
      </c>
      <c r="M470" s="7" t="s">
        <v>6042</v>
      </c>
      <c r="N470" s="7"/>
      <c r="O470" s="7"/>
      <c r="P470" s="7" t="s">
        <v>5271</v>
      </c>
      <c r="Q470" s="7" t="s">
        <v>5125</v>
      </c>
      <c r="R470" s="7"/>
      <c r="S470" s="7"/>
      <c r="T470" s="7" t="n">
        <v>29</v>
      </c>
      <c r="U470" s="7" t="s">
        <v>6479</v>
      </c>
      <c r="V470" s="7" t="s">
        <v>5488</v>
      </c>
      <c r="W470" s="7" t="s">
        <v>7015</v>
      </c>
      <c r="X470" s="7" t="s">
        <v>7016</v>
      </c>
      <c r="Y470" s="7"/>
      <c r="Z470" s="7"/>
      <c r="AA470" s="7" t="s">
        <v>6438</v>
      </c>
      <c r="AB470" s="7" t="s">
        <v>6041</v>
      </c>
    </row>
    <row r="471" customFormat="false" ht="48" hidden="false" customHeight="true" outlineLevel="0" collapsed="false">
      <c r="A471" s="7" t="n">
        <v>468</v>
      </c>
      <c r="B471" s="7" t="n">
        <v>679</v>
      </c>
      <c r="C471" s="7" t="s">
        <v>5761</v>
      </c>
      <c r="D471" s="7" t="s">
        <v>17</v>
      </c>
      <c r="E471" s="7" t="s">
        <v>4044</v>
      </c>
      <c r="F471" s="7" t="s">
        <v>4045</v>
      </c>
      <c r="G471" s="7" t="s">
        <v>4005</v>
      </c>
      <c r="H471" s="7" t="n">
        <v>109</v>
      </c>
      <c r="I471" s="7" t="s">
        <v>20</v>
      </c>
      <c r="J471" s="7" t="s">
        <v>28</v>
      </c>
      <c r="K471" s="7" t="s">
        <v>6433</v>
      </c>
      <c r="L471" s="7" t="s">
        <v>6434</v>
      </c>
      <c r="M471" s="7" t="s">
        <v>6042</v>
      </c>
      <c r="N471" s="7"/>
      <c r="O471" s="7"/>
      <c r="P471" s="7" t="s">
        <v>5274</v>
      </c>
      <c r="Q471" s="7" t="s">
        <v>5127</v>
      </c>
      <c r="R471" s="7"/>
      <c r="S471" s="7"/>
      <c r="T471" s="7" t="n">
        <v>21</v>
      </c>
      <c r="U471" s="7" t="s">
        <v>6460</v>
      </c>
      <c r="V471" s="7" t="s">
        <v>5477</v>
      </c>
      <c r="W471" s="7" t="s">
        <v>7017</v>
      </c>
      <c r="X471" s="7" t="s">
        <v>7018</v>
      </c>
      <c r="Y471" s="7"/>
      <c r="Z471" s="7"/>
      <c r="AA471" s="7" t="s">
        <v>6438</v>
      </c>
      <c r="AB471" s="7" t="s">
        <v>6041</v>
      </c>
    </row>
    <row r="472" customFormat="false" ht="48" hidden="false" customHeight="true" outlineLevel="0" collapsed="false">
      <c r="A472" s="7" t="n">
        <v>469</v>
      </c>
      <c r="B472" s="7" t="n">
        <v>563</v>
      </c>
      <c r="C472" s="7" t="s">
        <v>5762</v>
      </c>
      <c r="D472" s="7" t="s">
        <v>17</v>
      </c>
      <c r="E472" s="7" t="s">
        <v>4058</v>
      </c>
      <c r="F472" s="7" t="s">
        <v>4084</v>
      </c>
      <c r="G472" s="7" t="s">
        <v>4005</v>
      </c>
      <c r="H472" s="7" t="n">
        <v>103</v>
      </c>
      <c r="I472" s="7" t="s">
        <v>20</v>
      </c>
      <c r="J472" s="7" t="s">
        <v>28</v>
      </c>
      <c r="K472" s="7" t="s">
        <v>6433</v>
      </c>
      <c r="L472" s="7" t="s">
        <v>6434</v>
      </c>
      <c r="M472" s="7" t="s">
        <v>6047</v>
      </c>
      <c r="N472" s="7" t="s">
        <v>5272</v>
      </c>
      <c r="O472" s="7"/>
      <c r="P472" s="7" t="s">
        <v>5268</v>
      </c>
      <c r="Q472" s="7" t="s">
        <v>5134</v>
      </c>
      <c r="R472" s="7"/>
      <c r="S472" s="7"/>
      <c r="T472" s="7" t="n">
        <v>37</v>
      </c>
      <c r="U472" s="7" t="s">
        <v>6479</v>
      </c>
      <c r="V472" s="7" t="s">
        <v>5488</v>
      </c>
      <c r="W472" s="7" t="s">
        <v>7019</v>
      </c>
      <c r="X472" s="7" t="s">
        <v>7020</v>
      </c>
      <c r="Y472" s="7"/>
      <c r="Z472" s="7"/>
      <c r="AA472" s="7" t="s">
        <v>6438</v>
      </c>
      <c r="AB472" s="7" t="s">
        <v>6041</v>
      </c>
    </row>
    <row r="473" customFormat="false" ht="48" hidden="false" customHeight="true" outlineLevel="0" collapsed="false">
      <c r="A473" s="7" t="n">
        <v>470</v>
      </c>
      <c r="B473" s="7" t="n">
        <v>568</v>
      </c>
      <c r="C473" s="7" t="s">
        <v>5763</v>
      </c>
      <c r="D473" s="7" t="s">
        <v>17</v>
      </c>
      <c r="E473" s="7" t="s">
        <v>4058</v>
      </c>
      <c r="F473" s="7" t="s">
        <v>4084</v>
      </c>
      <c r="G473" s="7" t="s">
        <v>4005</v>
      </c>
      <c r="H473" s="7" t="n">
        <v>108</v>
      </c>
      <c r="I473" s="7" t="s">
        <v>20</v>
      </c>
      <c r="J473" s="7" t="s">
        <v>28</v>
      </c>
      <c r="K473" s="7" t="s">
        <v>6433</v>
      </c>
      <c r="L473" s="7" t="s">
        <v>6434</v>
      </c>
      <c r="M473" s="7" t="s">
        <v>6042</v>
      </c>
      <c r="N473" s="7" t="s">
        <v>5471</v>
      </c>
      <c r="O473" s="7"/>
      <c r="P473" s="7" t="s">
        <v>5276</v>
      </c>
      <c r="Q473" s="7" t="s">
        <v>5136</v>
      </c>
      <c r="R473" s="7"/>
      <c r="S473" s="7"/>
      <c r="T473" s="7" t="n">
        <v>39</v>
      </c>
      <c r="U473" s="7" t="s">
        <v>6479</v>
      </c>
      <c r="V473" s="7" t="s">
        <v>5488</v>
      </c>
      <c r="W473" s="7" t="s">
        <v>7021</v>
      </c>
      <c r="X473" s="7" t="s">
        <v>7022</v>
      </c>
      <c r="Y473" s="7"/>
      <c r="Z473" s="7"/>
      <c r="AA473" s="7" t="s">
        <v>6452</v>
      </c>
      <c r="AB473" s="7" t="s">
        <v>6041</v>
      </c>
    </row>
    <row r="474" customFormat="false" ht="48" hidden="false" customHeight="true" outlineLevel="0" collapsed="false">
      <c r="A474" s="7" t="n">
        <v>471</v>
      </c>
      <c r="B474" s="7" t="n">
        <v>1411</v>
      </c>
      <c r="C474" s="7" t="s">
        <v>5764</v>
      </c>
      <c r="D474" s="7" t="s">
        <v>22</v>
      </c>
      <c r="E474" s="7" t="s">
        <v>3996</v>
      </c>
      <c r="F474" s="7" t="s">
        <v>3997</v>
      </c>
      <c r="G474" s="7" t="s">
        <v>3998</v>
      </c>
      <c r="H474" s="7" t="n">
        <v>37</v>
      </c>
      <c r="I474" s="7" t="s">
        <v>18</v>
      </c>
      <c r="J474" s="7" t="s">
        <v>18</v>
      </c>
      <c r="K474" s="7" t="s">
        <v>6433</v>
      </c>
      <c r="L474" s="7" t="s">
        <v>6434</v>
      </c>
      <c r="M474" s="7" t="s">
        <v>6047</v>
      </c>
      <c r="N474" s="7" t="s">
        <v>5272</v>
      </c>
      <c r="O474" s="7"/>
      <c r="P474" s="7" t="s">
        <v>5276</v>
      </c>
      <c r="Q474" s="7" t="s">
        <v>5140</v>
      </c>
      <c r="R474" s="7"/>
      <c r="S474" s="7"/>
      <c r="T474" s="7" t="n">
        <v>8</v>
      </c>
      <c r="U474" s="7" t="s">
        <v>6435</v>
      </c>
      <c r="V474" s="7" t="s">
        <v>5462</v>
      </c>
      <c r="W474" s="7" t="s">
        <v>7023</v>
      </c>
      <c r="X474" s="7" t="s">
        <v>7024</v>
      </c>
      <c r="Y474" s="7"/>
      <c r="Z474" s="7"/>
      <c r="AA474" s="7" t="s">
        <v>6438</v>
      </c>
      <c r="AB474" s="7" t="s">
        <v>6041</v>
      </c>
    </row>
    <row r="475" customFormat="false" ht="48" hidden="false" customHeight="true" outlineLevel="0" collapsed="false">
      <c r="A475" s="7" t="n">
        <v>472</v>
      </c>
      <c r="B475" s="7" t="n">
        <v>2154</v>
      </c>
      <c r="C475" s="7" t="s">
        <v>5765</v>
      </c>
      <c r="D475" s="7" t="s">
        <v>25</v>
      </c>
      <c r="E475" s="7" t="s">
        <v>4003</v>
      </c>
      <c r="F475" s="7" t="s">
        <v>4224</v>
      </c>
      <c r="G475" s="7" t="s">
        <v>4005</v>
      </c>
      <c r="H475" s="7" t="n">
        <v>103</v>
      </c>
      <c r="I475" s="7" t="s">
        <v>20</v>
      </c>
      <c r="J475" s="7" t="s">
        <v>28</v>
      </c>
      <c r="K475" s="7" t="s">
        <v>6433</v>
      </c>
      <c r="L475" s="7" t="s">
        <v>6434</v>
      </c>
      <c r="M475" s="7" t="s">
        <v>6047</v>
      </c>
      <c r="N475" s="7" t="s">
        <v>5272</v>
      </c>
      <c r="O475" s="7"/>
      <c r="P475" s="7" t="s">
        <v>5268</v>
      </c>
      <c r="Q475" s="7" t="s">
        <v>5146</v>
      </c>
      <c r="R475" s="7"/>
      <c r="S475" s="7"/>
      <c r="T475" s="7" t="n">
        <v>20</v>
      </c>
      <c r="U475" s="7" t="s">
        <v>6550</v>
      </c>
      <c r="V475" s="7" t="s">
        <v>5527</v>
      </c>
      <c r="W475" s="7" t="s">
        <v>7025</v>
      </c>
      <c r="X475" s="7" t="s">
        <v>7026</v>
      </c>
      <c r="Y475" s="7"/>
      <c r="Z475" s="7"/>
      <c r="AA475" s="7" t="s">
        <v>6438</v>
      </c>
      <c r="AB475" s="7" t="s">
        <v>6041</v>
      </c>
    </row>
    <row r="476" customFormat="false" ht="48" hidden="false" customHeight="true" outlineLevel="0" collapsed="false">
      <c r="A476" s="7" t="n">
        <v>473</v>
      </c>
      <c r="B476" s="7" t="n">
        <v>409</v>
      </c>
      <c r="C476" s="7" t="s">
        <v>5766</v>
      </c>
      <c r="D476" s="7" t="s">
        <v>15</v>
      </c>
      <c r="E476" s="7" t="s">
        <v>3217</v>
      </c>
      <c r="F476" s="7" t="s">
        <v>4143</v>
      </c>
      <c r="G476" s="7" t="s">
        <v>4031</v>
      </c>
      <c r="H476" s="7" t="n">
        <v>102</v>
      </c>
      <c r="I476" s="7" t="s">
        <v>20</v>
      </c>
      <c r="J476" s="7" t="s">
        <v>32</v>
      </c>
      <c r="K476" s="7" t="s">
        <v>6433</v>
      </c>
      <c r="L476" s="7" t="s">
        <v>6434</v>
      </c>
      <c r="M476" s="7" t="s">
        <v>6042</v>
      </c>
      <c r="N476" s="7"/>
      <c r="O476" s="7"/>
      <c r="P476" s="7" t="s">
        <v>5271</v>
      </c>
      <c r="Q476" s="7" t="s">
        <v>5149</v>
      </c>
      <c r="R476" s="7" t="s">
        <v>4316</v>
      </c>
      <c r="S476" s="7"/>
      <c r="T476" s="7" t="n">
        <v>27</v>
      </c>
      <c r="U476" s="7" t="s">
        <v>6511</v>
      </c>
      <c r="V476" s="7" t="s">
        <v>5507</v>
      </c>
      <c r="W476" s="7" t="s">
        <v>7027</v>
      </c>
      <c r="X476" s="7" t="s">
        <v>7028</v>
      </c>
      <c r="Y476" s="7"/>
      <c r="Z476" s="7" t="s">
        <v>4316</v>
      </c>
      <c r="AA476" s="7" t="s">
        <v>6456</v>
      </c>
      <c r="AB476" s="7" t="s">
        <v>6041</v>
      </c>
    </row>
    <row r="477" customFormat="false" ht="48" hidden="false" customHeight="true" outlineLevel="0" collapsed="false">
      <c r="A477" s="7" t="n">
        <v>474</v>
      </c>
      <c r="B477" s="7" t="n">
        <v>2544</v>
      </c>
      <c r="C477" s="7" t="s">
        <v>5767</v>
      </c>
      <c r="D477" s="7" t="s">
        <v>27</v>
      </c>
      <c r="E477" s="7" t="s">
        <v>3996</v>
      </c>
      <c r="F477" s="7" t="s">
        <v>4070</v>
      </c>
      <c r="G477" s="7" t="s">
        <v>4071</v>
      </c>
      <c r="H477" s="7" t="n">
        <v>105</v>
      </c>
      <c r="I477" s="7" t="s">
        <v>20</v>
      </c>
      <c r="J477" s="7" t="s">
        <v>28</v>
      </c>
      <c r="K477" s="7" t="s">
        <v>6433</v>
      </c>
      <c r="L477" s="7" t="s">
        <v>6434</v>
      </c>
      <c r="M477" s="7" t="s">
        <v>6042</v>
      </c>
      <c r="N477" s="7"/>
      <c r="O477" s="7"/>
      <c r="P477" s="7" t="s">
        <v>5276</v>
      </c>
      <c r="Q477" s="7" t="s">
        <v>5152</v>
      </c>
      <c r="R477" s="7"/>
      <c r="S477" s="7"/>
      <c r="T477" s="7" t="n">
        <v>38</v>
      </c>
      <c r="U477" s="7" t="s">
        <v>6472</v>
      </c>
      <c r="V477" s="7" t="s">
        <v>5484</v>
      </c>
      <c r="W477" s="7" t="s">
        <v>7029</v>
      </c>
      <c r="X477" s="7" t="s">
        <v>7030</v>
      </c>
      <c r="Y477" s="7"/>
      <c r="Z477" s="7"/>
      <c r="AA477" s="7" t="s">
        <v>6438</v>
      </c>
      <c r="AB477" s="7" t="s">
        <v>6041</v>
      </c>
    </row>
    <row r="478" customFormat="false" ht="48" hidden="false" customHeight="true" outlineLevel="0" collapsed="false">
      <c r="A478" s="7" t="n">
        <v>475</v>
      </c>
      <c r="B478" s="7" t="n">
        <v>1271</v>
      </c>
      <c r="C478" s="7" t="s">
        <v>5768</v>
      </c>
      <c r="D478" s="7" t="s">
        <v>19</v>
      </c>
      <c r="E478" s="7" t="s">
        <v>4003</v>
      </c>
      <c r="F478" s="7" t="s">
        <v>4004</v>
      </c>
      <c r="G478" s="7" t="s">
        <v>4005</v>
      </c>
      <c r="H478" s="7" t="n">
        <v>161</v>
      </c>
      <c r="I478" s="7" t="s">
        <v>20</v>
      </c>
      <c r="J478" s="7" t="s">
        <v>28</v>
      </c>
      <c r="K478" s="7" t="s">
        <v>6433</v>
      </c>
      <c r="L478" s="7" t="s">
        <v>6434</v>
      </c>
      <c r="M478" s="7" t="s">
        <v>6047</v>
      </c>
      <c r="N478" s="7" t="s">
        <v>5272</v>
      </c>
      <c r="O478" s="7"/>
      <c r="P478" s="7" t="s">
        <v>5271</v>
      </c>
      <c r="Q478" s="7" t="s">
        <v>5156</v>
      </c>
      <c r="R478" s="7"/>
      <c r="S478" s="7"/>
      <c r="T478" s="7" t="n">
        <v>36</v>
      </c>
      <c r="U478" s="7" t="s">
        <v>6439</v>
      </c>
      <c r="V478" s="7" t="s">
        <v>5464</v>
      </c>
      <c r="W478" s="7" t="s">
        <v>7031</v>
      </c>
      <c r="X478" s="7" t="s">
        <v>7032</v>
      </c>
      <c r="Y478" s="7"/>
      <c r="Z478" s="7"/>
      <c r="AA478" s="7" t="s">
        <v>6438</v>
      </c>
      <c r="AB478" s="7" t="s">
        <v>6041</v>
      </c>
    </row>
    <row r="479" customFormat="false" ht="48" hidden="false" customHeight="true" outlineLevel="0" collapsed="false">
      <c r="A479" s="7" t="n">
        <v>476</v>
      </c>
      <c r="B479" s="7" t="n">
        <v>2826</v>
      </c>
      <c r="C479" s="7" t="s">
        <v>5769</v>
      </c>
      <c r="D479" s="7" t="s">
        <v>31</v>
      </c>
      <c r="E479" s="7" t="s">
        <v>4003</v>
      </c>
      <c r="F479" s="7" t="s">
        <v>4010</v>
      </c>
      <c r="G479" s="7" t="s">
        <v>3998</v>
      </c>
      <c r="H479" s="7" t="n">
        <v>66</v>
      </c>
      <c r="I479" s="7" t="s">
        <v>18</v>
      </c>
      <c r="J479" s="7" t="s">
        <v>18</v>
      </c>
      <c r="K479" s="7" t="s">
        <v>6433</v>
      </c>
      <c r="L479" s="7" t="s">
        <v>6434</v>
      </c>
      <c r="M479" s="7" t="s">
        <v>6047</v>
      </c>
      <c r="N479" s="7" t="s">
        <v>5272</v>
      </c>
      <c r="O479" s="7"/>
      <c r="P479" s="7" t="s">
        <v>5274</v>
      </c>
      <c r="Q479" s="7" t="s">
        <v>5158</v>
      </c>
      <c r="R479" s="7"/>
      <c r="S479" s="7"/>
      <c r="T479" s="7" t="n">
        <v>12</v>
      </c>
      <c r="U479" s="7" t="s">
        <v>6442</v>
      </c>
      <c r="V479" s="7" t="s">
        <v>5466</v>
      </c>
      <c r="W479" s="7" t="s">
        <v>7033</v>
      </c>
      <c r="X479" s="7" t="s">
        <v>7034</v>
      </c>
      <c r="Y479" s="7"/>
      <c r="Z479" s="7"/>
      <c r="AA479" s="7" t="s">
        <v>6438</v>
      </c>
      <c r="AB479" s="7" t="s">
        <v>6041</v>
      </c>
    </row>
    <row r="480" customFormat="false" ht="48" hidden="false" customHeight="true" outlineLevel="0" collapsed="false">
      <c r="A480" s="7" t="n">
        <v>477</v>
      </c>
      <c r="B480" s="7" t="n">
        <v>657</v>
      </c>
      <c r="C480" s="7" t="s">
        <v>5770</v>
      </c>
      <c r="D480" s="7" t="s">
        <v>17</v>
      </c>
      <c r="E480" s="7" t="s">
        <v>4044</v>
      </c>
      <c r="F480" s="7" t="s">
        <v>4045</v>
      </c>
      <c r="G480" s="7" t="s">
        <v>3998</v>
      </c>
      <c r="H480" s="7" t="n">
        <v>87</v>
      </c>
      <c r="I480" s="7" t="s">
        <v>18</v>
      </c>
      <c r="J480" s="7" t="s">
        <v>18</v>
      </c>
      <c r="K480" s="7" t="s">
        <v>6433</v>
      </c>
      <c r="L480" s="7" t="s">
        <v>6434</v>
      </c>
      <c r="M480" s="7" t="s">
        <v>6047</v>
      </c>
      <c r="N480" s="7" t="s">
        <v>5272</v>
      </c>
      <c r="O480" s="7"/>
      <c r="P480" s="7" t="s">
        <v>5274</v>
      </c>
      <c r="Q480" s="7" t="s">
        <v>5162</v>
      </c>
      <c r="R480" s="7"/>
      <c r="S480" s="7"/>
      <c r="T480" s="7" t="n">
        <v>17</v>
      </c>
      <c r="U480" s="7" t="s">
        <v>6460</v>
      </c>
      <c r="V480" s="7" t="s">
        <v>5477</v>
      </c>
      <c r="W480" s="7" t="s">
        <v>7035</v>
      </c>
      <c r="X480" s="7" t="s">
        <v>7036</v>
      </c>
      <c r="Y480" s="7"/>
      <c r="Z480" s="7"/>
      <c r="AA480" s="7" t="s">
        <v>6438</v>
      </c>
      <c r="AB480" s="7" t="s">
        <v>6041</v>
      </c>
    </row>
    <row r="481" customFormat="false" ht="48" hidden="false" customHeight="true" outlineLevel="0" collapsed="false">
      <c r="A481" s="7" t="n">
        <v>478</v>
      </c>
      <c r="B481" s="7" t="n">
        <v>2541</v>
      </c>
      <c r="C481" s="7" t="s">
        <v>5771</v>
      </c>
      <c r="D481" s="7" t="s">
        <v>27</v>
      </c>
      <c r="E481" s="7" t="s">
        <v>3996</v>
      </c>
      <c r="F481" s="7" t="s">
        <v>4070</v>
      </c>
      <c r="G481" s="7" t="s">
        <v>4071</v>
      </c>
      <c r="H481" s="7" t="n">
        <v>102</v>
      </c>
      <c r="I481" s="7" t="s">
        <v>20</v>
      </c>
      <c r="J481" s="7" t="s">
        <v>28</v>
      </c>
      <c r="K481" s="7" t="s">
        <v>6433</v>
      </c>
      <c r="L481" s="7" t="s">
        <v>6434</v>
      </c>
      <c r="M481" s="7" t="s">
        <v>6047</v>
      </c>
      <c r="N481" s="7" t="s">
        <v>5272</v>
      </c>
      <c r="O481" s="7"/>
      <c r="P481" s="7" t="s">
        <v>5271</v>
      </c>
      <c r="Q481" s="7" t="s">
        <v>5168</v>
      </c>
      <c r="R481" s="7"/>
      <c r="S481" s="7"/>
      <c r="T481" s="7" t="n">
        <v>37</v>
      </c>
      <c r="U481" s="7" t="s">
        <v>6472</v>
      </c>
      <c r="V481" s="7" t="s">
        <v>5484</v>
      </c>
      <c r="W481" s="7" t="s">
        <v>7037</v>
      </c>
      <c r="X481" s="7" t="s">
        <v>7038</v>
      </c>
      <c r="Y481" s="7"/>
      <c r="Z481" s="7"/>
      <c r="AA481" s="7" t="s">
        <v>6438</v>
      </c>
      <c r="AB481" s="7" t="s">
        <v>6041</v>
      </c>
    </row>
    <row r="482" customFormat="false" ht="48" hidden="false" customHeight="true" outlineLevel="0" collapsed="false">
      <c r="A482" s="7" t="n">
        <v>479</v>
      </c>
      <c r="B482" s="7" t="n">
        <v>988</v>
      </c>
      <c r="C482" s="7" t="s">
        <v>5772</v>
      </c>
      <c r="D482" s="7" t="s">
        <v>21</v>
      </c>
      <c r="E482" s="7" t="s">
        <v>4058</v>
      </c>
      <c r="F482" s="7" t="s">
        <v>4059</v>
      </c>
      <c r="G482" s="7" t="s">
        <v>3998</v>
      </c>
      <c r="H482" s="7" t="n">
        <v>88</v>
      </c>
      <c r="I482" s="7" t="s">
        <v>18</v>
      </c>
      <c r="J482" s="7" t="s">
        <v>18</v>
      </c>
      <c r="K482" s="7" t="s">
        <v>6433</v>
      </c>
      <c r="L482" s="7" t="s">
        <v>6434</v>
      </c>
      <c r="M482" s="7" t="s">
        <v>6042</v>
      </c>
      <c r="N482" s="7"/>
      <c r="O482" s="7"/>
      <c r="P482" s="7" t="s">
        <v>5271</v>
      </c>
      <c r="Q482" s="7" t="s">
        <v>5172</v>
      </c>
      <c r="R482" s="7"/>
      <c r="S482" s="7"/>
      <c r="T482" s="7" t="n">
        <v>16</v>
      </c>
      <c r="U482" s="7" t="s">
        <v>6467</v>
      </c>
      <c r="V482" s="7" t="s">
        <v>5481</v>
      </c>
      <c r="W482" s="7" t="s">
        <v>7039</v>
      </c>
      <c r="X482" s="7" t="s">
        <v>7040</v>
      </c>
      <c r="Y482" s="7"/>
      <c r="Z482" s="7"/>
      <c r="AA482" s="7" t="s">
        <v>6438</v>
      </c>
      <c r="AB482" s="7" t="s">
        <v>6041</v>
      </c>
    </row>
    <row r="483" customFormat="false" ht="48" hidden="false" customHeight="true" outlineLevel="0" collapsed="false">
      <c r="A483" s="7" t="n">
        <v>480</v>
      </c>
      <c r="B483" s="7" t="n">
        <v>1176</v>
      </c>
      <c r="C483" s="7" t="s">
        <v>5773</v>
      </c>
      <c r="D483" s="7" t="s">
        <v>19</v>
      </c>
      <c r="E483" s="7" t="s">
        <v>4003</v>
      </c>
      <c r="F483" s="7" t="s">
        <v>4004</v>
      </c>
      <c r="G483" s="7" t="s">
        <v>3998</v>
      </c>
      <c r="H483" s="7" t="n">
        <v>66</v>
      </c>
      <c r="I483" s="7" t="s">
        <v>18</v>
      </c>
      <c r="J483" s="7" t="s">
        <v>18</v>
      </c>
      <c r="K483" s="7" t="s">
        <v>6433</v>
      </c>
      <c r="L483" s="7" t="s">
        <v>6434</v>
      </c>
      <c r="M483" s="7" t="s">
        <v>6042</v>
      </c>
      <c r="N483" s="7"/>
      <c r="O483" s="7"/>
      <c r="P483" s="7" t="s">
        <v>5276</v>
      </c>
      <c r="Q483" s="7" t="s">
        <v>5175</v>
      </c>
      <c r="R483" s="7"/>
      <c r="S483" s="7"/>
      <c r="T483" s="7" t="n">
        <v>15</v>
      </c>
      <c r="U483" s="7" t="s">
        <v>6439</v>
      </c>
      <c r="V483" s="7" t="s">
        <v>5464</v>
      </c>
      <c r="W483" s="7" t="s">
        <v>7041</v>
      </c>
      <c r="X483" s="7" t="s">
        <v>7042</v>
      </c>
      <c r="Y483" s="7"/>
      <c r="Z483" s="7"/>
      <c r="AA483" s="7" t="s">
        <v>6438</v>
      </c>
      <c r="AB483" s="7" t="s">
        <v>6041</v>
      </c>
    </row>
    <row r="484" customFormat="false" ht="48" hidden="false" customHeight="true" outlineLevel="0" collapsed="false">
      <c r="A484" s="7" t="n">
        <v>481</v>
      </c>
      <c r="B484" s="7" t="n">
        <v>2042</v>
      </c>
      <c r="C484" s="7" t="s">
        <v>5774</v>
      </c>
      <c r="D484" s="7" t="s">
        <v>25</v>
      </c>
      <c r="E484" s="7" t="s">
        <v>4019</v>
      </c>
      <c r="F484" s="7" t="s">
        <v>4020</v>
      </c>
      <c r="G484" s="7" t="s">
        <v>4005</v>
      </c>
      <c r="H484" s="7" t="n">
        <v>101</v>
      </c>
      <c r="I484" s="7" t="s">
        <v>20</v>
      </c>
      <c r="J484" s="7" t="s">
        <v>28</v>
      </c>
      <c r="K484" s="7" t="s">
        <v>6433</v>
      </c>
      <c r="L484" s="7" t="s">
        <v>6434</v>
      </c>
      <c r="M484" s="7" t="s">
        <v>6042</v>
      </c>
      <c r="N484" s="7"/>
      <c r="O484" s="7"/>
      <c r="P484" s="7" t="s">
        <v>5268</v>
      </c>
      <c r="Q484" s="7" t="s">
        <v>5181</v>
      </c>
      <c r="R484" s="7"/>
      <c r="S484" s="7"/>
      <c r="T484" s="7" t="n">
        <v>24</v>
      </c>
      <c r="U484" s="7" t="s">
        <v>6447</v>
      </c>
      <c r="V484" s="7" t="s">
        <v>5469</v>
      </c>
      <c r="W484" s="7" t="s">
        <v>7043</v>
      </c>
      <c r="X484" s="7" t="s">
        <v>7044</v>
      </c>
      <c r="Y484" s="7"/>
      <c r="Z484" s="7"/>
      <c r="AA484" s="7" t="s">
        <v>6438</v>
      </c>
      <c r="AB484" s="7" t="s">
        <v>6041</v>
      </c>
    </row>
    <row r="485" customFormat="false" ht="48" hidden="false" customHeight="true" outlineLevel="0" collapsed="false">
      <c r="A485" s="7" t="n">
        <v>482</v>
      </c>
      <c r="B485" s="7" t="n">
        <v>1585</v>
      </c>
      <c r="C485" s="7" t="s">
        <v>5775</v>
      </c>
      <c r="D485" s="7" t="s">
        <v>23</v>
      </c>
      <c r="E485" s="7" t="s">
        <v>3217</v>
      </c>
      <c r="F485" s="7" t="s">
        <v>4038</v>
      </c>
      <c r="G485" s="7" t="s">
        <v>4039</v>
      </c>
      <c r="H485" s="7" t="n">
        <v>51</v>
      </c>
      <c r="I485" s="7" t="s">
        <v>18</v>
      </c>
      <c r="J485" s="7" t="s">
        <v>18</v>
      </c>
      <c r="K485" s="7" t="s">
        <v>6433</v>
      </c>
      <c r="L485" s="7" t="s">
        <v>6434</v>
      </c>
      <c r="M485" s="7" t="s">
        <v>6042</v>
      </c>
      <c r="N485" s="7"/>
      <c r="O485" s="7"/>
      <c r="P485" s="7" t="s">
        <v>5274</v>
      </c>
      <c r="Q485" s="7" t="s">
        <v>5182</v>
      </c>
      <c r="R485" s="7"/>
      <c r="S485" s="7"/>
      <c r="T485" s="7" t="n">
        <v>17</v>
      </c>
      <c r="U485" s="7" t="s">
        <v>6457</v>
      </c>
      <c r="V485" s="7" t="s">
        <v>5475</v>
      </c>
      <c r="W485" s="7" t="s">
        <v>7045</v>
      </c>
      <c r="X485" s="7" t="s">
        <v>7046</v>
      </c>
      <c r="Y485" s="7"/>
      <c r="Z485" s="7"/>
      <c r="AA485" s="7" t="s">
        <v>6438</v>
      </c>
      <c r="AB485" s="7" t="s">
        <v>6041</v>
      </c>
    </row>
    <row r="486" customFormat="false" ht="48" hidden="false" customHeight="true" outlineLevel="0" collapsed="false">
      <c r="A486" s="7" t="n">
        <v>483</v>
      </c>
      <c r="B486" s="7" t="n">
        <v>996</v>
      </c>
      <c r="C486" s="7" t="s">
        <v>5776</v>
      </c>
      <c r="D486" s="7" t="s">
        <v>21</v>
      </c>
      <c r="E486" s="7" t="s">
        <v>4058</v>
      </c>
      <c r="F486" s="7" t="s">
        <v>4059</v>
      </c>
      <c r="G486" s="7" t="s">
        <v>3998</v>
      </c>
      <c r="H486" s="7" t="n">
        <v>96</v>
      </c>
      <c r="I486" s="7" t="s">
        <v>18</v>
      </c>
      <c r="J486" s="7" t="s">
        <v>18</v>
      </c>
      <c r="K486" s="7" t="s">
        <v>6433</v>
      </c>
      <c r="L486" s="7" t="s">
        <v>6434</v>
      </c>
      <c r="M486" s="7" t="s">
        <v>6042</v>
      </c>
      <c r="N486" s="7"/>
      <c r="O486" s="7"/>
      <c r="P486" s="7" t="s">
        <v>5271</v>
      </c>
      <c r="Q486" s="7" t="s">
        <v>5188</v>
      </c>
      <c r="R486" s="7"/>
      <c r="S486" s="7"/>
      <c r="T486" s="7" t="n">
        <v>17</v>
      </c>
      <c r="U486" s="7" t="s">
        <v>6467</v>
      </c>
      <c r="V486" s="7" t="s">
        <v>5481</v>
      </c>
      <c r="W486" s="7" t="s">
        <v>7047</v>
      </c>
      <c r="X486" s="7" t="s">
        <v>7048</v>
      </c>
      <c r="Y486" s="7"/>
      <c r="Z486" s="7"/>
      <c r="AA486" s="7" t="s">
        <v>6438</v>
      </c>
      <c r="AB486" s="7" t="s">
        <v>6041</v>
      </c>
    </row>
    <row r="487" customFormat="false" ht="48" hidden="false" customHeight="true" outlineLevel="0" collapsed="false">
      <c r="A487" s="7" t="n">
        <v>484</v>
      </c>
      <c r="B487" s="7" t="n">
        <v>457</v>
      </c>
      <c r="C487" s="7" t="s">
        <v>5777</v>
      </c>
      <c r="D487" s="7" t="s">
        <v>15</v>
      </c>
      <c r="E487" s="7" t="s">
        <v>3217</v>
      </c>
      <c r="F487" s="7" t="s">
        <v>4143</v>
      </c>
      <c r="G487" s="7" t="s">
        <v>4031</v>
      </c>
      <c r="H487" s="7" t="n">
        <v>150</v>
      </c>
      <c r="I487" s="7" t="s">
        <v>20</v>
      </c>
      <c r="J487" s="7" t="s">
        <v>32</v>
      </c>
      <c r="K487" s="7" t="s">
        <v>6433</v>
      </c>
      <c r="L487" s="7" t="s">
        <v>6434</v>
      </c>
      <c r="M487" s="7" t="s">
        <v>6042</v>
      </c>
      <c r="N487" s="7"/>
      <c r="O487" s="7"/>
      <c r="P487" s="7" t="s">
        <v>5271</v>
      </c>
      <c r="Q487" s="7" t="s">
        <v>5193</v>
      </c>
      <c r="R487" s="7" t="s">
        <v>5195</v>
      </c>
      <c r="S487" s="7"/>
      <c r="T487" s="7" t="n">
        <v>42</v>
      </c>
      <c r="U487" s="7" t="s">
        <v>6511</v>
      </c>
      <c r="V487" s="7" t="s">
        <v>5507</v>
      </c>
      <c r="W487" s="7" t="s">
        <v>7049</v>
      </c>
      <c r="X487" s="7" t="s">
        <v>7050</v>
      </c>
      <c r="Y487" s="7"/>
      <c r="Z487" s="7" t="s">
        <v>5195</v>
      </c>
      <c r="AA487" s="7" t="s">
        <v>6456</v>
      </c>
      <c r="AB487" s="7" t="s">
        <v>6041</v>
      </c>
    </row>
    <row r="488" customFormat="false" ht="48" hidden="false" customHeight="true" outlineLevel="0" collapsed="false">
      <c r="A488" s="7" t="n">
        <v>485</v>
      </c>
      <c r="B488" s="7" t="n">
        <v>905</v>
      </c>
      <c r="C488" s="7" t="s">
        <v>5778</v>
      </c>
      <c r="D488" s="7" t="s">
        <v>21</v>
      </c>
      <c r="E488" s="7" t="s">
        <v>4058</v>
      </c>
      <c r="F488" s="7" t="s">
        <v>4059</v>
      </c>
      <c r="G488" s="7" t="s">
        <v>3998</v>
      </c>
      <c r="H488" s="7" t="n">
        <v>5</v>
      </c>
      <c r="I488" s="7" t="s">
        <v>18</v>
      </c>
      <c r="J488" s="7" t="s">
        <v>18</v>
      </c>
      <c r="K488" s="7" t="s">
        <v>6433</v>
      </c>
      <c r="L488" s="7" t="s">
        <v>6434</v>
      </c>
      <c r="M488" s="7" t="s">
        <v>6042</v>
      </c>
      <c r="N488" s="7"/>
      <c r="O488" s="7"/>
      <c r="P488" s="7" t="s">
        <v>5271</v>
      </c>
      <c r="Q488" s="7" t="s">
        <v>5198</v>
      </c>
      <c r="R488" s="7"/>
      <c r="S488" s="7"/>
      <c r="T488" s="7" t="n">
        <v>2</v>
      </c>
      <c r="U488" s="7" t="s">
        <v>6467</v>
      </c>
      <c r="V488" s="7" t="s">
        <v>5481</v>
      </c>
      <c r="W488" s="7" t="s">
        <v>7051</v>
      </c>
      <c r="X488" s="7" t="s">
        <v>7052</v>
      </c>
      <c r="Y488" s="7"/>
      <c r="Z488" s="7"/>
      <c r="AA488" s="7" t="s">
        <v>6438</v>
      </c>
      <c r="AB488" s="7" t="s">
        <v>6041</v>
      </c>
    </row>
    <row r="489" customFormat="false" ht="48" hidden="false" customHeight="true" outlineLevel="0" collapsed="false">
      <c r="A489" s="7" t="n">
        <v>486</v>
      </c>
      <c r="B489" s="7" t="n">
        <v>2045</v>
      </c>
      <c r="C489" s="7" t="s">
        <v>5779</v>
      </c>
      <c r="D489" s="7" t="s">
        <v>25</v>
      </c>
      <c r="E489" s="7" t="s">
        <v>4019</v>
      </c>
      <c r="F489" s="7" t="s">
        <v>4020</v>
      </c>
      <c r="G489" s="7" t="s">
        <v>4005</v>
      </c>
      <c r="H489" s="7" t="n">
        <v>104</v>
      </c>
      <c r="I489" s="7" t="s">
        <v>20</v>
      </c>
      <c r="J489" s="7" t="s">
        <v>28</v>
      </c>
      <c r="K489" s="7" t="s">
        <v>6433</v>
      </c>
      <c r="L489" s="7" t="s">
        <v>6434</v>
      </c>
      <c r="M489" s="7" t="s">
        <v>6042</v>
      </c>
      <c r="N489" s="7"/>
      <c r="O489" s="7"/>
      <c r="P489" s="7" t="s">
        <v>5276</v>
      </c>
      <c r="Q489" s="7" t="s">
        <v>5201</v>
      </c>
      <c r="R489" s="7"/>
      <c r="S489" s="7"/>
      <c r="T489" s="7" t="n">
        <v>24</v>
      </c>
      <c r="U489" s="7" t="s">
        <v>6447</v>
      </c>
      <c r="V489" s="7" t="s">
        <v>5469</v>
      </c>
      <c r="W489" s="7" t="s">
        <v>7053</v>
      </c>
      <c r="X489" s="7" t="s">
        <v>7054</v>
      </c>
      <c r="Y489" s="7"/>
      <c r="Z489" s="7"/>
      <c r="AA489" s="7" t="s">
        <v>6438</v>
      </c>
      <c r="AB489" s="7" t="s">
        <v>6041</v>
      </c>
    </row>
    <row r="490" customFormat="false" ht="48" hidden="false" customHeight="true" outlineLevel="0" collapsed="false">
      <c r="A490" s="7" t="n">
        <v>487</v>
      </c>
      <c r="B490" s="7" t="n">
        <v>570</v>
      </c>
      <c r="C490" s="7" t="s">
        <v>5780</v>
      </c>
      <c r="D490" s="7" t="s">
        <v>17</v>
      </c>
      <c r="E490" s="7" t="s">
        <v>4058</v>
      </c>
      <c r="F490" s="7" t="s">
        <v>4084</v>
      </c>
      <c r="G490" s="7" t="s">
        <v>4005</v>
      </c>
      <c r="H490" s="7" t="n">
        <v>110</v>
      </c>
      <c r="I490" s="7" t="s">
        <v>20</v>
      </c>
      <c r="J490" s="7" t="s">
        <v>28</v>
      </c>
      <c r="K490" s="7" t="s">
        <v>6433</v>
      </c>
      <c r="L490" s="7" t="s">
        <v>6434</v>
      </c>
      <c r="M490" s="7" t="s">
        <v>6042</v>
      </c>
      <c r="N490" s="7"/>
      <c r="O490" s="7"/>
      <c r="P490" s="7" t="s">
        <v>5271</v>
      </c>
      <c r="Q490" s="7" t="s">
        <v>5206</v>
      </c>
      <c r="R490" s="7"/>
      <c r="S490" s="7"/>
      <c r="T490" s="7" t="n">
        <v>39</v>
      </c>
      <c r="U490" s="7" t="s">
        <v>6479</v>
      </c>
      <c r="V490" s="7" t="s">
        <v>5488</v>
      </c>
      <c r="W490" s="7" t="s">
        <v>7055</v>
      </c>
      <c r="X490" s="7" t="s">
        <v>7056</v>
      </c>
      <c r="Y490" s="7"/>
      <c r="Z490" s="7"/>
      <c r="AA490" s="7" t="s">
        <v>6438</v>
      </c>
      <c r="AB490" s="7" t="s">
        <v>6041</v>
      </c>
    </row>
    <row r="491" customFormat="false" ht="48" hidden="false" customHeight="true" outlineLevel="0" collapsed="false">
      <c r="A491" s="7" t="n">
        <v>488</v>
      </c>
      <c r="B491" s="7" t="n">
        <v>1446</v>
      </c>
      <c r="C491" s="7" t="s">
        <v>5781</v>
      </c>
      <c r="D491" s="7" t="s">
        <v>22</v>
      </c>
      <c r="E491" s="7" t="s">
        <v>3996</v>
      </c>
      <c r="F491" s="7" t="s">
        <v>3997</v>
      </c>
      <c r="G491" s="7" t="s">
        <v>3998</v>
      </c>
      <c r="H491" s="7" t="n">
        <v>72</v>
      </c>
      <c r="I491" s="7" t="s">
        <v>18</v>
      </c>
      <c r="J491" s="7" t="s">
        <v>18</v>
      </c>
      <c r="K491" s="7" t="s">
        <v>6433</v>
      </c>
      <c r="L491" s="7" t="s">
        <v>6434</v>
      </c>
      <c r="M491" s="7" t="s">
        <v>6042</v>
      </c>
      <c r="N491" s="7"/>
      <c r="O491" s="7"/>
      <c r="P491" s="7" t="s">
        <v>5274</v>
      </c>
      <c r="Q491" s="7" t="s">
        <v>5208</v>
      </c>
      <c r="R491" s="7"/>
      <c r="S491" s="7"/>
      <c r="T491" s="7" t="n">
        <v>14</v>
      </c>
      <c r="U491" s="7" t="s">
        <v>6435</v>
      </c>
      <c r="V491" s="7" t="s">
        <v>5462</v>
      </c>
      <c r="W491" s="7" t="s">
        <v>7057</v>
      </c>
      <c r="X491" s="7" t="s">
        <v>7058</v>
      </c>
      <c r="Y491" s="7"/>
      <c r="Z491" s="7"/>
      <c r="AA491" s="7" t="s">
        <v>6438</v>
      </c>
      <c r="AB491" s="7" t="s">
        <v>6041</v>
      </c>
    </row>
    <row r="492" customFormat="false" ht="48" hidden="false" customHeight="true" outlineLevel="0" collapsed="false">
      <c r="A492" s="7" t="n">
        <v>489</v>
      </c>
      <c r="B492" s="7" t="n">
        <v>561</v>
      </c>
      <c r="C492" s="7" t="s">
        <v>5782</v>
      </c>
      <c r="D492" s="7" t="s">
        <v>17</v>
      </c>
      <c r="E492" s="7" t="s">
        <v>4058</v>
      </c>
      <c r="F492" s="7" t="s">
        <v>4084</v>
      </c>
      <c r="G492" s="7" t="s">
        <v>4005</v>
      </c>
      <c r="H492" s="7" t="n">
        <v>101</v>
      </c>
      <c r="I492" s="7" t="s">
        <v>20</v>
      </c>
      <c r="J492" s="7" t="s">
        <v>28</v>
      </c>
      <c r="K492" s="7" t="s">
        <v>6433</v>
      </c>
      <c r="L492" s="7" t="s">
        <v>6434</v>
      </c>
      <c r="M492" s="7" t="s">
        <v>6042</v>
      </c>
      <c r="N492" s="7"/>
      <c r="O492" s="7"/>
      <c r="P492" s="7" t="s">
        <v>5271</v>
      </c>
      <c r="Q492" s="7" t="s">
        <v>5214</v>
      </c>
      <c r="R492" s="7"/>
      <c r="S492" s="7"/>
      <c r="T492" s="7" t="n">
        <v>35</v>
      </c>
      <c r="U492" s="7" t="s">
        <v>6479</v>
      </c>
      <c r="V492" s="7" t="s">
        <v>5488</v>
      </c>
      <c r="W492" s="7" t="s">
        <v>7059</v>
      </c>
      <c r="X492" s="7" t="s">
        <v>7060</v>
      </c>
      <c r="Y492" s="7"/>
      <c r="Z492" s="7"/>
      <c r="AA492" s="7" t="s">
        <v>6438</v>
      </c>
      <c r="AB492" s="7" t="s">
        <v>6041</v>
      </c>
    </row>
    <row r="493" customFormat="false" ht="48" hidden="false" customHeight="true" outlineLevel="0" collapsed="false">
      <c r="A493" s="7" t="n">
        <v>490</v>
      </c>
      <c r="B493" s="7" t="n">
        <v>660</v>
      </c>
      <c r="C493" s="7" t="s">
        <v>5783</v>
      </c>
      <c r="D493" s="7" t="s">
        <v>17</v>
      </c>
      <c r="E493" s="7" t="s">
        <v>4044</v>
      </c>
      <c r="F493" s="7" t="s">
        <v>4045</v>
      </c>
      <c r="G493" s="7" t="s">
        <v>3998</v>
      </c>
      <c r="H493" s="7" t="n">
        <v>90</v>
      </c>
      <c r="I493" s="7" t="s">
        <v>18</v>
      </c>
      <c r="J493" s="7" t="s">
        <v>18</v>
      </c>
      <c r="K493" s="7" t="s">
        <v>6433</v>
      </c>
      <c r="L493" s="7" t="s">
        <v>6434</v>
      </c>
      <c r="M493" s="7" t="s">
        <v>6042</v>
      </c>
      <c r="N493" s="7"/>
      <c r="O493" s="7"/>
      <c r="P493" s="7" t="s">
        <v>5271</v>
      </c>
      <c r="Q493" s="7" t="s">
        <v>5218</v>
      </c>
      <c r="R493" s="7"/>
      <c r="S493" s="7"/>
      <c r="T493" s="7" t="n">
        <v>18</v>
      </c>
      <c r="U493" s="7" t="s">
        <v>6460</v>
      </c>
      <c r="V493" s="7" t="s">
        <v>5477</v>
      </c>
      <c r="W493" s="7" t="s">
        <v>7061</v>
      </c>
      <c r="X493" s="7" t="s">
        <v>7062</v>
      </c>
      <c r="Y493" s="7"/>
      <c r="Z493" s="7"/>
      <c r="AA493" s="7" t="s">
        <v>6438</v>
      </c>
      <c r="AB493" s="7" t="s">
        <v>6041</v>
      </c>
    </row>
    <row r="494" customFormat="false" ht="48" hidden="false" customHeight="true" outlineLevel="0" collapsed="false">
      <c r="A494" s="7" t="n">
        <v>491</v>
      </c>
      <c r="B494" s="7" t="n">
        <v>2694</v>
      </c>
      <c r="C494" s="7" t="s">
        <v>5784</v>
      </c>
      <c r="D494" s="7" t="s">
        <v>29</v>
      </c>
      <c r="E494" s="7" t="s">
        <v>3217</v>
      </c>
      <c r="F494" s="7" t="s">
        <v>3898</v>
      </c>
      <c r="G494" s="7" t="s">
        <v>4025</v>
      </c>
      <c r="H494" s="7" t="n">
        <v>45</v>
      </c>
      <c r="I494" s="7" t="s">
        <v>20</v>
      </c>
      <c r="J494" s="7" t="s">
        <v>33</v>
      </c>
      <c r="K494" s="7" t="s">
        <v>6433</v>
      </c>
      <c r="L494" s="7" t="s">
        <v>6434</v>
      </c>
      <c r="M494" s="7" t="s">
        <v>6042</v>
      </c>
      <c r="N494" s="7"/>
      <c r="O494" s="7"/>
      <c r="P494" s="7" t="s">
        <v>5274</v>
      </c>
      <c r="Q494" s="7" t="s">
        <v>5220</v>
      </c>
      <c r="R494" s="7"/>
      <c r="S494" s="7"/>
      <c r="T494" s="7" t="n">
        <v>10</v>
      </c>
      <c r="U494" s="7" t="s">
        <v>6390</v>
      </c>
      <c r="V494" s="7" t="s">
        <v>5440</v>
      </c>
      <c r="W494" s="7" t="s">
        <v>7063</v>
      </c>
      <c r="X494" s="7" t="s">
        <v>7064</v>
      </c>
      <c r="Y494" s="7"/>
      <c r="Z494" s="7"/>
      <c r="AA494" s="7" t="s">
        <v>6648</v>
      </c>
      <c r="AB494" s="7" t="s">
        <v>6041</v>
      </c>
    </row>
    <row r="495" customFormat="false" ht="48" hidden="false" customHeight="true" outlineLevel="0" collapsed="false">
      <c r="A495" s="7" t="n">
        <v>492</v>
      </c>
      <c r="B495" s="7" t="n">
        <v>1555</v>
      </c>
      <c r="C495" s="7" t="s">
        <v>5785</v>
      </c>
      <c r="D495" s="7" t="s">
        <v>23</v>
      </c>
      <c r="E495" s="7" t="s">
        <v>3217</v>
      </c>
      <c r="F495" s="7" t="s">
        <v>4038</v>
      </c>
      <c r="G495" s="7" t="s">
        <v>3998</v>
      </c>
      <c r="H495" s="7" t="n">
        <v>21</v>
      </c>
      <c r="I495" s="7" t="s">
        <v>18</v>
      </c>
      <c r="J495" s="7" t="s">
        <v>18</v>
      </c>
      <c r="K495" s="7" t="s">
        <v>6433</v>
      </c>
      <c r="L495" s="7" t="s">
        <v>6434</v>
      </c>
      <c r="M495" s="7" t="s">
        <v>6042</v>
      </c>
      <c r="N495" s="7"/>
      <c r="O495" s="7"/>
      <c r="P495" s="7" t="s">
        <v>5274</v>
      </c>
      <c r="Q495" s="7" t="s">
        <v>5224</v>
      </c>
      <c r="R495" s="7"/>
      <c r="S495" s="7"/>
      <c r="T495" s="7" t="n">
        <v>8</v>
      </c>
      <c r="U495" s="7" t="s">
        <v>6457</v>
      </c>
      <c r="V495" s="7" t="s">
        <v>5475</v>
      </c>
      <c r="W495" s="7" t="s">
        <v>7065</v>
      </c>
      <c r="X495" s="7" t="s">
        <v>7066</v>
      </c>
      <c r="Y495" s="7"/>
      <c r="Z495" s="7"/>
      <c r="AA495" s="7" t="s">
        <v>6438</v>
      </c>
      <c r="AB495" s="7" t="s">
        <v>6041</v>
      </c>
    </row>
    <row r="496" customFormat="false" ht="48" hidden="false" customHeight="true" outlineLevel="0" collapsed="false">
      <c r="A496" s="7" t="n">
        <v>493</v>
      </c>
      <c r="B496" s="7" t="n">
        <v>680</v>
      </c>
      <c r="C496" s="7" t="s">
        <v>5786</v>
      </c>
      <c r="D496" s="7" t="s">
        <v>17</v>
      </c>
      <c r="E496" s="7" t="s">
        <v>4044</v>
      </c>
      <c r="F496" s="7" t="s">
        <v>4045</v>
      </c>
      <c r="G496" s="7" t="s">
        <v>4005</v>
      </c>
      <c r="H496" s="7" t="n">
        <v>110</v>
      </c>
      <c r="I496" s="7" t="s">
        <v>20</v>
      </c>
      <c r="J496" s="7" t="s">
        <v>28</v>
      </c>
      <c r="K496" s="7" t="s">
        <v>6433</v>
      </c>
      <c r="L496" s="7" t="s">
        <v>6434</v>
      </c>
      <c r="M496" s="7" t="s">
        <v>6042</v>
      </c>
      <c r="N496" s="7"/>
      <c r="O496" s="7"/>
      <c r="P496" s="7" t="s">
        <v>5271</v>
      </c>
      <c r="Q496" s="7" t="s">
        <v>5230</v>
      </c>
      <c r="R496" s="7"/>
      <c r="S496" s="7"/>
      <c r="T496" s="7" t="n">
        <v>21</v>
      </c>
      <c r="U496" s="7" t="s">
        <v>6460</v>
      </c>
      <c r="V496" s="7" t="s">
        <v>5477</v>
      </c>
      <c r="W496" s="7" t="s">
        <v>7067</v>
      </c>
      <c r="X496" s="7" t="s">
        <v>7068</v>
      </c>
      <c r="Y496" s="7"/>
      <c r="Z496" s="7"/>
      <c r="AA496" s="7" t="s">
        <v>6438</v>
      </c>
      <c r="AB496" s="7" t="s">
        <v>6041</v>
      </c>
    </row>
    <row r="497" customFormat="false" ht="48" hidden="false" customHeight="true" outlineLevel="0" collapsed="false">
      <c r="A497" s="7" t="n">
        <v>494</v>
      </c>
      <c r="B497" s="7" t="n">
        <v>298</v>
      </c>
      <c r="C497" s="7" t="s">
        <v>5787</v>
      </c>
      <c r="D497" s="7" t="s">
        <v>15</v>
      </c>
      <c r="E497" s="7" t="s">
        <v>3996</v>
      </c>
      <c r="F497" s="7" t="s">
        <v>4030</v>
      </c>
      <c r="G497" s="7" t="s">
        <v>4031</v>
      </c>
      <c r="H497" s="7" t="n">
        <v>144</v>
      </c>
      <c r="I497" s="7" t="s">
        <v>20</v>
      </c>
      <c r="J497" s="7" t="s">
        <v>32</v>
      </c>
      <c r="K497" s="7" t="s">
        <v>6433</v>
      </c>
      <c r="L497" s="7" t="s">
        <v>6434</v>
      </c>
      <c r="M497" s="7" t="s">
        <v>6042</v>
      </c>
      <c r="N497" s="7"/>
      <c r="O497" s="7"/>
      <c r="P497" s="7" t="s">
        <v>5271</v>
      </c>
      <c r="Q497" s="7" t="s">
        <v>5235</v>
      </c>
      <c r="R497" s="7" t="s">
        <v>5237</v>
      </c>
      <c r="S497" s="7"/>
      <c r="T497" s="7" t="n">
        <v>39</v>
      </c>
      <c r="U497" s="7" t="s">
        <v>6453</v>
      </c>
      <c r="V497" s="7" t="s">
        <v>5473</v>
      </c>
      <c r="W497" s="7" t="s">
        <v>7069</v>
      </c>
      <c r="X497" s="7" t="s">
        <v>7070</v>
      </c>
      <c r="Y497" s="7"/>
      <c r="Z497" s="7" t="s">
        <v>5237</v>
      </c>
      <c r="AA497" s="7" t="s">
        <v>6456</v>
      </c>
      <c r="AB497" s="7" t="s">
        <v>6041</v>
      </c>
    </row>
    <row r="498" customFormat="false" ht="48" hidden="false" customHeight="true" outlineLevel="0" collapsed="false">
      <c r="A498" s="7" t="n">
        <v>495</v>
      </c>
      <c r="B498" s="7" t="n">
        <v>2609</v>
      </c>
      <c r="C498" s="7" t="s">
        <v>5788</v>
      </c>
      <c r="D498" s="7" t="s">
        <v>27</v>
      </c>
      <c r="E498" s="7" t="s">
        <v>4129</v>
      </c>
      <c r="F498" s="7" t="s">
        <v>4130</v>
      </c>
      <c r="G498" s="7" t="s">
        <v>3998</v>
      </c>
      <c r="H498" s="7" t="n">
        <v>60</v>
      </c>
      <c r="I498" s="7" t="s">
        <v>18</v>
      </c>
      <c r="J498" s="7" t="s">
        <v>18</v>
      </c>
      <c r="K498" s="7" t="s">
        <v>6433</v>
      </c>
      <c r="L498" s="7" t="s">
        <v>6434</v>
      </c>
      <c r="M498" s="7" t="s">
        <v>6047</v>
      </c>
      <c r="N498" s="7" t="s">
        <v>5272</v>
      </c>
      <c r="O498" s="7"/>
      <c r="P498" s="7" t="s">
        <v>5274</v>
      </c>
      <c r="Q498" s="7" t="s">
        <v>5238</v>
      </c>
      <c r="R498" s="7"/>
      <c r="S498" s="7"/>
      <c r="T498" s="7" t="n">
        <v>16</v>
      </c>
      <c r="U498" s="7" t="s">
        <v>6503</v>
      </c>
      <c r="V498" s="7" t="s">
        <v>5502</v>
      </c>
      <c r="W498" s="7" t="s">
        <v>7071</v>
      </c>
      <c r="X498" s="7" t="s">
        <v>7072</v>
      </c>
      <c r="Y498" s="7"/>
      <c r="Z498" s="7"/>
      <c r="AA498" s="7" t="s">
        <v>6438</v>
      </c>
      <c r="AB498" s="7" t="s">
        <v>6041</v>
      </c>
    </row>
    <row r="499" customFormat="false" ht="48" hidden="false" customHeight="true" outlineLevel="0" collapsed="false">
      <c r="A499" s="7" t="n">
        <v>496</v>
      </c>
      <c r="B499" s="7" t="n">
        <v>1556</v>
      </c>
      <c r="C499" s="7" t="s">
        <v>5789</v>
      </c>
      <c r="D499" s="7" t="s">
        <v>23</v>
      </c>
      <c r="E499" s="7" t="s">
        <v>3217</v>
      </c>
      <c r="F499" s="7" t="s">
        <v>4038</v>
      </c>
      <c r="G499" s="7" t="s">
        <v>3998</v>
      </c>
      <c r="H499" s="7" t="n">
        <v>22</v>
      </c>
      <c r="I499" s="7" t="s">
        <v>18</v>
      </c>
      <c r="J499" s="7" t="s">
        <v>18</v>
      </c>
      <c r="K499" s="7" t="s">
        <v>6433</v>
      </c>
      <c r="L499" s="7" t="s">
        <v>6434</v>
      </c>
      <c r="M499" s="7" t="s">
        <v>6042</v>
      </c>
      <c r="N499" s="7"/>
      <c r="O499" s="7"/>
      <c r="P499" s="7" t="s">
        <v>5276</v>
      </c>
      <c r="Q499" s="7" t="s">
        <v>5243</v>
      </c>
      <c r="R499" s="7"/>
      <c r="S499" s="7"/>
      <c r="T499" s="7" t="n">
        <v>9</v>
      </c>
      <c r="U499" s="7" t="s">
        <v>6457</v>
      </c>
      <c r="V499" s="7" t="s">
        <v>5475</v>
      </c>
      <c r="W499" s="7" t="s">
        <v>7073</v>
      </c>
      <c r="X499" s="7" t="s">
        <v>7074</v>
      </c>
      <c r="Y499" s="7"/>
      <c r="Z499" s="7"/>
      <c r="AA499" s="7" t="s">
        <v>6438</v>
      </c>
      <c r="AB499" s="7" t="s">
        <v>6041</v>
      </c>
    </row>
    <row r="500" customFormat="false" ht="48" hidden="false" customHeight="true" outlineLevel="0" collapsed="false">
      <c r="A500" s="7" t="n">
        <v>497</v>
      </c>
      <c r="B500" s="7" t="n">
        <v>444</v>
      </c>
      <c r="C500" s="7" t="s">
        <v>5790</v>
      </c>
      <c r="D500" s="7" t="s">
        <v>15</v>
      </c>
      <c r="E500" s="7" t="s">
        <v>3217</v>
      </c>
      <c r="F500" s="7" t="s">
        <v>4143</v>
      </c>
      <c r="G500" s="7" t="s">
        <v>4031</v>
      </c>
      <c r="H500" s="7" t="n">
        <v>137</v>
      </c>
      <c r="I500" s="7" t="s">
        <v>20</v>
      </c>
      <c r="J500" s="7" t="s">
        <v>32</v>
      </c>
      <c r="K500" s="7" t="s">
        <v>6433</v>
      </c>
      <c r="L500" s="7" t="s">
        <v>6434</v>
      </c>
      <c r="M500" s="7" t="s">
        <v>6042</v>
      </c>
      <c r="N500" s="7"/>
      <c r="O500" s="7"/>
      <c r="P500" s="7" t="s">
        <v>5268</v>
      </c>
      <c r="Q500" s="7" t="s">
        <v>5249</v>
      </c>
      <c r="R500" s="7" t="s">
        <v>4598</v>
      </c>
      <c r="S500" s="7"/>
      <c r="T500" s="7" t="n">
        <v>38</v>
      </c>
      <c r="U500" s="7" t="s">
        <v>6511</v>
      </c>
      <c r="V500" s="7" t="s">
        <v>5507</v>
      </c>
      <c r="W500" s="7" t="s">
        <v>7075</v>
      </c>
      <c r="X500" s="7" t="s">
        <v>7076</v>
      </c>
      <c r="Y500" s="7"/>
      <c r="Z500" s="7" t="s">
        <v>4598</v>
      </c>
      <c r="AA500" s="7" t="s">
        <v>6456</v>
      </c>
      <c r="AB500" s="7" t="s">
        <v>6041</v>
      </c>
    </row>
    <row r="501" customFormat="false" ht="48" hidden="false" customHeight="true" outlineLevel="0" collapsed="false">
      <c r="A501" s="7" t="n">
        <v>498</v>
      </c>
      <c r="B501" s="7" t="n">
        <v>1087</v>
      </c>
      <c r="C501" s="7" t="s">
        <v>5791</v>
      </c>
      <c r="D501" s="7" t="s">
        <v>21</v>
      </c>
      <c r="E501" s="7" t="s">
        <v>3217</v>
      </c>
      <c r="F501" s="7" t="s">
        <v>4108</v>
      </c>
      <c r="G501" s="7" t="s">
        <v>3998</v>
      </c>
      <c r="H501" s="7" t="n">
        <v>82</v>
      </c>
      <c r="I501" s="7" t="s">
        <v>18</v>
      </c>
      <c r="J501" s="7" t="s">
        <v>18</v>
      </c>
      <c r="K501" s="7" t="s">
        <v>6433</v>
      </c>
      <c r="L501" s="7" t="s">
        <v>6434</v>
      </c>
      <c r="M501" s="7" t="s">
        <v>6047</v>
      </c>
      <c r="N501" s="7" t="s">
        <v>5272</v>
      </c>
      <c r="O501" s="7"/>
      <c r="P501" s="7" t="s">
        <v>5276</v>
      </c>
      <c r="Q501" s="7" t="s">
        <v>5251</v>
      </c>
      <c r="R501" s="7"/>
      <c r="S501" s="7"/>
      <c r="T501" s="7" t="n">
        <v>14</v>
      </c>
      <c r="U501" s="7" t="s">
        <v>6492</v>
      </c>
      <c r="V501" s="7" t="s">
        <v>5496</v>
      </c>
      <c r="W501" s="7" t="s">
        <v>7077</v>
      </c>
      <c r="X501" s="7" t="s">
        <v>7078</v>
      </c>
      <c r="Y501" s="7"/>
      <c r="Z501" s="7"/>
      <c r="AA501" s="7" t="s">
        <v>6438</v>
      </c>
      <c r="AB501" s="7" t="s">
        <v>6041</v>
      </c>
    </row>
    <row r="502" customFormat="false" ht="48" hidden="false" customHeight="true" outlineLevel="0" collapsed="false">
      <c r="A502" s="7" t="n">
        <v>499</v>
      </c>
      <c r="B502" s="7" t="n">
        <v>673</v>
      </c>
      <c r="C502" s="7" t="s">
        <v>5792</v>
      </c>
      <c r="D502" s="7" t="s">
        <v>17</v>
      </c>
      <c r="E502" s="7" t="s">
        <v>4044</v>
      </c>
      <c r="F502" s="7" t="s">
        <v>4045</v>
      </c>
      <c r="G502" s="7" t="s">
        <v>4005</v>
      </c>
      <c r="H502" s="7" t="n">
        <v>103</v>
      </c>
      <c r="I502" s="7" t="s">
        <v>20</v>
      </c>
      <c r="J502" s="7" t="s">
        <v>28</v>
      </c>
      <c r="K502" s="7" t="s">
        <v>6433</v>
      </c>
      <c r="L502" s="7" t="s">
        <v>6434</v>
      </c>
      <c r="M502" s="7" t="s">
        <v>6047</v>
      </c>
      <c r="N502" s="7" t="s">
        <v>5272</v>
      </c>
      <c r="O502" s="7"/>
      <c r="P502" s="7" t="s">
        <v>5276</v>
      </c>
      <c r="Q502" s="7" t="s">
        <v>5255</v>
      </c>
      <c r="R502" s="7"/>
      <c r="S502" s="7"/>
      <c r="T502" s="7" t="n">
        <v>20</v>
      </c>
      <c r="U502" s="7" t="s">
        <v>6460</v>
      </c>
      <c r="V502" s="7" t="s">
        <v>5477</v>
      </c>
      <c r="W502" s="7" t="s">
        <v>7079</v>
      </c>
      <c r="X502" s="7" t="s">
        <v>7080</v>
      </c>
      <c r="Y502" s="7"/>
      <c r="Z502" s="7"/>
      <c r="AA502" s="7" t="s">
        <v>6438</v>
      </c>
      <c r="AB502" s="7" t="s">
        <v>6041</v>
      </c>
    </row>
    <row r="503" customFormat="false" ht="48" hidden="false" customHeight="true" outlineLevel="0" collapsed="false">
      <c r="A503" s="7" t="n">
        <v>500</v>
      </c>
      <c r="B503" s="7" t="n">
        <v>1324</v>
      </c>
      <c r="C503" s="7" t="s">
        <v>5793</v>
      </c>
      <c r="D503" s="7" t="s">
        <v>19</v>
      </c>
      <c r="E503" s="7" t="s">
        <v>3217</v>
      </c>
      <c r="F503" s="7" t="s">
        <v>4139</v>
      </c>
      <c r="G503" s="7" t="s">
        <v>3998</v>
      </c>
      <c r="H503" s="7" t="n">
        <v>49</v>
      </c>
      <c r="I503" s="7" t="s">
        <v>18</v>
      </c>
      <c r="J503" s="7" t="s">
        <v>18</v>
      </c>
      <c r="K503" s="7" t="s">
        <v>6433</v>
      </c>
      <c r="L503" s="7" t="s">
        <v>6434</v>
      </c>
      <c r="M503" s="7" t="s">
        <v>6042</v>
      </c>
      <c r="N503" s="7"/>
      <c r="O503" s="7"/>
      <c r="P503" s="7" t="s">
        <v>5274</v>
      </c>
      <c r="Q503" s="7" t="s">
        <v>5258</v>
      </c>
      <c r="R503" s="7"/>
      <c r="S503" s="7"/>
      <c r="T503" s="7" t="n">
        <v>12</v>
      </c>
      <c r="U503" s="7" t="s">
        <v>6508</v>
      </c>
      <c r="V503" s="7" t="s">
        <v>5505</v>
      </c>
      <c r="W503" s="7" t="s">
        <v>7081</v>
      </c>
      <c r="X503" s="7" t="s">
        <v>7082</v>
      </c>
      <c r="Y503" s="7"/>
      <c r="Z503" s="7"/>
      <c r="AA503" s="7" t="s">
        <v>6438</v>
      </c>
      <c r="AB503" s="7" t="s">
        <v>6041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4442"/>
    <pageSetUpPr fitToPage="true"/>
  </sheetPr>
  <dimension ref="A1:L11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24"/>
    <col collapsed="false" customWidth="true" hidden="false" outlineLevel="0" max="2" min="2" style="0" width="8"/>
    <col collapsed="false" customWidth="true" hidden="false" outlineLevel="0" max="3" min="3" style="0" width="34"/>
    <col collapsed="false" customWidth="true" hidden="false" outlineLevel="0" max="4" min="4" style="0" width="24"/>
    <col collapsed="false" customWidth="true" hidden="false" outlineLevel="0" max="5" min="5" style="0" width="10"/>
    <col collapsed="false" customWidth="true" hidden="false" outlineLevel="0" max="6" min="6" style="0" width="46"/>
    <col collapsed="false" customWidth="true" hidden="false" outlineLevel="0" max="7" min="7" style="0" width="16"/>
    <col collapsed="false" customWidth="true" hidden="false" outlineLevel="0" max="8" min="8" style="0" width="34"/>
    <col collapsed="false" customWidth="true" hidden="false" outlineLevel="0" max="9" min="9" style="0" width="14"/>
    <col collapsed="false" customWidth="true" hidden="false" outlineLevel="0" max="10" min="10" style="0" width="62"/>
    <col collapsed="false" customWidth="true" hidden="false" outlineLevel="0" max="11" min="11" style="0" width="46"/>
    <col collapsed="false" customWidth="true" hidden="false" outlineLevel="0" max="12" min="12" style="0" width="70"/>
  </cols>
  <sheetData>
    <row r="1" customFormat="false" ht="30" hidden="false" customHeight="true" outlineLevel="0" collapsed="false">
      <c r="A1" s="1" t="s">
        <v>7083</v>
      </c>
      <c r="B1" s="1"/>
      <c r="C1" s="1"/>
      <c r="D1" s="1"/>
    </row>
    <row r="2" customFormat="false" ht="31.5" hidden="false" customHeight="true" outlineLevel="0" collapsed="false">
      <c r="A2" s="2" t="s">
        <v>7084</v>
      </c>
      <c r="B2" s="2"/>
      <c r="C2" s="2"/>
      <c r="D2" s="2"/>
    </row>
    <row r="3" customFormat="false" ht="23.85" hidden="false" customHeight="false" outlineLevel="0" collapsed="false">
      <c r="A3" s="6" t="s">
        <v>7</v>
      </c>
      <c r="B3" s="6" t="s">
        <v>3204</v>
      </c>
      <c r="C3" s="6" t="s">
        <v>5799</v>
      </c>
      <c r="D3" s="6" t="s">
        <v>3206</v>
      </c>
      <c r="E3" s="6" t="s">
        <v>3207</v>
      </c>
      <c r="F3" s="6" t="s">
        <v>7085</v>
      </c>
      <c r="G3" s="6" t="s">
        <v>7086</v>
      </c>
      <c r="H3" s="6" t="s">
        <v>5265</v>
      </c>
      <c r="I3" s="6" t="s">
        <v>5263</v>
      </c>
      <c r="J3" s="6" t="s">
        <v>5264</v>
      </c>
      <c r="K3" s="6" t="s">
        <v>6032</v>
      </c>
      <c r="L3" s="6" t="s">
        <v>5802</v>
      </c>
    </row>
    <row r="4" customFormat="false" ht="18" hidden="false" customHeight="false" outlineLevel="0" collapsed="false">
      <c r="A4" s="7" t="s">
        <v>15</v>
      </c>
      <c r="B4" s="7" t="s">
        <v>3996</v>
      </c>
      <c r="C4" s="7" t="s">
        <v>4030</v>
      </c>
      <c r="D4" s="7" t="s">
        <v>4031</v>
      </c>
      <c r="E4" s="7" t="n">
        <v>105</v>
      </c>
      <c r="F4" s="7" t="s">
        <v>7087</v>
      </c>
      <c r="G4" s="7" t="s">
        <v>6434</v>
      </c>
      <c r="H4" s="7" t="s">
        <v>7088</v>
      </c>
      <c r="I4" s="7"/>
      <c r="J4" s="7" t="s">
        <v>7089</v>
      </c>
      <c r="K4" s="7"/>
      <c r="L4" s="7" t="s">
        <v>6453</v>
      </c>
    </row>
    <row r="5" customFormat="false" ht="20.45" hidden="false" customHeight="false" outlineLevel="0" collapsed="false">
      <c r="A5" s="7" t="s">
        <v>15</v>
      </c>
      <c r="B5" s="7" t="s">
        <v>3996</v>
      </c>
      <c r="C5" s="7" t="s">
        <v>4030</v>
      </c>
      <c r="D5" s="7" t="s">
        <v>4031</v>
      </c>
      <c r="E5" s="7" t="n">
        <v>106</v>
      </c>
      <c r="F5" s="7" t="s">
        <v>7090</v>
      </c>
      <c r="G5" s="7" t="s">
        <v>6434</v>
      </c>
      <c r="H5" s="7"/>
      <c r="I5" s="7" t="s">
        <v>7091</v>
      </c>
      <c r="J5" s="7" t="s">
        <v>7092</v>
      </c>
      <c r="K5" s="7"/>
      <c r="L5" s="7" t="s">
        <v>6453</v>
      </c>
    </row>
    <row r="6" customFormat="false" ht="30.1" hidden="false" customHeight="false" outlineLevel="0" collapsed="false">
      <c r="A6" s="7" t="s">
        <v>15</v>
      </c>
      <c r="B6" s="7" t="s">
        <v>3996</v>
      </c>
      <c r="C6" s="7" t="s">
        <v>4030</v>
      </c>
      <c r="D6" s="7" t="s">
        <v>4031</v>
      </c>
      <c r="E6" s="7" t="n">
        <v>107</v>
      </c>
      <c r="F6" s="7" t="s">
        <v>7090</v>
      </c>
      <c r="G6" s="7" t="s">
        <v>6434</v>
      </c>
      <c r="H6" s="7" t="s">
        <v>5272</v>
      </c>
      <c r="I6" s="7" t="s">
        <v>7093</v>
      </c>
      <c r="J6" s="7" t="s">
        <v>7094</v>
      </c>
      <c r="K6" s="7"/>
      <c r="L6" s="7" t="s">
        <v>6453</v>
      </c>
    </row>
    <row r="7" customFormat="false" ht="18" hidden="false" customHeight="false" outlineLevel="0" collapsed="false">
      <c r="A7" s="7" t="s">
        <v>15</v>
      </c>
      <c r="B7" s="7" t="s">
        <v>3996</v>
      </c>
      <c r="C7" s="7" t="s">
        <v>4030</v>
      </c>
      <c r="D7" s="7" t="s">
        <v>4031</v>
      </c>
      <c r="E7" s="7" t="n">
        <v>108</v>
      </c>
      <c r="F7" s="7" t="s">
        <v>7090</v>
      </c>
      <c r="G7" s="7" t="s">
        <v>6434</v>
      </c>
      <c r="H7" s="7"/>
      <c r="I7" s="7" t="s">
        <v>7093</v>
      </c>
      <c r="J7" s="7" t="s">
        <v>3881</v>
      </c>
      <c r="K7" s="7"/>
      <c r="L7" s="7" t="s">
        <v>6453</v>
      </c>
    </row>
    <row r="8" customFormat="false" ht="20.45" hidden="false" customHeight="false" outlineLevel="0" collapsed="false">
      <c r="A8" s="7" t="s">
        <v>15</v>
      </c>
      <c r="B8" s="7" t="s">
        <v>3996</v>
      </c>
      <c r="C8" s="7" t="s">
        <v>4030</v>
      </c>
      <c r="D8" s="7" t="s">
        <v>4031</v>
      </c>
      <c r="E8" s="7" t="n">
        <v>109</v>
      </c>
      <c r="F8" s="7" t="s">
        <v>7090</v>
      </c>
      <c r="G8" s="7" t="s">
        <v>6434</v>
      </c>
      <c r="H8" s="7"/>
      <c r="I8" s="7" t="s">
        <v>7093</v>
      </c>
      <c r="J8" s="7" t="s">
        <v>7095</v>
      </c>
      <c r="K8" s="7"/>
      <c r="L8" s="7" t="s">
        <v>6453</v>
      </c>
    </row>
    <row r="9" customFormat="false" ht="18" hidden="false" customHeight="false" outlineLevel="0" collapsed="false">
      <c r="A9" s="7" t="s">
        <v>15</v>
      </c>
      <c r="B9" s="7" t="s">
        <v>3996</v>
      </c>
      <c r="C9" s="7" t="s">
        <v>4030</v>
      </c>
      <c r="D9" s="7" t="s">
        <v>4031</v>
      </c>
      <c r="E9" s="7" t="n">
        <v>111</v>
      </c>
      <c r="F9" s="7" t="s">
        <v>7087</v>
      </c>
      <c r="G9" s="7" t="s">
        <v>6434</v>
      </c>
      <c r="H9" s="7" t="s">
        <v>7088</v>
      </c>
      <c r="I9" s="7"/>
      <c r="J9" s="7" t="s">
        <v>7089</v>
      </c>
      <c r="K9" s="7"/>
      <c r="L9" s="7" t="s">
        <v>6453</v>
      </c>
    </row>
    <row r="10" customFormat="false" ht="18" hidden="false" customHeight="false" outlineLevel="0" collapsed="false">
      <c r="A10" s="7" t="s">
        <v>15</v>
      </c>
      <c r="B10" s="7" t="s">
        <v>3996</v>
      </c>
      <c r="C10" s="7" t="s">
        <v>4030</v>
      </c>
      <c r="D10" s="7" t="s">
        <v>4031</v>
      </c>
      <c r="E10" s="7" t="n">
        <v>145</v>
      </c>
      <c r="F10" s="7" t="s">
        <v>7087</v>
      </c>
      <c r="G10" s="7" t="s">
        <v>6434</v>
      </c>
      <c r="H10" s="7" t="s">
        <v>7088</v>
      </c>
      <c r="I10" s="7"/>
      <c r="J10" s="7" t="s">
        <v>7089</v>
      </c>
      <c r="K10" s="7"/>
      <c r="L10" s="7" t="s">
        <v>6453</v>
      </c>
    </row>
    <row r="11" customFormat="false" ht="18" hidden="false" customHeight="false" outlineLevel="0" collapsed="false">
      <c r="A11" s="7" t="s">
        <v>15</v>
      </c>
      <c r="B11" s="7" t="s">
        <v>3996</v>
      </c>
      <c r="C11" s="7" t="s">
        <v>4030</v>
      </c>
      <c r="D11" s="7" t="s">
        <v>4302</v>
      </c>
      <c r="E11" s="7" t="n">
        <v>24</v>
      </c>
      <c r="F11" s="7" t="s">
        <v>7087</v>
      </c>
      <c r="G11" s="7" t="s">
        <v>6434</v>
      </c>
      <c r="H11" s="7" t="s">
        <v>7096</v>
      </c>
      <c r="I11" s="7"/>
      <c r="J11" s="7" t="s">
        <v>7089</v>
      </c>
      <c r="K11" s="7"/>
      <c r="L11" s="7" t="s">
        <v>6453</v>
      </c>
    </row>
    <row r="12" customFormat="false" ht="18" hidden="false" customHeight="false" outlineLevel="0" collapsed="false">
      <c r="A12" s="7" t="s">
        <v>15</v>
      </c>
      <c r="B12" s="7" t="s">
        <v>3996</v>
      </c>
      <c r="C12" s="7" t="s">
        <v>4030</v>
      </c>
      <c r="D12" s="7" t="s">
        <v>4302</v>
      </c>
      <c r="E12" s="7" t="n">
        <v>32</v>
      </c>
      <c r="F12" s="7" t="s">
        <v>7087</v>
      </c>
      <c r="G12" s="7" t="s">
        <v>6434</v>
      </c>
      <c r="H12" s="7" t="s">
        <v>7088</v>
      </c>
      <c r="I12" s="7"/>
      <c r="J12" s="7" t="s">
        <v>7089</v>
      </c>
      <c r="K12" s="7"/>
      <c r="L12" s="7" t="s">
        <v>6453</v>
      </c>
    </row>
    <row r="13" customFormat="false" ht="18" hidden="false" customHeight="false" outlineLevel="0" collapsed="false">
      <c r="A13" s="7" t="s">
        <v>15</v>
      </c>
      <c r="B13" s="7" t="s">
        <v>3996</v>
      </c>
      <c r="C13" s="7" t="s">
        <v>4030</v>
      </c>
      <c r="D13" s="7" t="s">
        <v>4302</v>
      </c>
      <c r="E13" s="7" t="n">
        <v>55</v>
      </c>
      <c r="F13" s="7" t="s">
        <v>7087</v>
      </c>
      <c r="G13" s="7" t="s">
        <v>6434</v>
      </c>
      <c r="H13" s="7" t="s">
        <v>7097</v>
      </c>
      <c r="I13" s="7"/>
      <c r="J13" s="7" t="s">
        <v>7089</v>
      </c>
      <c r="K13" s="7"/>
      <c r="L13" s="7" t="s">
        <v>6453</v>
      </c>
    </row>
    <row r="14" customFormat="false" ht="18" hidden="false" customHeight="false" outlineLevel="0" collapsed="false">
      <c r="A14" s="7" t="s">
        <v>15</v>
      </c>
      <c r="B14" s="7" t="s">
        <v>3996</v>
      </c>
      <c r="C14" s="7" t="s">
        <v>4030</v>
      </c>
      <c r="D14" s="7" t="s">
        <v>4302</v>
      </c>
      <c r="E14" s="7" t="n">
        <v>87</v>
      </c>
      <c r="F14" s="7" t="s">
        <v>7087</v>
      </c>
      <c r="G14" s="7" t="s">
        <v>6434</v>
      </c>
      <c r="H14" s="7" t="s">
        <v>7097</v>
      </c>
      <c r="I14" s="7"/>
      <c r="J14" s="7" t="s">
        <v>7089</v>
      </c>
      <c r="K14" s="7"/>
      <c r="L14" s="7" t="s">
        <v>6453</v>
      </c>
    </row>
    <row r="15" customFormat="false" ht="20.45" hidden="false" customHeight="false" outlineLevel="0" collapsed="false">
      <c r="A15" s="7" t="s">
        <v>15</v>
      </c>
      <c r="B15" s="7" t="s">
        <v>3217</v>
      </c>
      <c r="C15" s="7" t="s">
        <v>4143</v>
      </c>
      <c r="D15" s="7" t="s">
        <v>4031</v>
      </c>
      <c r="E15" s="7" t="n">
        <v>105</v>
      </c>
      <c r="F15" s="7" t="s">
        <v>7090</v>
      </c>
      <c r="G15" s="7" t="s">
        <v>6434</v>
      </c>
      <c r="H15" s="7"/>
      <c r="I15" s="7" t="s">
        <v>7091</v>
      </c>
      <c r="J15" s="7" t="s">
        <v>7098</v>
      </c>
      <c r="K15" s="7"/>
      <c r="L15" s="7" t="s">
        <v>6511</v>
      </c>
    </row>
    <row r="16" customFormat="false" ht="20.45" hidden="false" customHeight="false" outlineLevel="0" collapsed="false">
      <c r="A16" s="7" t="s">
        <v>15</v>
      </c>
      <c r="B16" s="7" t="s">
        <v>3217</v>
      </c>
      <c r="C16" s="7" t="s">
        <v>4143</v>
      </c>
      <c r="D16" s="7" t="s">
        <v>4031</v>
      </c>
      <c r="E16" s="7" t="n">
        <v>106</v>
      </c>
      <c r="F16" s="7" t="s">
        <v>7090</v>
      </c>
      <c r="G16" s="7" t="s">
        <v>6434</v>
      </c>
      <c r="H16" s="7"/>
      <c r="I16" s="7" t="s">
        <v>7099</v>
      </c>
      <c r="J16" s="7" t="s">
        <v>7100</v>
      </c>
      <c r="K16" s="7"/>
      <c r="L16" s="7" t="s">
        <v>6511</v>
      </c>
    </row>
    <row r="17" customFormat="false" ht="20.45" hidden="false" customHeight="false" outlineLevel="0" collapsed="false">
      <c r="A17" s="7" t="s">
        <v>15</v>
      </c>
      <c r="B17" s="7" t="s">
        <v>3217</v>
      </c>
      <c r="C17" s="7" t="s">
        <v>4143</v>
      </c>
      <c r="D17" s="7" t="s">
        <v>4031</v>
      </c>
      <c r="E17" s="7" t="n">
        <v>107</v>
      </c>
      <c r="F17" s="7" t="s">
        <v>7090</v>
      </c>
      <c r="G17" s="7" t="s">
        <v>6434</v>
      </c>
      <c r="H17" s="7"/>
      <c r="I17" s="7" t="s">
        <v>7099</v>
      </c>
      <c r="J17" s="7" t="s">
        <v>7101</v>
      </c>
      <c r="K17" s="7"/>
      <c r="L17" s="7" t="s">
        <v>6511</v>
      </c>
    </row>
    <row r="18" customFormat="false" ht="20.45" hidden="false" customHeight="false" outlineLevel="0" collapsed="false">
      <c r="A18" s="7" t="s">
        <v>15</v>
      </c>
      <c r="B18" s="7" t="s">
        <v>3217</v>
      </c>
      <c r="C18" s="7" t="s">
        <v>4143</v>
      </c>
      <c r="D18" s="7" t="s">
        <v>4031</v>
      </c>
      <c r="E18" s="7" t="n">
        <v>108</v>
      </c>
      <c r="F18" s="7" t="s">
        <v>7090</v>
      </c>
      <c r="G18" s="7" t="s">
        <v>6434</v>
      </c>
      <c r="H18" s="7"/>
      <c r="I18" s="7" t="s">
        <v>7091</v>
      </c>
      <c r="J18" s="7" t="s">
        <v>7102</v>
      </c>
      <c r="K18" s="7"/>
      <c r="L18" s="7" t="s">
        <v>6511</v>
      </c>
    </row>
    <row r="19" customFormat="false" ht="20.45" hidden="false" customHeight="false" outlineLevel="0" collapsed="false">
      <c r="A19" s="7" t="s">
        <v>15</v>
      </c>
      <c r="B19" s="7" t="s">
        <v>3217</v>
      </c>
      <c r="C19" s="7" t="s">
        <v>4143</v>
      </c>
      <c r="D19" s="7" t="s">
        <v>4031</v>
      </c>
      <c r="E19" s="7" t="n">
        <v>109</v>
      </c>
      <c r="F19" s="7" t="s">
        <v>7090</v>
      </c>
      <c r="G19" s="7" t="s">
        <v>6434</v>
      </c>
      <c r="H19" s="7"/>
      <c r="I19" s="7" t="s">
        <v>7099</v>
      </c>
      <c r="J19" s="7" t="s">
        <v>7103</v>
      </c>
      <c r="K19" s="7"/>
      <c r="L19" s="7" t="s">
        <v>6511</v>
      </c>
    </row>
    <row r="20" customFormat="false" ht="20.45" hidden="false" customHeight="false" outlineLevel="0" collapsed="false">
      <c r="A20" s="7" t="s">
        <v>15</v>
      </c>
      <c r="B20" s="7" t="s">
        <v>3217</v>
      </c>
      <c r="C20" s="7" t="s">
        <v>4143</v>
      </c>
      <c r="D20" s="7" t="s">
        <v>4031</v>
      </c>
      <c r="E20" s="7" t="n">
        <v>110</v>
      </c>
      <c r="F20" s="7" t="s">
        <v>7090</v>
      </c>
      <c r="G20" s="7" t="s">
        <v>6434</v>
      </c>
      <c r="H20" s="7"/>
      <c r="I20" s="7" t="s">
        <v>7104</v>
      </c>
      <c r="J20" s="7" t="s">
        <v>7105</v>
      </c>
      <c r="K20" s="7"/>
      <c r="L20" s="7" t="s">
        <v>6511</v>
      </c>
    </row>
    <row r="21" customFormat="false" ht="20.45" hidden="false" customHeight="false" outlineLevel="0" collapsed="false">
      <c r="A21" s="7" t="s">
        <v>15</v>
      </c>
      <c r="B21" s="7" t="s">
        <v>3217</v>
      </c>
      <c r="C21" s="7" t="s">
        <v>4143</v>
      </c>
      <c r="D21" s="7" t="s">
        <v>4031</v>
      </c>
      <c r="E21" s="7" t="n">
        <v>111</v>
      </c>
      <c r="F21" s="7" t="s">
        <v>7090</v>
      </c>
      <c r="G21" s="7" t="s">
        <v>6434</v>
      </c>
      <c r="H21" s="7"/>
      <c r="I21" s="7" t="s">
        <v>7091</v>
      </c>
      <c r="J21" s="7" t="s">
        <v>7106</v>
      </c>
      <c r="K21" s="7"/>
      <c r="L21" s="7" t="s">
        <v>6511</v>
      </c>
    </row>
    <row r="22" customFormat="false" ht="30.1" hidden="false" customHeight="false" outlineLevel="0" collapsed="false">
      <c r="A22" s="7" t="s">
        <v>15</v>
      </c>
      <c r="B22" s="7" t="s">
        <v>3217</v>
      </c>
      <c r="C22" s="7" t="s">
        <v>4143</v>
      </c>
      <c r="D22" s="7" t="s">
        <v>4031</v>
      </c>
      <c r="E22" s="7" t="n">
        <v>112</v>
      </c>
      <c r="F22" s="7" t="s">
        <v>7090</v>
      </c>
      <c r="G22" s="7" t="s">
        <v>6434</v>
      </c>
      <c r="H22" s="7"/>
      <c r="I22" s="7" t="s">
        <v>7099</v>
      </c>
      <c r="J22" s="7" t="s">
        <v>7107</v>
      </c>
      <c r="K22" s="7"/>
      <c r="L22" s="7" t="s">
        <v>6511</v>
      </c>
    </row>
    <row r="23" customFormat="false" ht="20.45" hidden="false" customHeight="false" outlineLevel="0" collapsed="false">
      <c r="A23" s="7" t="s">
        <v>15</v>
      </c>
      <c r="B23" s="7" t="s">
        <v>3217</v>
      </c>
      <c r="C23" s="7" t="s">
        <v>4143</v>
      </c>
      <c r="D23" s="7" t="s">
        <v>4031</v>
      </c>
      <c r="E23" s="7" t="n">
        <v>113</v>
      </c>
      <c r="F23" s="7" t="s">
        <v>7090</v>
      </c>
      <c r="G23" s="7" t="s">
        <v>6434</v>
      </c>
      <c r="H23" s="7"/>
      <c r="I23" s="7" t="s">
        <v>7104</v>
      </c>
      <c r="J23" s="7" t="s">
        <v>7108</v>
      </c>
      <c r="K23" s="7"/>
      <c r="L23" s="7" t="s">
        <v>6511</v>
      </c>
    </row>
    <row r="24" customFormat="false" ht="20.45" hidden="false" customHeight="false" outlineLevel="0" collapsed="false">
      <c r="A24" s="7" t="s">
        <v>15</v>
      </c>
      <c r="B24" s="7" t="s">
        <v>3217</v>
      </c>
      <c r="C24" s="7" t="s">
        <v>4143</v>
      </c>
      <c r="D24" s="7" t="s">
        <v>4031</v>
      </c>
      <c r="E24" s="7" t="n">
        <v>114</v>
      </c>
      <c r="F24" s="7" t="s">
        <v>7090</v>
      </c>
      <c r="G24" s="7" t="s">
        <v>6434</v>
      </c>
      <c r="H24" s="7"/>
      <c r="I24" s="7" t="s">
        <v>7093</v>
      </c>
      <c r="J24" s="7" t="s">
        <v>7109</v>
      </c>
      <c r="K24" s="7"/>
      <c r="L24" s="7" t="s">
        <v>6511</v>
      </c>
    </row>
    <row r="25" customFormat="false" ht="20.45" hidden="false" customHeight="false" outlineLevel="0" collapsed="false">
      <c r="A25" s="7" t="s">
        <v>15</v>
      </c>
      <c r="B25" s="7" t="s">
        <v>3217</v>
      </c>
      <c r="C25" s="7" t="s">
        <v>4143</v>
      </c>
      <c r="D25" s="7" t="s">
        <v>4031</v>
      </c>
      <c r="E25" s="7" t="n">
        <v>116</v>
      </c>
      <c r="F25" s="7" t="s">
        <v>7090</v>
      </c>
      <c r="G25" s="7" t="s">
        <v>6434</v>
      </c>
      <c r="H25" s="7"/>
      <c r="I25" s="7" t="s">
        <v>7091</v>
      </c>
      <c r="J25" s="7" t="s">
        <v>7110</v>
      </c>
      <c r="K25" s="7"/>
      <c r="L25" s="7" t="s">
        <v>6511</v>
      </c>
    </row>
    <row r="26" customFormat="false" ht="20.45" hidden="false" customHeight="false" outlineLevel="0" collapsed="false">
      <c r="A26" s="7" t="s">
        <v>15</v>
      </c>
      <c r="B26" s="7" t="s">
        <v>3217</v>
      </c>
      <c r="C26" s="7" t="s">
        <v>4143</v>
      </c>
      <c r="D26" s="7" t="s">
        <v>4031</v>
      </c>
      <c r="E26" s="7" t="n">
        <v>117</v>
      </c>
      <c r="F26" s="7" t="s">
        <v>7090</v>
      </c>
      <c r="G26" s="7" t="s">
        <v>6434</v>
      </c>
      <c r="H26" s="7"/>
      <c r="I26" s="7" t="s">
        <v>7091</v>
      </c>
      <c r="J26" s="7" t="s">
        <v>7111</v>
      </c>
      <c r="K26" s="7"/>
      <c r="L26" s="7" t="s">
        <v>6511</v>
      </c>
    </row>
    <row r="27" customFormat="false" ht="30.1" hidden="false" customHeight="false" outlineLevel="0" collapsed="false">
      <c r="A27" s="7" t="s">
        <v>15</v>
      </c>
      <c r="B27" s="7" t="s">
        <v>3217</v>
      </c>
      <c r="C27" s="7" t="s">
        <v>4143</v>
      </c>
      <c r="D27" s="7" t="s">
        <v>4031</v>
      </c>
      <c r="E27" s="7" t="n">
        <v>118</v>
      </c>
      <c r="F27" s="7" t="s">
        <v>7090</v>
      </c>
      <c r="G27" s="7" t="s">
        <v>6434</v>
      </c>
      <c r="H27" s="7"/>
      <c r="I27" s="7" t="s">
        <v>7104</v>
      </c>
      <c r="J27" s="7" t="s">
        <v>7112</v>
      </c>
      <c r="K27" s="7"/>
      <c r="L27" s="7" t="s">
        <v>6511</v>
      </c>
    </row>
    <row r="28" customFormat="false" ht="20.45" hidden="false" customHeight="false" outlineLevel="0" collapsed="false">
      <c r="A28" s="7" t="s">
        <v>15</v>
      </c>
      <c r="B28" s="7" t="s">
        <v>3217</v>
      </c>
      <c r="C28" s="7" t="s">
        <v>4143</v>
      </c>
      <c r="D28" s="7" t="s">
        <v>4031</v>
      </c>
      <c r="E28" s="7" t="n">
        <v>119</v>
      </c>
      <c r="F28" s="7" t="s">
        <v>7090</v>
      </c>
      <c r="G28" s="7" t="s">
        <v>6434</v>
      </c>
      <c r="H28" s="7"/>
      <c r="I28" s="7" t="s">
        <v>7104</v>
      </c>
      <c r="J28" s="7" t="s">
        <v>7113</v>
      </c>
      <c r="K28" s="7"/>
      <c r="L28" s="7" t="s">
        <v>6511</v>
      </c>
    </row>
    <row r="29" customFormat="false" ht="20.45" hidden="false" customHeight="false" outlineLevel="0" collapsed="false">
      <c r="A29" s="7" t="s">
        <v>15</v>
      </c>
      <c r="B29" s="7" t="s">
        <v>3217</v>
      </c>
      <c r="C29" s="7" t="s">
        <v>4143</v>
      </c>
      <c r="D29" s="7" t="s">
        <v>4031</v>
      </c>
      <c r="E29" s="7" t="n">
        <v>124</v>
      </c>
      <c r="F29" s="7" t="s">
        <v>7090</v>
      </c>
      <c r="G29" s="7" t="s">
        <v>6434</v>
      </c>
      <c r="H29" s="7"/>
      <c r="I29" s="7" t="s">
        <v>7099</v>
      </c>
      <c r="J29" s="7" t="s">
        <v>4223</v>
      </c>
      <c r="K29" s="7"/>
      <c r="L29" s="7" t="s">
        <v>6511</v>
      </c>
    </row>
    <row r="30" customFormat="false" ht="20.45" hidden="false" customHeight="false" outlineLevel="0" collapsed="false">
      <c r="A30" s="7" t="s">
        <v>15</v>
      </c>
      <c r="B30" s="7" t="s">
        <v>3217</v>
      </c>
      <c r="C30" s="7" t="s">
        <v>4143</v>
      </c>
      <c r="D30" s="7" t="s">
        <v>4031</v>
      </c>
      <c r="E30" s="7" t="n">
        <v>125</v>
      </c>
      <c r="F30" s="7" t="s">
        <v>7090</v>
      </c>
      <c r="G30" s="7" t="s">
        <v>6434</v>
      </c>
      <c r="H30" s="7"/>
      <c r="I30" s="7" t="s">
        <v>7104</v>
      </c>
      <c r="J30" s="7" t="s">
        <v>7114</v>
      </c>
      <c r="K30" s="7"/>
      <c r="L30" s="7" t="s">
        <v>6511</v>
      </c>
    </row>
    <row r="31" customFormat="false" ht="20.45" hidden="false" customHeight="false" outlineLevel="0" collapsed="false">
      <c r="A31" s="7" t="s">
        <v>15</v>
      </c>
      <c r="B31" s="7" t="s">
        <v>3217</v>
      </c>
      <c r="C31" s="7" t="s">
        <v>4143</v>
      </c>
      <c r="D31" s="7" t="s">
        <v>4031</v>
      </c>
      <c r="E31" s="7" t="n">
        <v>126</v>
      </c>
      <c r="F31" s="7" t="s">
        <v>7090</v>
      </c>
      <c r="G31" s="7" t="s">
        <v>6434</v>
      </c>
      <c r="H31" s="7"/>
      <c r="I31" s="7" t="s">
        <v>7104</v>
      </c>
      <c r="J31" s="7" t="s">
        <v>7115</v>
      </c>
      <c r="K31" s="7"/>
      <c r="L31" s="7" t="s">
        <v>6511</v>
      </c>
    </row>
    <row r="32" customFormat="false" ht="20.45" hidden="false" customHeight="false" outlineLevel="0" collapsed="false">
      <c r="A32" s="7" t="s">
        <v>15</v>
      </c>
      <c r="B32" s="7" t="s">
        <v>3217</v>
      </c>
      <c r="C32" s="7" t="s">
        <v>4143</v>
      </c>
      <c r="D32" s="7" t="s">
        <v>4031</v>
      </c>
      <c r="E32" s="7" t="n">
        <v>128</v>
      </c>
      <c r="F32" s="7" t="s">
        <v>7087</v>
      </c>
      <c r="G32" s="7" t="s">
        <v>6434</v>
      </c>
      <c r="H32" s="7" t="s">
        <v>7088</v>
      </c>
      <c r="I32" s="7"/>
      <c r="J32" s="7" t="s">
        <v>7089</v>
      </c>
      <c r="K32" s="7"/>
      <c r="L32" s="7" t="s">
        <v>6511</v>
      </c>
    </row>
    <row r="33" customFormat="false" ht="30.1" hidden="false" customHeight="false" outlineLevel="0" collapsed="false">
      <c r="A33" s="7" t="s">
        <v>15</v>
      </c>
      <c r="B33" s="7" t="s">
        <v>3217</v>
      </c>
      <c r="C33" s="7" t="s">
        <v>4143</v>
      </c>
      <c r="D33" s="7" t="s">
        <v>4031</v>
      </c>
      <c r="E33" s="7" t="n">
        <v>136</v>
      </c>
      <c r="F33" s="7" t="s">
        <v>7090</v>
      </c>
      <c r="G33" s="7" t="s">
        <v>6434</v>
      </c>
      <c r="H33" s="7"/>
      <c r="I33" s="7" t="s">
        <v>7093</v>
      </c>
      <c r="J33" s="7" t="s">
        <v>7116</v>
      </c>
      <c r="K33" s="7"/>
      <c r="L33" s="7" t="s">
        <v>6511</v>
      </c>
    </row>
    <row r="34" customFormat="false" ht="20.45" hidden="false" customHeight="false" outlineLevel="0" collapsed="false">
      <c r="A34" s="7" t="s">
        <v>15</v>
      </c>
      <c r="B34" s="7" t="s">
        <v>3217</v>
      </c>
      <c r="C34" s="7" t="s">
        <v>4143</v>
      </c>
      <c r="D34" s="7" t="s">
        <v>4031</v>
      </c>
      <c r="E34" s="7" t="n">
        <v>138</v>
      </c>
      <c r="F34" s="7" t="s">
        <v>7117</v>
      </c>
      <c r="G34" s="7" t="s">
        <v>6434</v>
      </c>
      <c r="H34" s="7"/>
      <c r="I34" s="7" t="s">
        <v>7093</v>
      </c>
      <c r="J34" s="7" t="s">
        <v>7118</v>
      </c>
      <c r="K34" s="7"/>
      <c r="L34" s="7" t="s">
        <v>6511</v>
      </c>
    </row>
    <row r="35" customFormat="false" ht="20.45" hidden="false" customHeight="false" outlineLevel="0" collapsed="false">
      <c r="A35" s="7" t="s">
        <v>15</v>
      </c>
      <c r="B35" s="7" t="s">
        <v>3217</v>
      </c>
      <c r="C35" s="7" t="s">
        <v>4143</v>
      </c>
      <c r="D35" s="7" t="s">
        <v>4031</v>
      </c>
      <c r="E35" s="7" t="n">
        <v>141</v>
      </c>
      <c r="F35" s="7" t="s">
        <v>7090</v>
      </c>
      <c r="G35" s="7" t="s">
        <v>6434</v>
      </c>
      <c r="H35" s="7"/>
      <c r="I35" s="7" t="s">
        <v>7099</v>
      </c>
      <c r="J35" s="7" t="s">
        <v>7119</v>
      </c>
      <c r="K35" s="7"/>
      <c r="L35" s="7" t="s">
        <v>6511</v>
      </c>
    </row>
    <row r="36" customFormat="false" ht="20.45" hidden="false" customHeight="false" outlineLevel="0" collapsed="false">
      <c r="A36" s="7" t="s">
        <v>15</v>
      </c>
      <c r="B36" s="7" t="s">
        <v>3217</v>
      </c>
      <c r="C36" s="7" t="s">
        <v>4143</v>
      </c>
      <c r="D36" s="7" t="s">
        <v>4031</v>
      </c>
      <c r="E36" s="7" t="n">
        <v>144</v>
      </c>
      <c r="F36" s="7" t="s">
        <v>7090</v>
      </c>
      <c r="G36" s="7" t="s">
        <v>6434</v>
      </c>
      <c r="H36" s="7"/>
      <c r="I36" s="7" t="s">
        <v>7091</v>
      </c>
      <c r="J36" s="7" t="s">
        <v>7120</v>
      </c>
      <c r="K36" s="7"/>
      <c r="L36" s="7" t="s">
        <v>6511</v>
      </c>
    </row>
    <row r="37" customFormat="false" ht="20.45" hidden="false" customHeight="false" outlineLevel="0" collapsed="false">
      <c r="A37" s="7" t="s">
        <v>15</v>
      </c>
      <c r="B37" s="7" t="s">
        <v>3217</v>
      </c>
      <c r="C37" s="7" t="s">
        <v>4143</v>
      </c>
      <c r="D37" s="7" t="s">
        <v>4031</v>
      </c>
      <c r="E37" s="7" t="n">
        <v>146</v>
      </c>
      <c r="F37" s="7" t="s">
        <v>7090</v>
      </c>
      <c r="G37" s="7" t="s">
        <v>6434</v>
      </c>
      <c r="H37" s="7"/>
      <c r="I37" s="7" t="s">
        <v>7091</v>
      </c>
      <c r="J37" s="7" t="s">
        <v>7121</v>
      </c>
      <c r="K37" s="7"/>
      <c r="L37" s="7" t="s">
        <v>6511</v>
      </c>
    </row>
    <row r="38" customFormat="false" ht="20.45" hidden="false" customHeight="false" outlineLevel="0" collapsed="false">
      <c r="A38" s="7" t="s">
        <v>15</v>
      </c>
      <c r="B38" s="7" t="s">
        <v>3217</v>
      </c>
      <c r="C38" s="7" t="s">
        <v>4143</v>
      </c>
      <c r="D38" s="7" t="s">
        <v>4302</v>
      </c>
      <c r="E38" s="7" t="n">
        <v>61</v>
      </c>
      <c r="F38" s="7" t="s">
        <v>7087</v>
      </c>
      <c r="G38" s="7" t="s">
        <v>6434</v>
      </c>
      <c r="H38" s="7" t="s">
        <v>7088</v>
      </c>
      <c r="I38" s="7"/>
      <c r="J38" s="7" t="s">
        <v>7089</v>
      </c>
      <c r="K38" s="7"/>
      <c r="L38" s="7" t="s">
        <v>6511</v>
      </c>
    </row>
    <row r="39" customFormat="false" ht="20.45" hidden="false" customHeight="false" outlineLevel="0" collapsed="false">
      <c r="A39" s="7" t="s">
        <v>15</v>
      </c>
      <c r="B39" s="7" t="s">
        <v>3217</v>
      </c>
      <c r="C39" s="7" t="s">
        <v>4143</v>
      </c>
      <c r="D39" s="7" t="s">
        <v>4302</v>
      </c>
      <c r="E39" s="7" t="n">
        <v>77</v>
      </c>
      <c r="F39" s="7" t="s">
        <v>7087</v>
      </c>
      <c r="G39" s="7" t="s">
        <v>6434</v>
      </c>
      <c r="H39" s="7" t="s">
        <v>7096</v>
      </c>
      <c r="I39" s="7"/>
      <c r="J39" s="7" t="s">
        <v>7089</v>
      </c>
      <c r="K39" s="7"/>
      <c r="L39" s="7" t="s">
        <v>6511</v>
      </c>
    </row>
    <row r="40" customFormat="false" ht="20.45" hidden="false" customHeight="false" outlineLevel="0" collapsed="false">
      <c r="A40" s="7" t="s">
        <v>15</v>
      </c>
      <c r="B40" s="7" t="s">
        <v>3217</v>
      </c>
      <c r="C40" s="7" t="s">
        <v>4143</v>
      </c>
      <c r="D40" s="7" t="s">
        <v>4302</v>
      </c>
      <c r="E40" s="7" t="n">
        <v>79</v>
      </c>
      <c r="F40" s="7" t="s">
        <v>7087</v>
      </c>
      <c r="G40" s="7" t="s">
        <v>6434</v>
      </c>
      <c r="H40" s="7" t="s">
        <v>7097</v>
      </c>
      <c r="I40" s="7"/>
      <c r="J40" s="7" t="s">
        <v>7089</v>
      </c>
      <c r="K40" s="7"/>
      <c r="L40" s="7" t="s">
        <v>6511</v>
      </c>
    </row>
    <row r="41" customFormat="false" ht="20.45" hidden="false" customHeight="false" outlineLevel="0" collapsed="false">
      <c r="A41" s="7" t="s">
        <v>17</v>
      </c>
      <c r="B41" s="7" t="s">
        <v>4058</v>
      </c>
      <c r="C41" s="7" t="s">
        <v>4084</v>
      </c>
      <c r="D41" s="7" t="s">
        <v>3998</v>
      </c>
      <c r="E41" s="7" t="n">
        <v>85</v>
      </c>
      <c r="F41" s="7" t="s">
        <v>7122</v>
      </c>
      <c r="G41" s="7" t="s">
        <v>6434</v>
      </c>
      <c r="H41" s="7" t="s">
        <v>7123</v>
      </c>
      <c r="I41" s="7" t="s">
        <v>7104</v>
      </c>
      <c r="J41" s="7" t="s">
        <v>7124</v>
      </c>
      <c r="K41" s="7"/>
      <c r="L41" s="7" t="s">
        <v>6479</v>
      </c>
    </row>
    <row r="42" customFormat="false" ht="20.45" hidden="false" customHeight="false" outlineLevel="0" collapsed="false">
      <c r="A42" s="7" t="s">
        <v>21</v>
      </c>
      <c r="B42" s="7" t="s">
        <v>4058</v>
      </c>
      <c r="C42" s="7" t="s">
        <v>4059</v>
      </c>
      <c r="D42" s="7" t="s">
        <v>3998</v>
      </c>
      <c r="E42" s="7" t="n">
        <v>1</v>
      </c>
      <c r="F42" s="7" t="s">
        <v>7087</v>
      </c>
      <c r="G42" s="7" t="s">
        <v>6434</v>
      </c>
      <c r="H42" s="7" t="s">
        <v>7097</v>
      </c>
      <c r="I42" s="7"/>
      <c r="J42" s="7" t="s">
        <v>7089</v>
      </c>
      <c r="K42" s="7"/>
      <c r="L42" s="7" t="s">
        <v>6467</v>
      </c>
    </row>
    <row r="43" customFormat="false" ht="20.45" hidden="false" customHeight="false" outlineLevel="0" collapsed="false">
      <c r="A43" s="7" t="s">
        <v>21</v>
      </c>
      <c r="B43" s="7" t="s">
        <v>4058</v>
      </c>
      <c r="C43" s="7" t="s">
        <v>4059</v>
      </c>
      <c r="D43" s="7" t="s">
        <v>3998</v>
      </c>
      <c r="E43" s="7" t="n">
        <v>41</v>
      </c>
      <c r="F43" s="7" t="s">
        <v>7087</v>
      </c>
      <c r="G43" s="7" t="s">
        <v>6434</v>
      </c>
      <c r="H43" s="7" t="s">
        <v>7088</v>
      </c>
      <c r="I43" s="7"/>
      <c r="J43" s="7" t="s">
        <v>7089</v>
      </c>
      <c r="K43" s="7"/>
      <c r="L43" s="7" t="s">
        <v>6467</v>
      </c>
    </row>
    <row r="44" customFormat="false" ht="20.45" hidden="false" customHeight="false" outlineLevel="0" collapsed="false">
      <c r="A44" s="7" t="s">
        <v>21</v>
      </c>
      <c r="B44" s="7" t="s">
        <v>4058</v>
      </c>
      <c r="C44" s="7" t="s">
        <v>4059</v>
      </c>
      <c r="D44" s="7" t="s">
        <v>3998</v>
      </c>
      <c r="E44" s="7" t="n">
        <v>50</v>
      </c>
      <c r="F44" s="7" t="s">
        <v>7087</v>
      </c>
      <c r="G44" s="7" t="s">
        <v>6434</v>
      </c>
      <c r="H44" s="7" t="s">
        <v>7088</v>
      </c>
      <c r="I44" s="7"/>
      <c r="J44" s="7" t="s">
        <v>7089</v>
      </c>
      <c r="K44" s="7"/>
      <c r="L44" s="7" t="s">
        <v>6467</v>
      </c>
    </row>
    <row r="45" customFormat="false" ht="20.45" hidden="false" customHeight="false" outlineLevel="0" collapsed="false">
      <c r="A45" s="7" t="s">
        <v>21</v>
      </c>
      <c r="B45" s="7" t="s">
        <v>4058</v>
      </c>
      <c r="C45" s="7" t="s">
        <v>4059</v>
      </c>
      <c r="D45" s="7" t="s">
        <v>3998</v>
      </c>
      <c r="E45" s="7" t="n">
        <v>70</v>
      </c>
      <c r="F45" s="7" t="s">
        <v>7087</v>
      </c>
      <c r="G45" s="7" t="s">
        <v>6434</v>
      </c>
      <c r="H45" s="7" t="s">
        <v>7088</v>
      </c>
      <c r="I45" s="7"/>
      <c r="J45" s="7" t="s">
        <v>7089</v>
      </c>
      <c r="K45" s="7"/>
      <c r="L45" s="7" t="s">
        <v>6467</v>
      </c>
    </row>
    <row r="46" customFormat="false" ht="20.45" hidden="false" customHeight="false" outlineLevel="0" collapsed="false">
      <c r="A46" s="7" t="s">
        <v>21</v>
      </c>
      <c r="B46" s="7" t="s">
        <v>4058</v>
      </c>
      <c r="C46" s="7" t="s">
        <v>4059</v>
      </c>
      <c r="D46" s="7" t="s">
        <v>3998</v>
      </c>
      <c r="E46" s="7" t="n">
        <v>97</v>
      </c>
      <c r="F46" s="7" t="s">
        <v>7087</v>
      </c>
      <c r="G46" s="7" t="s">
        <v>6434</v>
      </c>
      <c r="H46" s="7" t="s">
        <v>7097</v>
      </c>
      <c r="I46" s="7"/>
      <c r="J46" s="7" t="s">
        <v>7089</v>
      </c>
      <c r="K46" s="7"/>
      <c r="L46" s="7" t="s">
        <v>6467</v>
      </c>
    </row>
    <row r="47" customFormat="false" ht="18" hidden="false" customHeight="false" outlineLevel="0" collapsed="false">
      <c r="A47" s="7" t="s">
        <v>19</v>
      </c>
      <c r="B47" s="7" t="s">
        <v>3217</v>
      </c>
      <c r="C47" s="7" t="s">
        <v>4139</v>
      </c>
      <c r="D47" s="7" t="s">
        <v>3998</v>
      </c>
      <c r="E47" s="7" t="n">
        <v>4</v>
      </c>
      <c r="F47" s="7" t="s">
        <v>7087</v>
      </c>
      <c r="G47" s="7" t="s">
        <v>6434</v>
      </c>
      <c r="H47" s="7" t="s">
        <v>7088</v>
      </c>
      <c r="I47" s="7"/>
      <c r="J47" s="7" t="s">
        <v>7089</v>
      </c>
      <c r="K47" s="7"/>
      <c r="L47" s="7" t="s">
        <v>6508</v>
      </c>
    </row>
    <row r="48" customFormat="false" ht="18" hidden="false" customHeight="false" outlineLevel="0" collapsed="false">
      <c r="A48" s="7" t="s">
        <v>19</v>
      </c>
      <c r="B48" s="7" t="s">
        <v>3217</v>
      </c>
      <c r="C48" s="7" t="s">
        <v>4139</v>
      </c>
      <c r="D48" s="7" t="s">
        <v>3998</v>
      </c>
      <c r="E48" s="7" t="n">
        <v>15</v>
      </c>
      <c r="F48" s="7" t="s">
        <v>7087</v>
      </c>
      <c r="G48" s="7" t="s">
        <v>6434</v>
      </c>
      <c r="H48" s="7" t="s">
        <v>7088</v>
      </c>
      <c r="I48" s="7"/>
      <c r="J48" s="7" t="s">
        <v>7089</v>
      </c>
      <c r="K48" s="7"/>
      <c r="L48" s="7" t="s">
        <v>6508</v>
      </c>
    </row>
    <row r="49" customFormat="false" ht="18" hidden="false" customHeight="false" outlineLevel="0" collapsed="false">
      <c r="A49" s="7" t="s">
        <v>19</v>
      </c>
      <c r="B49" s="7" t="s">
        <v>3217</v>
      </c>
      <c r="C49" s="7" t="s">
        <v>4139</v>
      </c>
      <c r="D49" s="7" t="s">
        <v>3998</v>
      </c>
      <c r="E49" s="7" t="n">
        <v>37</v>
      </c>
      <c r="F49" s="7" t="s">
        <v>7087</v>
      </c>
      <c r="G49" s="7" t="s">
        <v>6434</v>
      </c>
      <c r="H49" s="7" t="s">
        <v>7097</v>
      </c>
      <c r="I49" s="7"/>
      <c r="J49" s="7" t="s">
        <v>7089</v>
      </c>
      <c r="K49" s="7"/>
      <c r="L49" s="7" t="s">
        <v>6508</v>
      </c>
    </row>
    <row r="50" customFormat="false" ht="18" hidden="false" customHeight="false" outlineLevel="0" collapsed="false">
      <c r="A50" s="7" t="s">
        <v>19</v>
      </c>
      <c r="B50" s="7" t="s">
        <v>3217</v>
      </c>
      <c r="C50" s="7" t="s">
        <v>4139</v>
      </c>
      <c r="D50" s="7" t="s">
        <v>3998</v>
      </c>
      <c r="E50" s="7" t="n">
        <v>38</v>
      </c>
      <c r="F50" s="7" t="s">
        <v>7087</v>
      </c>
      <c r="G50" s="7" t="s">
        <v>6434</v>
      </c>
      <c r="H50" s="7" t="s">
        <v>7097</v>
      </c>
      <c r="I50" s="7"/>
      <c r="J50" s="7" t="s">
        <v>7089</v>
      </c>
      <c r="K50" s="7"/>
      <c r="L50" s="7" t="s">
        <v>6508</v>
      </c>
    </row>
    <row r="51" customFormat="false" ht="18" hidden="false" customHeight="false" outlineLevel="0" collapsed="false">
      <c r="A51" s="7" t="s">
        <v>19</v>
      </c>
      <c r="B51" s="7" t="s">
        <v>3217</v>
      </c>
      <c r="C51" s="7" t="s">
        <v>4139</v>
      </c>
      <c r="D51" s="7" t="s">
        <v>3998</v>
      </c>
      <c r="E51" s="7" t="n">
        <v>41</v>
      </c>
      <c r="F51" s="7" t="s">
        <v>7087</v>
      </c>
      <c r="G51" s="7" t="s">
        <v>6434</v>
      </c>
      <c r="H51" s="7" t="s">
        <v>7088</v>
      </c>
      <c r="I51" s="7"/>
      <c r="J51" s="7" t="s">
        <v>7089</v>
      </c>
      <c r="K51" s="7"/>
      <c r="L51" s="7" t="s">
        <v>6508</v>
      </c>
    </row>
    <row r="52" customFormat="false" ht="18" hidden="false" customHeight="false" outlineLevel="0" collapsed="false">
      <c r="A52" s="7" t="s">
        <v>19</v>
      </c>
      <c r="B52" s="7" t="s">
        <v>3217</v>
      </c>
      <c r="C52" s="7" t="s">
        <v>4139</v>
      </c>
      <c r="D52" s="7" t="s">
        <v>3998</v>
      </c>
      <c r="E52" s="7" t="n">
        <v>74</v>
      </c>
      <c r="F52" s="7" t="s">
        <v>7087</v>
      </c>
      <c r="G52" s="7" t="s">
        <v>6434</v>
      </c>
      <c r="H52" s="7" t="s">
        <v>7096</v>
      </c>
      <c r="I52" s="7"/>
      <c r="J52" s="7" t="s">
        <v>7089</v>
      </c>
      <c r="K52" s="7"/>
      <c r="L52" s="7" t="s">
        <v>6508</v>
      </c>
    </row>
    <row r="53" customFormat="false" ht="20.45" hidden="false" customHeight="false" outlineLevel="0" collapsed="false">
      <c r="A53" s="7" t="s">
        <v>23</v>
      </c>
      <c r="B53" s="7" t="s">
        <v>3217</v>
      </c>
      <c r="C53" s="7" t="s">
        <v>4038</v>
      </c>
      <c r="D53" s="7" t="s">
        <v>3998</v>
      </c>
      <c r="E53" s="7" t="n">
        <v>9</v>
      </c>
      <c r="F53" s="7" t="s">
        <v>7090</v>
      </c>
      <c r="G53" s="7" t="s">
        <v>6434</v>
      </c>
      <c r="H53" s="7"/>
      <c r="I53" s="7" t="s">
        <v>7093</v>
      </c>
      <c r="J53" s="7" t="s">
        <v>3360</v>
      </c>
      <c r="K53" s="7"/>
      <c r="L53" s="7" t="s">
        <v>6457</v>
      </c>
    </row>
    <row r="54" customFormat="false" ht="20.45" hidden="false" customHeight="false" outlineLevel="0" collapsed="false">
      <c r="A54" s="7" t="s">
        <v>23</v>
      </c>
      <c r="B54" s="7" t="s">
        <v>3217</v>
      </c>
      <c r="C54" s="7" t="s">
        <v>4038</v>
      </c>
      <c r="D54" s="7" t="s">
        <v>3998</v>
      </c>
      <c r="E54" s="7" t="n">
        <v>25</v>
      </c>
      <c r="F54" s="7" t="s">
        <v>7122</v>
      </c>
      <c r="G54" s="7" t="s">
        <v>6434</v>
      </c>
      <c r="H54" s="7" t="s">
        <v>7125</v>
      </c>
      <c r="I54" s="7" t="s">
        <v>7091</v>
      </c>
      <c r="J54" s="7" t="s">
        <v>7126</v>
      </c>
      <c r="K54" s="7"/>
      <c r="L54" s="7" t="s">
        <v>6457</v>
      </c>
    </row>
    <row r="55" customFormat="false" ht="20.45" hidden="false" customHeight="false" outlineLevel="0" collapsed="false">
      <c r="A55" s="7" t="s">
        <v>25</v>
      </c>
      <c r="B55" s="7" t="s">
        <v>4019</v>
      </c>
      <c r="C55" s="7" t="s">
        <v>4020</v>
      </c>
      <c r="D55" s="7" t="s">
        <v>3998</v>
      </c>
      <c r="E55" s="7" t="n">
        <v>6</v>
      </c>
      <c r="F55" s="7" t="s">
        <v>7122</v>
      </c>
      <c r="G55" s="7" t="s">
        <v>6434</v>
      </c>
      <c r="H55" s="7" t="s">
        <v>7123</v>
      </c>
      <c r="I55" s="7" t="s">
        <v>7091</v>
      </c>
      <c r="J55" s="7" t="s">
        <v>7127</v>
      </c>
      <c r="K55" s="7"/>
      <c r="L55" s="7" t="s">
        <v>6447</v>
      </c>
    </row>
    <row r="56" customFormat="false" ht="18" hidden="false" customHeight="false" outlineLevel="0" collapsed="false">
      <c r="A56" s="7" t="s">
        <v>25</v>
      </c>
      <c r="B56" s="7" t="s">
        <v>4019</v>
      </c>
      <c r="C56" s="7" t="s">
        <v>4020</v>
      </c>
      <c r="D56" s="7" t="s">
        <v>3998</v>
      </c>
      <c r="E56" s="7" t="n">
        <v>25</v>
      </c>
      <c r="F56" s="7" t="s">
        <v>7087</v>
      </c>
      <c r="G56" s="7" t="s">
        <v>6434</v>
      </c>
      <c r="H56" s="7" t="s">
        <v>7097</v>
      </c>
      <c r="I56" s="7"/>
      <c r="J56" s="7" t="s">
        <v>7089</v>
      </c>
      <c r="K56" s="7"/>
      <c r="L56" s="7" t="s">
        <v>6447</v>
      </c>
    </row>
    <row r="57" customFormat="false" ht="30.1" hidden="false" customHeight="false" outlineLevel="0" collapsed="false">
      <c r="A57" s="7" t="s">
        <v>25</v>
      </c>
      <c r="B57" s="7" t="s">
        <v>4019</v>
      </c>
      <c r="C57" s="7" t="s">
        <v>4020</v>
      </c>
      <c r="D57" s="7" t="s">
        <v>3998</v>
      </c>
      <c r="E57" s="7" t="n">
        <v>30</v>
      </c>
      <c r="F57" s="7" t="s">
        <v>7122</v>
      </c>
      <c r="G57" s="7" t="s">
        <v>6434</v>
      </c>
      <c r="H57" s="7" t="s">
        <v>7128</v>
      </c>
      <c r="I57" s="7" t="s">
        <v>7091</v>
      </c>
      <c r="J57" s="7" t="s">
        <v>7129</v>
      </c>
      <c r="K57" s="7"/>
      <c r="L57" s="7" t="s">
        <v>6447</v>
      </c>
    </row>
    <row r="58" customFormat="false" ht="18" hidden="false" customHeight="false" outlineLevel="0" collapsed="false">
      <c r="A58" s="7" t="s">
        <v>25</v>
      </c>
      <c r="B58" s="7" t="s">
        <v>4019</v>
      </c>
      <c r="C58" s="7" t="s">
        <v>4020</v>
      </c>
      <c r="D58" s="7" t="s">
        <v>3998</v>
      </c>
      <c r="E58" s="7" t="n">
        <v>38</v>
      </c>
      <c r="F58" s="7" t="s">
        <v>7087</v>
      </c>
      <c r="G58" s="7" t="s">
        <v>6434</v>
      </c>
      <c r="H58" s="7" t="s">
        <v>7097</v>
      </c>
      <c r="I58" s="7"/>
      <c r="J58" s="7" t="s">
        <v>7089</v>
      </c>
      <c r="K58" s="7"/>
      <c r="L58" s="7" t="s">
        <v>6447</v>
      </c>
    </row>
    <row r="59" customFormat="false" ht="18" hidden="false" customHeight="false" outlineLevel="0" collapsed="false">
      <c r="A59" s="7" t="s">
        <v>25</v>
      </c>
      <c r="B59" s="7" t="s">
        <v>4019</v>
      </c>
      <c r="C59" s="7" t="s">
        <v>4020</v>
      </c>
      <c r="D59" s="7" t="s">
        <v>3998</v>
      </c>
      <c r="E59" s="7" t="n">
        <v>65</v>
      </c>
      <c r="F59" s="7" t="s">
        <v>7087</v>
      </c>
      <c r="G59" s="7" t="s">
        <v>6434</v>
      </c>
      <c r="H59" s="7" t="s">
        <v>7097</v>
      </c>
      <c r="I59" s="7"/>
      <c r="J59" s="7" t="s">
        <v>7089</v>
      </c>
      <c r="K59" s="7"/>
      <c r="L59" s="7" t="s">
        <v>6447</v>
      </c>
    </row>
    <row r="60" customFormat="false" ht="20.45" hidden="false" customHeight="false" outlineLevel="0" collapsed="false">
      <c r="A60" s="7" t="s">
        <v>25</v>
      </c>
      <c r="B60" s="7" t="s">
        <v>4019</v>
      </c>
      <c r="C60" s="7" t="s">
        <v>4020</v>
      </c>
      <c r="D60" s="7" t="s">
        <v>3998</v>
      </c>
      <c r="E60" s="7" t="n">
        <v>74</v>
      </c>
      <c r="F60" s="7" t="s">
        <v>7122</v>
      </c>
      <c r="G60" s="7" t="s">
        <v>6434</v>
      </c>
      <c r="H60" s="7" t="s">
        <v>7130</v>
      </c>
      <c r="I60" s="7" t="s">
        <v>7093</v>
      </c>
      <c r="J60" s="7" t="s">
        <v>7131</v>
      </c>
      <c r="K60" s="7"/>
      <c r="L60" s="7" t="s">
        <v>6447</v>
      </c>
    </row>
    <row r="61" customFormat="false" ht="18" hidden="false" customHeight="false" outlineLevel="0" collapsed="false">
      <c r="A61" s="7" t="s">
        <v>25</v>
      </c>
      <c r="B61" s="7" t="s">
        <v>4019</v>
      </c>
      <c r="C61" s="7" t="s">
        <v>4020</v>
      </c>
      <c r="D61" s="7" t="s">
        <v>3998</v>
      </c>
      <c r="E61" s="7" t="n">
        <v>94</v>
      </c>
      <c r="F61" s="7" t="s">
        <v>7087</v>
      </c>
      <c r="G61" s="7" t="s">
        <v>6434</v>
      </c>
      <c r="H61" s="7" t="s">
        <v>7088</v>
      </c>
      <c r="I61" s="7"/>
      <c r="J61" s="7" t="s">
        <v>7089</v>
      </c>
      <c r="K61" s="7"/>
      <c r="L61" s="7" t="s">
        <v>6447</v>
      </c>
    </row>
    <row r="62" customFormat="false" ht="18" hidden="false" customHeight="false" outlineLevel="0" collapsed="false">
      <c r="A62" s="7" t="s">
        <v>25</v>
      </c>
      <c r="B62" s="7" t="s">
        <v>4019</v>
      </c>
      <c r="C62" s="7" t="s">
        <v>4020</v>
      </c>
      <c r="D62" s="7" t="s">
        <v>3998</v>
      </c>
      <c r="E62" s="7" t="n">
        <v>100</v>
      </c>
      <c r="F62" s="7" t="s">
        <v>7087</v>
      </c>
      <c r="G62" s="7" t="s">
        <v>6434</v>
      </c>
      <c r="H62" s="7" t="s">
        <v>7088</v>
      </c>
      <c r="I62" s="7"/>
      <c r="J62" s="7" t="s">
        <v>7089</v>
      </c>
      <c r="K62" s="7"/>
      <c r="L62" s="7" t="s">
        <v>6447</v>
      </c>
    </row>
    <row r="63" customFormat="false" ht="20.45" hidden="false" customHeight="false" outlineLevel="0" collapsed="false">
      <c r="A63" s="7" t="s">
        <v>25</v>
      </c>
      <c r="B63" s="7" t="s">
        <v>4003</v>
      </c>
      <c r="C63" s="7" t="s">
        <v>4224</v>
      </c>
      <c r="D63" s="7" t="s">
        <v>3998</v>
      </c>
      <c r="E63" s="7" t="n">
        <v>13</v>
      </c>
      <c r="F63" s="7" t="s">
        <v>7087</v>
      </c>
      <c r="G63" s="7" t="s">
        <v>6434</v>
      </c>
      <c r="H63" s="7" t="s">
        <v>7097</v>
      </c>
      <c r="I63" s="7"/>
      <c r="J63" s="7" t="s">
        <v>7089</v>
      </c>
      <c r="K63" s="7"/>
      <c r="L63" s="7" t="s">
        <v>6550</v>
      </c>
    </row>
    <row r="64" customFormat="false" ht="20.45" hidden="false" customHeight="false" outlineLevel="0" collapsed="false">
      <c r="A64" s="7" t="s">
        <v>25</v>
      </c>
      <c r="B64" s="7" t="s">
        <v>4003</v>
      </c>
      <c r="C64" s="7" t="s">
        <v>4224</v>
      </c>
      <c r="D64" s="7" t="s">
        <v>3998</v>
      </c>
      <c r="E64" s="7" t="n">
        <v>16</v>
      </c>
      <c r="F64" s="7" t="s">
        <v>7087</v>
      </c>
      <c r="G64" s="7" t="s">
        <v>6434</v>
      </c>
      <c r="H64" s="7" t="s">
        <v>7088</v>
      </c>
      <c r="I64" s="7"/>
      <c r="J64" s="7" t="s">
        <v>7089</v>
      </c>
      <c r="K64" s="7"/>
      <c r="L64" s="7" t="s">
        <v>6550</v>
      </c>
    </row>
    <row r="65" customFormat="false" ht="20.45" hidden="false" customHeight="false" outlineLevel="0" collapsed="false">
      <c r="A65" s="7" t="s">
        <v>25</v>
      </c>
      <c r="B65" s="7" t="s">
        <v>4003</v>
      </c>
      <c r="C65" s="7" t="s">
        <v>4224</v>
      </c>
      <c r="D65" s="7" t="s">
        <v>3998</v>
      </c>
      <c r="E65" s="7" t="n">
        <v>18</v>
      </c>
      <c r="F65" s="7" t="s">
        <v>7087</v>
      </c>
      <c r="G65" s="7" t="s">
        <v>6434</v>
      </c>
      <c r="H65" s="7" t="s">
        <v>7096</v>
      </c>
      <c r="I65" s="7"/>
      <c r="J65" s="7" t="s">
        <v>7089</v>
      </c>
      <c r="K65" s="7"/>
      <c r="L65" s="7" t="s">
        <v>6550</v>
      </c>
    </row>
    <row r="66" customFormat="false" ht="20.45" hidden="false" customHeight="false" outlineLevel="0" collapsed="false">
      <c r="A66" s="7" t="s">
        <v>25</v>
      </c>
      <c r="B66" s="7" t="s">
        <v>4003</v>
      </c>
      <c r="C66" s="7" t="s">
        <v>4224</v>
      </c>
      <c r="D66" s="7" t="s">
        <v>3998</v>
      </c>
      <c r="E66" s="7" t="n">
        <v>27</v>
      </c>
      <c r="F66" s="7" t="s">
        <v>7087</v>
      </c>
      <c r="G66" s="7" t="s">
        <v>6434</v>
      </c>
      <c r="H66" s="7" t="s">
        <v>7088</v>
      </c>
      <c r="I66" s="7"/>
      <c r="J66" s="7" t="s">
        <v>7089</v>
      </c>
      <c r="K66" s="7"/>
      <c r="L66" s="7" t="s">
        <v>6550</v>
      </c>
    </row>
    <row r="67" customFormat="false" ht="20.45" hidden="false" customHeight="false" outlineLevel="0" collapsed="false">
      <c r="A67" s="7" t="s">
        <v>25</v>
      </c>
      <c r="B67" s="7" t="s">
        <v>4003</v>
      </c>
      <c r="C67" s="7" t="s">
        <v>4224</v>
      </c>
      <c r="D67" s="7" t="s">
        <v>3998</v>
      </c>
      <c r="E67" s="7" t="n">
        <v>36</v>
      </c>
      <c r="F67" s="7" t="s">
        <v>7087</v>
      </c>
      <c r="G67" s="7" t="s">
        <v>6434</v>
      </c>
      <c r="H67" s="7" t="s">
        <v>7097</v>
      </c>
      <c r="I67" s="7"/>
      <c r="J67" s="7" t="s">
        <v>7089</v>
      </c>
      <c r="K67" s="7"/>
      <c r="L67" s="7" t="s">
        <v>6550</v>
      </c>
    </row>
    <row r="68" customFormat="false" ht="20.45" hidden="false" customHeight="false" outlineLevel="0" collapsed="false">
      <c r="A68" s="7" t="s">
        <v>25</v>
      </c>
      <c r="B68" s="7" t="s">
        <v>4003</v>
      </c>
      <c r="C68" s="7" t="s">
        <v>4224</v>
      </c>
      <c r="D68" s="7" t="s">
        <v>3998</v>
      </c>
      <c r="E68" s="7" t="n">
        <v>93</v>
      </c>
      <c r="F68" s="7" t="s">
        <v>7087</v>
      </c>
      <c r="G68" s="7" t="s">
        <v>6434</v>
      </c>
      <c r="H68" s="7" t="s">
        <v>7097</v>
      </c>
      <c r="I68" s="7"/>
      <c r="J68" s="7" t="s">
        <v>7089</v>
      </c>
      <c r="K68" s="7"/>
      <c r="L68" s="7" t="s">
        <v>6550</v>
      </c>
    </row>
    <row r="69" customFormat="false" ht="20.45" hidden="false" customHeight="false" outlineLevel="0" collapsed="false">
      <c r="A69" s="7" t="s">
        <v>25</v>
      </c>
      <c r="B69" s="7" t="s">
        <v>4003</v>
      </c>
      <c r="C69" s="7" t="s">
        <v>4224</v>
      </c>
      <c r="D69" s="7" t="s">
        <v>4005</v>
      </c>
      <c r="E69" s="7" t="n">
        <v>106</v>
      </c>
      <c r="F69" s="7" t="s">
        <v>7122</v>
      </c>
      <c r="G69" s="7" t="s">
        <v>6434</v>
      </c>
      <c r="H69" s="7" t="s">
        <v>7123</v>
      </c>
      <c r="I69" s="7" t="s">
        <v>7091</v>
      </c>
      <c r="J69" s="7" t="s">
        <v>7132</v>
      </c>
      <c r="K69" s="7"/>
      <c r="L69" s="7" t="s">
        <v>6550</v>
      </c>
    </row>
    <row r="70" customFormat="false" ht="20.45" hidden="false" customHeight="false" outlineLevel="0" collapsed="false">
      <c r="A70" s="7" t="s">
        <v>25</v>
      </c>
      <c r="B70" s="7" t="s">
        <v>3217</v>
      </c>
      <c r="C70" s="7" t="s">
        <v>4320</v>
      </c>
      <c r="D70" s="7" t="s">
        <v>3998</v>
      </c>
      <c r="E70" s="7" t="n">
        <v>8</v>
      </c>
      <c r="F70" s="7" t="s">
        <v>7122</v>
      </c>
      <c r="G70" s="7" t="s">
        <v>6434</v>
      </c>
      <c r="H70" s="7" t="s">
        <v>7133</v>
      </c>
      <c r="I70" s="7" t="s">
        <v>7099</v>
      </c>
      <c r="J70" s="7" t="s">
        <v>7134</v>
      </c>
      <c r="K70" s="7"/>
      <c r="L70" s="7" t="s">
        <v>6599</v>
      </c>
    </row>
    <row r="71" customFormat="false" ht="20.45" hidden="false" customHeight="false" outlineLevel="0" collapsed="false">
      <c r="A71" s="7" t="s">
        <v>25</v>
      </c>
      <c r="B71" s="7" t="s">
        <v>3217</v>
      </c>
      <c r="C71" s="7" t="s">
        <v>4320</v>
      </c>
      <c r="D71" s="7" t="s">
        <v>3998</v>
      </c>
      <c r="E71" s="7" t="n">
        <v>10</v>
      </c>
      <c r="F71" s="7" t="s">
        <v>7087</v>
      </c>
      <c r="G71" s="7" t="s">
        <v>6434</v>
      </c>
      <c r="H71" s="7" t="s">
        <v>7097</v>
      </c>
      <c r="I71" s="7"/>
      <c r="J71" s="7" t="s">
        <v>7089</v>
      </c>
      <c r="K71" s="7"/>
      <c r="L71" s="7" t="s">
        <v>6599</v>
      </c>
    </row>
    <row r="72" customFormat="false" ht="20.45" hidden="false" customHeight="false" outlineLevel="0" collapsed="false">
      <c r="A72" s="7" t="s">
        <v>25</v>
      </c>
      <c r="B72" s="7" t="s">
        <v>3217</v>
      </c>
      <c r="C72" s="7" t="s">
        <v>4320</v>
      </c>
      <c r="D72" s="7" t="s">
        <v>3998</v>
      </c>
      <c r="E72" s="7" t="n">
        <v>11</v>
      </c>
      <c r="F72" s="7" t="s">
        <v>7087</v>
      </c>
      <c r="G72" s="7" t="s">
        <v>6434</v>
      </c>
      <c r="H72" s="7" t="s">
        <v>7097</v>
      </c>
      <c r="I72" s="7"/>
      <c r="J72" s="7" t="s">
        <v>7089</v>
      </c>
      <c r="K72" s="7"/>
      <c r="L72" s="7" t="s">
        <v>6599</v>
      </c>
    </row>
    <row r="73" customFormat="false" ht="20.45" hidden="false" customHeight="false" outlineLevel="0" collapsed="false">
      <c r="A73" s="7" t="s">
        <v>25</v>
      </c>
      <c r="B73" s="7" t="s">
        <v>3217</v>
      </c>
      <c r="C73" s="7" t="s">
        <v>4320</v>
      </c>
      <c r="D73" s="7" t="s">
        <v>3998</v>
      </c>
      <c r="E73" s="7" t="n">
        <v>18</v>
      </c>
      <c r="F73" s="7" t="s">
        <v>7135</v>
      </c>
      <c r="G73" s="7" t="s">
        <v>6434</v>
      </c>
      <c r="H73" s="7" t="s">
        <v>7136</v>
      </c>
      <c r="I73" s="7"/>
      <c r="J73" s="7" t="s">
        <v>7089</v>
      </c>
      <c r="K73" s="7"/>
      <c r="L73" s="7" t="s">
        <v>6599</v>
      </c>
    </row>
    <row r="74" customFormat="false" ht="20.45" hidden="false" customHeight="false" outlineLevel="0" collapsed="false">
      <c r="A74" s="7" t="s">
        <v>25</v>
      </c>
      <c r="B74" s="7" t="s">
        <v>3217</v>
      </c>
      <c r="C74" s="7" t="s">
        <v>4320</v>
      </c>
      <c r="D74" s="7" t="s">
        <v>3998</v>
      </c>
      <c r="E74" s="7" t="n">
        <v>56</v>
      </c>
      <c r="F74" s="7" t="s">
        <v>7087</v>
      </c>
      <c r="G74" s="7" t="s">
        <v>6434</v>
      </c>
      <c r="H74" s="7" t="s">
        <v>7088</v>
      </c>
      <c r="I74" s="7"/>
      <c r="J74" s="7" t="s">
        <v>7089</v>
      </c>
      <c r="K74" s="7"/>
      <c r="L74" s="7" t="s">
        <v>6599</v>
      </c>
    </row>
    <row r="75" customFormat="false" ht="18" hidden="false" customHeight="false" outlineLevel="0" collapsed="false">
      <c r="A75" s="7" t="s">
        <v>26</v>
      </c>
      <c r="B75" s="7" t="s">
        <v>3217</v>
      </c>
      <c r="C75" s="7" t="s">
        <v>3218</v>
      </c>
      <c r="D75" s="7" t="s">
        <v>3219</v>
      </c>
      <c r="E75" s="7" t="n">
        <v>13</v>
      </c>
      <c r="F75" s="7" t="s">
        <v>7087</v>
      </c>
      <c r="G75" s="7" t="s">
        <v>6041</v>
      </c>
      <c r="H75" s="7" t="s">
        <v>7088</v>
      </c>
      <c r="I75" s="7"/>
      <c r="J75" s="7" t="s">
        <v>7089</v>
      </c>
      <c r="K75" s="7"/>
      <c r="L75" s="7" t="s">
        <v>6043</v>
      </c>
    </row>
    <row r="76" customFormat="false" ht="18" hidden="false" customHeight="false" outlineLevel="0" collapsed="false">
      <c r="A76" s="7" t="s">
        <v>26</v>
      </c>
      <c r="B76" s="7" t="s">
        <v>3217</v>
      </c>
      <c r="C76" s="7" t="s">
        <v>3218</v>
      </c>
      <c r="D76" s="7" t="s">
        <v>3313</v>
      </c>
      <c r="E76" s="7" t="n">
        <v>46</v>
      </c>
      <c r="F76" s="7" t="s">
        <v>7087</v>
      </c>
      <c r="G76" s="7" t="s">
        <v>6041</v>
      </c>
      <c r="H76" s="7" t="s">
        <v>7088</v>
      </c>
      <c r="I76" s="7"/>
      <c r="J76" s="7" t="s">
        <v>7089</v>
      </c>
      <c r="K76" s="7"/>
      <c r="L76" s="7" t="s">
        <v>6043</v>
      </c>
    </row>
    <row r="77" customFormat="false" ht="18" hidden="false" customHeight="false" outlineLevel="0" collapsed="false">
      <c r="A77" s="7" t="s">
        <v>26</v>
      </c>
      <c r="B77" s="7" t="s">
        <v>3217</v>
      </c>
      <c r="C77" s="7" t="s">
        <v>3218</v>
      </c>
      <c r="D77" s="7" t="s">
        <v>3511</v>
      </c>
      <c r="E77" s="7" t="n">
        <v>89</v>
      </c>
      <c r="F77" s="7" t="s">
        <v>7087</v>
      </c>
      <c r="G77" s="7" t="s">
        <v>6041</v>
      </c>
      <c r="H77" s="7" t="s">
        <v>7088</v>
      </c>
      <c r="I77" s="7"/>
      <c r="J77" s="7" t="s">
        <v>7089</v>
      </c>
      <c r="K77" s="7"/>
      <c r="L77" s="7" t="s">
        <v>6043</v>
      </c>
    </row>
    <row r="78" customFormat="false" ht="18" hidden="false" customHeight="false" outlineLevel="0" collapsed="false">
      <c r="A78" s="7" t="s">
        <v>27</v>
      </c>
      <c r="B78" s="7" t="s">
        <v>3996</v>
      </c>
      <c r="C78" s="7" t="s">
        <v>4070</v>
      </c>
      <c r="D78" s="7" t="s">
        <v>3998</v>
      </c>
      <c r="E78" s="7" t="n">
        <v>40</v>
      </c>
      <c r="F78" s="7" t="s">
        <v>7087</v>
      </c>
      <c r="G78" s="7" t="s">
        <v>6434</v>
      </c>
      <c r="H78" s="7" t="s">
        <v>7097</v>
      </c>
      <c r="I78" s="7"/>
      <c r="J78" s="7" t="s">
        <v>7089</v>
      </c>
      <c r="K78" s="7"/>
      <c r="L78" s="7" t="s">
        <v>6472</v>
      </c>
    </row>
    <row r="79" customFormat="false" ht="18" hidden="false" customHeight="false" outlineLevel="0" collapsed="false">
      <c r="A79" s="7" t="s">
        <v>27</v>
      </c>
      <c r="B79" s="7" t="s">
        <v>3996</v>
      </c>
      <c r="C79" s="7" t="s">
        <v>4070</v>
      </c>
      <c r="D79" s="7" t="s">
        <v>3998</v>
      </c>
      <c r="E79" s="7" t="n">
        <v>81</v>
      </c>
      <c r="F79" s="7" t="s">
        <v>7087</v>
      </c>
      <c r="G79" s="7" t="s">
        <v>6434</v>
      </c>
      <c r="H79" s="7" t="s">
        <v>7097</v>
      </c>
      <c r="I79" s="7"/>
      <c r="J79" s="7" t="s">
        <v>7089</v>
      </c>
      <c r="K79" s="7"/>
      <c r="L79" s="7" t="s">
        <v>6472</v>
      </c>
    </row>
    <row r="80" customFormat="false" ht="18" hidden="false" customHeight="false" outlineLevel="0" collapsed="false">
      <c r="A80" s="7" t="s">
        <v>27</v>
      </c>
      <c r="B80" s="7" t="s">
        <v>3996</v>
      </c>
      <c r="C80" s="7" t="s">
        <v>4070</v>
      </c>
      <c r="D80" s="7" t="s">
        <v>3998</v>
      </c>
      <c r="E80" s="7" t="n">
        <v>92</v>
      </c>
      <c r="F80" s="7" t="s">
        <v>7087</v>
      </c>
      <c r="G80" s="7" t="s">
        <v>6434</v>
      </c>
      <c r="H80" s="7" t="s">
        <v>7088</v>
      </c>
      <c r="I80" s="7"/>
      <c r="J80" s="7" t="s">
        <v>7089</v>
      </c>
      <c r="K80" s="7"/>
      <c r="L80" s="7" t="s">
        <v>6472</v>
      </c>
    </row>
    <row r="81" customFormat="false" ht="18" hidden="false" customHeight="false" outlineLevel="0" collapsed="false">
      <c r="A81" s="7" t="s">
        <v>27</v>
      </c>
      <c r="B81" s="7" t="s">
        <v>3996</v>
      </c>
      <c r="C81" s="7" t="s">
        <v>4070</v>
      </c>
      <c r="D81" s="7" t="s">
        <v>3998</v>
      </c>
      <c r="E81" s="7" t="n">
        <v>94</v>
      </c>
      <c r="F81" s="7" t="s">
        <v>7087</v>
      </c>
      <c r="G81" s="7" t="s">
        <v>6434</v>
      </c>
      <c r="H81" s="7" t="s">
        <v>7097</v>
      </c>
      <c r="I81" s="7"/>
      <c r="J81" s="7" t="s">
        <v>7089</v>
      </c>
      <c r="K81" s="7"/>
      <c r="L81" s="7" t="s">
        <v>6472</v>
      </c>
    </row>
    <row r="82" customFormat="false" ht="18" hidden="false" customHeight="false" outlineLevel="0" collapsed="false">
      <c r="A82" s="7" t="s">
        <v>27</v>
      </c>
      <c r="B82" s="7" t="s">
        <v>4129</v>
      </c>
      <c r="C82" s="7" t="s">
        <v>4130</v>
      </c>
      <c r="D82" s="7" t="s">
        <v>3998</v>
      </c>
      <c r="E82" s="7" t="n">
        <v>12</v>
      </c>
      <c r="F82" s="7" t="s">
        <v>7087</v>
      </c>
      <c r="G82" s="7" t="s">
        <v>6434</v>
      </c>
      <c r="H82" s="7" t="s">
        <v>7096</v>
      </c>
      <c r="I82" s="7"/>
      <c r="J82" s="7" t="s">
        <v>7089</v>
      </c>
      <c r="K82" s="7"/>
      <c r="L82" s="7" t="s">
        <v>6503</v>
      </c>
    </row>
    <row r="83" customFormat="false" ht="18" hidden="false" customHeight="false" outlineLevel="0" collapsed="false">
      <c r="A83" s="7" t="s">
        <v>27</v>
      </c>
      <c r="B83" s="7" t="s">
        <v>4129</v>
      </c>
      <c r="C83" s="7" t="s">
        <v>4130</v>
      </c>
      <c r="D83" s="7" t="s">
        <v>3998</v>
      </c>
      <c r="E83" s="7" t="n">
        <v>73</v>
      </c>
      <c r="F83" s="7" t="s">
        <v>7087</v>
      </c>
      <c r="G83" s="7" t="s">
        <v>6434</v>
      </c>
      <c r="H83" s="7" t="s">
        <v>7088</v>
      </c>
      <c r="I83" s="7"/>
      <c r="J83" s="7" t="s">
        <v>7089</v>
      </c>
      <c r="K83" s="7"/>
      <c r="L83" s="7" t="s">
        <v>6503</v>
      </c>
    </row>
    <row r="84" customFormat="false" ht="20.45" hidden="false" customHeight="false" outlineLevel="0" collapsed="false">
      <c r="A84" s="7" t="s">
        <v>31</v>
      </c>
      <c r="B84" s="7" t="s">
        <v>4003</v>
      </c>
      <c r="C84" s="7" t="s">
        <v>4010</v>
      </c>
      <c r="D84" s="7" t="s">
        <v>3998</v>
      </c>
      <c r="E84" s="7" t="n">
        <v>14</v>
      </c>
      <c r="F84" s="7" t="s">
        <v>7122</v>
      </c>
      <c r="G84" s="7" t="s">
        <v>6434</v>
      </c>
      <c r="H84" s="7" t="s">
        <v>7137</v>
      </c>
      <c r="I84" s="7" t="s">
        <v>7093</v>
      </c>
      <c r="J84" s="7" t="s">
        <v>7138</v>
      </c>
      <c r="K84" s="7"/>
      <c r="L84" s="7" t="s">
        <v>6442</v>
      </c>
    </row>
    <row r="85" customFormat="false" ht="30.1" hidden="false" customHeight="false" outlineLevel="0" collapsed="false">
      <c r="A85" s="7" t="s">
        <v>31</v>
      </c>
      <c r="B85" s="7" t="s">
        <v>4003</v>
      </c>
      <c r="C85" s="7" t="s">
        <v>4010</v>
      </c>
      <c r="D85" s="7" t="s">
        <v>3998</v>
      </c>
      <c r="E85" s="7" t="n">
        <v>17</v>
      </c>
      <c r="F85" s="7" t="s">
        <v>7122</v>
      </c>
      <c r="G85" s="7" t="s">
        <v>6434</v>
      </c>
      <c r="H85" s="7" t="s">
        <v>7130</v>
      </c>
      <c r="I85" s="7" t="s">
        <v>7099</v>
      </c>
      <c r="J85" s="7" t="s">
        <v>7139</v>
      </c>
      <c r="K85" s="7"/>
      <c r="L85" s="7" t="s">
        <v>6442</v>
      </c>
    </row>
    <row r="86" customFormat="false" ht="20.45" hidden="false" customHeight="false" outlineLevel="0" collapsed="false">
      <c r="A86" s="7" t="s">
        <v>31</v>
      </c>
      <c r="B86" s="7" t="s">
        <v>4003</v>
      </c>
      <c r="C86" s="7" t="s">
        <v>4010</v>
      </c>
      <c r="D86" s="7" t="s">
        <v>3998</v>
      </c>
      <c r="E86" s="7" t="n">
        <v>24</v>
      </c>
      <c r="F86" s="7" t="s">
        <v>7122</v>
      </c>
      <c r="G86" s="7" t="s">
        <v>6434</v>
      </c>
      <c r="H86" s="7" t="s">
        <v>7137</v>
      </c>
      <c r="I86" s="7" t="s">
        <v>7093</v>
      </c>
      <c r="J86" s="7" t="s">
        <v>7140</v>
      </c>
      <c r="K86" s="7"/>
      <c r="L86" s="7" t="s">
        <v>6442</v>
      </c>
    </row>
    <row r="87" customFormat="false" ht="30.1" hidden="false" customHeight="false" outlineLevel="0" collapsed="false">
      <c r="A87" s="7" t="s">
        <v>31</v>
      </c>
      <c r="B87" s="7" t="s">
        <v>4003</v>
      </c>
      <c r="C87" s="7" t="s">
        <v>4010</v>
      </c>
      <c r="D87" s="7" t="s">
        <v>3998</v>
      </c>
      <c r="E87" s="7" t="n">
        <v>25</v>
      </c>
      <c r="F87" s="7" t="s">
        <v>7122</v>
      </c>
      <c r="G87" s="7" t="s">
        <v>6434</v>
      </c>
      <c r="H87" s="7" t="s">
        <v>7141</v>
      </c>
      <c r="I87" s="7" t="s">
        <v>7099</v>
      </c>
      <c r="J87" s="7" t="s">
        <v>7142</v>
      </c>
      <c r="K87" s="7"/>
      <c r="L87" s="7" t="s">
        <v>6442</v>
      </c>
    </row>
    <row r="88" customFormat="false" ht="20.45" hidden="false" customHeight="false" outlineLevel="0" collapsed="false">
      <c r="A88" s="7" t="s">
        <v>31</v>
      </c>
      <c r="B88" s="7" t="s">
        <v>4003</v>
      </c>
      <c r="C88" s="7" t="s">
        <v>4010</v>
      </c>
      <c r="D88" s="7" t="s">
        <v>3998</v>
      </c>
      <c r="E88" s="7" t="n">
        <v>26</v>
      </c>
      <c r="F88" s="7" t="s">
        <v>7122</v>
      </c>
      <c r="G88" s="7" t="s">
        <v>6434</v>
      </c>
      <c r="H88" s="7" t="s">
        <v>7137</v>
      </c>
      <c r="I88" s="7" t="s">
        <v>7091</v>
      </c>
      <c r="J88" s="7" t="s">
        <v>7143</v>
      </c>
      <c r="K88" s="7"/>
      <c r="L88" s="7" t="s">
        <v>6442</v>
      </c>
    </row>
    <row r="89" customFormat="false" ht="39.75" hidden="false" customHeight="false" outlineLevel="0" collapsed="false">
      <c r="A89" s="7" t="s">
        <v>31</v>
      </c>
      <c r="B89" s="7" t="s">
        <v>4003</v>
      </c>
      <c r="C89" s="7" t="s">
        <v>4010</v>
      </c>
      <c r="D89" s="7" t="s">
        <v>3998</v>
      </c>
      <c r="E89" s="7" t="n">
        <v>27</v>
      </c>
      <c r="F89" s="7" t="s">
        <v>7122</v>
      </c>
      <c r="G89" s="7" t="s">
        <v>6434</v>
      </c>
      <c r="H89" s="7" t="s">
        <v>7137</v>
      </c>
      <c r="I89" s="7" t="s">
        <v>7091</v>
      </c>
      <c r="J89" s="7" t="s">
        <v>7144</v>
      </c>
      <c r="K89" s="7"/>
      <c r="L89" s="7" t="s">
        <v>6442</v>
      </c>
    </row>
    <row r="90" customFormat="false" ht="20.45" hidden="false" customHeight="false" outlineLevel="0" collapsed="false">
      <c r="A90" s="7" t="s">
        <v>31</v>
      </c>
      <c r="B90" s="7" t="s">
        <v>4003</v>
      </c>
      <c r="C90" s="7" t="s">
        <v>4010</v>
      </c>
      <c r="D90" s="7" t="s">
        <v>3998</v>
      </c>
      <c r="E90" s="7" t="n">
        <v>80</v>
      </c>
      <c r="F90" s="7" t="s">
        <v>7122</v>
      </c>
      <c r="G90" s="7" t="s">
        <v>6434</v>
      </c>
      <c r="H90" s="7" t="s">
        <v>7137</v>
      </c>
      <c r="I90" s="7" t="s">
        <v>7091</v>
      </c>
      <c r="J90" s="7" t="s">
        <v>7145</v>
      </c>
      <c r="K90" s="7"/>
      <c r="L90" s="7" t="s">
        <v>6442</v>
      </c>
    </row>
    <row r="91" customFormat="false" ht="20.45" hidden="false" customHeight="false" outlineLevel="0" collapsed="false">
      <c r="A91" s="7" t="s">
        <v>31</v>
      </c>
      <c r="B91" s="7" t="s">
        <v>4003</v>
      </c>
      <c r="C91" s="7" t="s">
        <v>4010</v>
      </c>
      <c r="D91" s="7" t="s">
        <v>3998</v>
      </c>
      <c r="E91" s="7" t="n">
        <v>84</v>
      </c>
      <c r="F91" s="7" t="s">
        <v>7122</v>
      </c>
      <c r="G91" s="7" t="s">
        <v>6434</v>
      </c>
      <c r="H91" s="7" t="s">
        <v>7137</v>
      </c>
      <c r="I91" s="7" t="s">
        <v>7104</v>
      </c>
      <c r="J91" s="7" t="s">
        <v>7146</v>
      </c>
      <c r="K91" s="7"/>
      <c r="L91" s="7" t="s">
        <v>6442</v>
      </c>
    </row>
    <row r="92" customFormat="false" ht="20.45" hidden="false" customHeight="false" outlineLevel="0" collapsed="false">
      <c r="A92" s="7" t="s">
        <v>31</v>
      </c>
      <c r="B92" s="7" t="s">
        <v>4003</v>
      </c>
      <c r="C92" s="7" t="s">
        <v>4010</v>
      </c>
      <c r="D92" s="7" t="s">
        <v>3998</v>
      </c>
      <c r="E92" s="7" t="n">
        <v>91</v>
      </c>
      <c r="F92" s="7" t="s">
        <v>7122</v>
      </c>
      <c r="G92" s="7" t="s">
        <v>6434</v>
      </c>
      <c r="H92" s="7" t="s">
        <v>7137</v>
      </c>
      <c r="I92" s="7" t="s">
        <v>7104</v>
      </c>
      <c r="J92" s="7" t="s">
        <v>7147</v>
      </c>
      <c r="K92" s="7"/>
      <c r="L92" s="7" t="s">
        <v>6442</v>
      </c>
    </row>
    <row r="93" customFormat="false" ht="20.45" hidden="false" customHeight="false" outlineLevel="0" collapsed="false">
      <c r="A93" s="7" t="s">
        <v>31</v>
      </c>
      <c r="B93" s="7" t="s">
        <v>4003</v>
      </c>
      <c r="C93" s="7" t="s">
        <v>4010</v>
      </c>
      <c r="D93" s="7" t="s">
        <v>3998</v>
      </c>
      <c r="E93" s="7" t="n">
        <v>92</v>
      </c>
      <c r="F93" s="7" t="s">
        <v>7122</v>
      </c>
      <c r="G93" s="7" t="s">
        <v>6434</v>
      </c>
      <c r="H93" s="7" t="s">
        <v>7141</v>
      </c>
      <c r="I93" s="7" t="s">
        <v>7099</v>
      </c>
      <c r="J93" s="7" t="s">
        <v>7148</v>
      </c>
      <c r="K93" s="7"/>
      <c r="L93" s="7" t="s">
        <v>6442</v>
      </c>
    </row>
    <row r="94" customFormat="false" ht="20.45" hidden="false" customHeight="false" outlineLevel="0" collapsed="false">
      <c r="A94" s="7" t="s">
        <v>31</v>
      </c>
      <c r="B94" s="7" t="s">
        <v>4003</v>
      </c>
      <c r="C94" s="7" t="s">
        <v>4010</v>
      </c>
      <c r="D94" s="7" t="s">
        <v>3998</v>
      </c>
      <c r="E94" s="7" t="n">
        <v>93</v>
      </c>
      <c r="F94" s="7" t="s">
        <v>7122</v>
      </c>
      <c r="G94" s="7" t="s">
        <v>6434</v>
      </c>
      <c r="H94" s="7" t="s">
        <v>7137</v>
      </c>
      <c r="I94" s="7" t="s">
        <v>7093</v>
      </c>
      <c r="J94" s="7" t="s">
        <v>7149</v>
      </c>
      <c r="K94" s="7"/>
      <c r="L94" s="7" t="s">
        <v>6442</v>
      </c>
    </row>
    <row r="95" customFormat="false" ht="20.45" hidden="false" customHeight="false" outlineLevel="0" collapsed="false">
      <c r="A95" s="7" t="s">
        <v>31</v>
      </c>
      <c r="B95" s="7" t="s">
        <v>4003</v>
      </c>
      <c r="C95" s="7" t="s">
        <v>4010</v>
      </c>
      <c r="D95" s="7" t="s">
        <v>3998</v>
      </c>
      <c r="E95" s="7" t="n">
        <v>94</v>
      </c>
      <c r="F95" s="7" t="s">
        <v>7122</v>
      </c>
      <c r="G95" s="7" t="s">
        <v>6434</v>
      </c>
      <c r="H95" s="7" t="s">
        <v>7150</v>
      </c>
      <c r="I95" s="7" t="s">
        <v>7104</v>
      </c>
      <c r="J95" s="7" t="s">
        <v>7151</v>
      </c>
      <c r="K95" s="7"/>
      <c r="L95" s="7" t="s">
        <v>6442</v>
      </c>
    </row>
    <row r="96" customFormat="false" ht="20.45" hidden="false" customHeight="false" outlineLevel="0" collapsed="false">
      <c r="A96" s="7" t="s">
        <v>31</v>
      </c>
      <c r="B96" s="7" t="s">
        <v>4003</v>
      </c>
      <c r="C96" s="7" t="s">
        <v>4010</v>
      </c>
      <c r="D96" s="7" t="s">
        <v>3998</v>
      </c>
      <c r="E96" s="7" t="n">
        <v>95</v>
      </c>
      <c r="F96" s="7" t="s">
        <v>7122</v>
      </c>
      <c r="G96" s="7" t="s">
        <v>6434</v>
      </c>
      <c r="H96" s="7" t="s">
        <v>7150</v>
      </c>
      <c r="I96" s="7" t="s">
        <v>7104</v>
      </c>
      <c r="J96" s="7" t="s">
        <v>7152</v>
      </c>
      <c r="K96" s="7"/>
      <c r="L96" s="7" t="s">
        <v>6442</v>
      </c>
    </row>
    <row r="97" customFormat="false" ht="20.45" hidden="false" customHeight="false" outlineLevel="0" collapsed="false">
      <c r="A97" s="7" t="s">
        <v>31</v>
      </c>
      <c r="B97" s="7" t="s">
        <v>4003</v>
      </c>
      <c r="C97" s="7" t="s">
        <v>4010</v>
      </c>
      <c r="D97" s="7" t="s">
        <v>3998</v>
      </c>
      <c r="E97" s="7" t="n">
        <v>96</v>
      </c>
      <c r="F97" s="7" t="s">
        <v>7122</v>
      </c>
      <c r="G97" s="7" t="s">
        <v>6434</v>
      </c>
      <c r="H97" s="7" t="s">
        <v>7150</v>
      </c>
      <c r="I97" s="7" t="s">
        <v>7104</v>
      </c>
      <c r="J97" s="7" t="s">
        <v>7153</v>
      </c>
      <c r="K97" s="7"/>
      <c r="L97" s="7" t="s">
        <v>6442</v>
      </c>
    </row>
    <row r="98" customFormat="false" ht="20.45" hidden="false" customHeight="false" outlineLevel="0" collapsed="false">
      <c r="A98" s="7" t="s">
        <v>31</v>
      </c>
      <c r="B98" s="7" t="s">
        <v>4003</v>
      </c>
      <c r="C98" s="7" t="s">
        <v>4010</v>
      </c>
      <c r="D98" s="7" t="s">
        <v>3998</v>
      </c>
      <c r="E98" s="7" t="n">
        <v>97</v>
      </c>
      <c r="F98" s="7" t="s">
        <v>7122</v>
      </c>
      <c r="G98" s="7" t="s">
        <v>6434</v>
      </c>
      <c r="H98" s="7" t="s">
        <v>7150</v>
      </c>
      <c r="I98" s="7" t="s">
        <v>7091</v>
      </c>
      <c r="J98" s="7" t="s">
        <v>7154</v>
      </c>
      <c r="K98" s="7"/>
      <c r="L98" s="7" t="s">
        <v>6442</v>
      </c>
    </row>
    <row r="99" customFormat="false" ht="20.45" hidden="false" customHeight="false" outlineLevel="0" collapsed="false">
      <c r="A99" s="7" t="s">
        <v>31</v>
      </c>
      <c r="B99" s="7" t="s">
        <v>4003</v>
      </c>
      <c r="C99" s="7" t="s">
        <v>4010</v>
      </c>
      <c r="D99" s="7" t="s">
        <v>3998</v>
      </c>
      <c r="E99" s="7" t="n">
        <v>98</v>
      </c>
      <c r="F99" s="7" t="s">
        <v>7122</v>
      </c>
      <c r="G99" s="7" t="s">
        <v>6434</v>
      </c>
      <c r="H99" s="7" t="s">
        <v>7141</v>
      </c>
      <c r="I99" s="7" t="s">
        <v>7091</v>
      </c>
      <c r="J99" s="7" t="s">
        <v>7155</v>
      </c>
      <c r="K99" s="7"/>
      <c r="L99" s="7" t="s">
        <v>6442</v>
      </c>
    </row>
    <row r="100" customFormat="false" ht="20.45" hidden="false" customHeight="false" outlineLevel="0" collapsed="false">
      <c r="A100" s="7" t="s">
        <v>31</v>
      </c>
      <c r="B100" s="7" t="s">
        <v>4003</v>
      </c>
      <c r="C100" s="7" t="s">
        <v>4010</v>
      </c>
      <c r="D100" s="7" t="s">
        <v>3998</v>
      </c>
      <c r="E100" s="7" t="n">
        <v>100</v>
      </c>
      <c r="F100" s="7" t="s">
        <v>7122</v>
      </c>
      <c r="G100" s="7" t="s">
        <v>6434</v>
      </c>
      <c r="H100" s="7" t="s">
        <v>7125</v>
      </c>
      <c r="I100" s="7" t="s">
        <v>7104</v>
      </c>
      <c r="J100" s="7" t="s">
        <v>4925</v>
      </c>
      <c r="K100" s="7"/>
      <c r="L100" s="7" t="s">
        <v>6442</v>
      </c>
    </row>
    <row r="101" customFormat="false" ht="20.45" hidden="false" customHeight="false" outlineLevel="0" collapsed="false">
      <c r="A101" s="7" t="s">
        <v>31</v>
      </c>
      <c r="B101" s="7" t="s">
        <v>4003</v>
      </c>
      <c r="C101" s="7" t="s">
        <v>4010</v>
      </c>
      <c r="D101" s="7" t="s">
        <v>3998</v>
      </c>
      <c r="E101" s="7" t="n">
        <v>101</v>
      </c>
      <c r="F101" s="7" t="s">
        <v>7122</v>
      </c>
      <c r="G101" s="7" t="s">
        <v>6434</v>
      </c>
      <c r="H101" s="7" t="s">
        <v>7125</v>
      </c>
      <c r="I101" s="7" t="s">
        <v>7104</v>
      </c>
      <c r="J101" s="7" t="s">
        <v>7156</v>
      </c>
      <c r="K101" s="7"/>
      <c r="L101" s="7" t="s">
        <v>6442</v>
      </c>
    </row>
    <row r="102" customFormat="false" ht="20.45" hidden="false" customHeight="false" outlineLevel="0" collapsed="false">
      <c r="A102" s="7" t="s">
        <v>31</v>
      </c>
      <c r="B102" s="7" t="s">
        <v>4003</v>
      </c>
      <c r="C102" s="7" t="s">
        <v>4010</v>
      </c>
      <c r="D102" s="7" t="s">
        <v>3998</v>
      </c>
      <c r="E102" s="7" t="n">
        <v>102</v>
      </c>
      <c r="F102" s="7" t="s">
        <v>7122</v>
      </c>
      <c r="G102" s="7" t="s">
        <v>6434</v>
      </c>
      <c r="H102" s="7" t="s">
        <v>7157</v>
      </c>
      <c r="I102" s="7" t="s">
        <v>7104</v>
      </c>
      <c r="J102" s="7" t="s">
        <v>4925</v>
      </c>
      <c r="K102" s="7"/>
      <c r="L102" s="7" t="s">
        <v>6442</v>
      </c>
    </row>
    <row r="103" customFormat="false" ht="20.45" hidden="false" customHeight="false" outlineLevel="0" collapsed="false">
      <c r="A103" s="7" t="s">
        <v>31</v>
      </c>
      <c r="B103" s="7" t="s">
        <v>4003</v>
      </c>
      <c r="C103" s="7" t="s">
        <v>4010</v>
      </c>
      <c r="D103" s="7" t="s">
        <v>3998</v>
      </c>
      <c r="E103" s="7" t="n">
        <v>103</v>
      </c>
      <c r="F103" s="7" t="s">
        <v>7122</v>
      </c>
      <c r="G103" s="7" t="s">
        <v>6434</v>
      </c>
      <c r="H103" s="7" t="s">
        <v>7125</v>
      </c>
      <c r="I103" s="7" t="s">
        <v>7104</v>
      </c>
      <c r="J103" s="7" t="s">
        <v>7158</v>
      </c>
      <c r="K103" s="7"/>
      <c r="L103" s="7" t="s">
        <v>6442</v>
      </c>
    </row>
    <row r="104" customFormat="false" ht="20.45" hidden="false" customHeight="false" outlineLevel="0" collapsed="false">
      <c r="A104" s="7" t="s">
        <v>31</v>
      </c>
      <c r="B104" s="7" t="s">
        <v>4003</v>
      </c>
      <c r="C104" s="7" t="s">
        <v>4010</v>
      </c>
      <c r="D104" s="7" t="s">
        <v>3998</v>
      </c>
      <c r="E104" s="7" t="n">
        <v>104</v>
      </c>
      <c r="F104" s="7" t="s">
        <v>7122</v>
      </c>
      <c r="G104" s="7" t="s">
        <v>6434</v>
      </c>
      <c r="H104" s="7" t="s">
        <v>7141</v>
      </c>
      <c r="I104" s="7" t="s">
        <v>7104</v>
      </c>
      <c r="J104" s="7" t="s">
        <v>7159</v>
      </c>
      <c r="K104" s="7"/>
      <c r="L104" s="7" t="s">
        <v>6442</v>
      </c>
    </row>
    <row r="105" customFormat="false" ht="20.45" hidden="false" customHeight="false" outlineLevel="0" collapsed="false">
      <c r="A105" s="7" t="s">
        <v>31</v>
      </c>
      <c r="B105" s="7" t="s">
        <v>4003</v>
      </c>
      <c r="C105" s="7" t="s">
        <v>4010</v>
      </c>
      <c r="D105" s="7" t="s">
        <v>3998</v>
      </c>
      <c r="E105" s="7" t="n">
        <v>105</v>
      </c>
      <c r="F105" s="7" t="s">
        <v>7122</v>
      </c>
      <c r="G105" s="7" t="s">
        <v>6434</v>
      </c>
      <c r="H105" s="7" t="s">
        <v>7137</v>
      </c>
      <c r="I105" s="7" t="s">
        <v>7091</v>
      </c>
      <c r="J105" s="7" t="s">
        <v>7160</v>
      </c>
      <c r="K105" s="7"/>
      <c r="L105" s="7" t="s">
        <v>6442</v>
      </c>
    </row>
    <row r="106" customFormat="false" ht="20.45" hidden="false" customHeight="false" outlineLevel="0" collapsed="false">
      <c r="A106" s="7" t="s">
        <v>31</v>
      </c>
      <c r="B106" s="7" t="s">
        <v>4003</v>
      </c>
      <c r="C106" s="7" t="s">
        <v>4010</v>
      </c>
      <c r="D106" s="7" t="s">
        <v>3998</v>
      </c>
      <c r="E106" s="7" t="n">
        <v>109</v>
      </c>
      <c r="F106" s="7" t="s">
        <v>7122</v>
      </c>
      <c r="G106" s="7" t="s">
        <v>6434</v>
      </c>
      <c r="H106" s="7" t="s">
        <v>7141</v>
      </c>
      <c r="I106" s="7" t="s">
        <v>7099</v>
      </c>
      <c r="J106" s="7" t="s">
        <v>7161</v>
      </c>
      <c r="K106" s="7"/>
      <c r="L106" s="7" t="s">
        <v>6442</v>
      </c>
    </row>
    <row r="107" customFormat="false" ht="20.45" hidden="false" customHeight="false" outlineLevel="0" collapsed="false">
      <c r="A107" s="7" t="s">
        <v>31</v>
      </c>
      <c r="B107" s="7" t="s">
        <v>4003</v>
      </c>
      <c r="C107" s="7" t="s">
        <v>4010</v>
      </c>
      <c r="D107" s="7" t="s">
        <v>3998</v>
      </c>
      <c r="E107" s="7" t="n">
        <v>112</v>
      </c>
      <c r="F107" s="7" t="s">
        <v>7122</v>
      </c>
      <c r="G107" s="7" t="s">
        <v>6434</v>
      </c>
      <c r="H107" s="7" t="s">
        <v>7141</v>
      </c>
      <c r="I107" s="7" t="s">
        <v>7091</v>
      </c>
      <c r="J107" s="7" t="s">
        <v>7162</v>
      </c>
      <c r="K107" s="7"/>
      <c r="L107" s="7" t="s">
        <v>6442</v>
      </c>
    </row>
    <row r="108" customFormat="false" ht="20.45" hidden="false" customHeight="false" outlineLevel="0" collapsed="false">
      <c r="A108" s="7" t="s">
        <v>31</v>
      </c>
      <c r="B108" s="7" t="s">
        <v>4003</v>
      </c>
      <c r="C108" s="7" t="s">
        <v>4010</v>
      </c>
      <c r="D108" s="7" t="s">
        <v>3998</v>
      </c>
      <c r="E108" s="7" t="n">
        <v>113</v>
      </c>
      <c r="F108" s="7" t="s">
        <v>7122</v>
      </c>
      <c r="G108" s="7" t="s">
        <v>6434</v>
      </c>
      <c r="H108" s="7" t="s">
        <v>7137</v>
      </c>
      <c r="I108" s="7" t="s">
        <v>7091</v>
      </c>
      <c r="J108" s="7" t="s">
        <v>7163</v>
      </c>
      <c r="K108" s="7"/>
      <c r="L108" s="7" t="s">
        <v>6442</v>
      </c>
    </row>
    <row r="109" customFormat="false" ht="20.45" hidden="false" customHeight="false" outlineLevel="0" collapsed="false">
      <c r="A109" s="7" t="s">
        <v>31</v>
      </c>
      <c r="B109" s="7" t="s">
        <v>4003</v>
      </c>
      <c r="C109" s="7" t="s">
        <v>4010</v>
      </c>
      <c r="D109" s="7" t="s">
        <v>3998</v>
      </c>
      <c r="E109" s="7" t="n">
        <v>114</v>
      </c>
      <c r="F109" s="7" t="s">
        <v>7122</v>
      </c>
      <c r="G109" s="7" t="s">
        <v>6434</v>
      </c>
      <c r="H109" s="7" t="s">
        <v>7141</v>
      </c>
      <c r="I109" s="7" t="s">
        <v>7091</v>
      </c>
      <c r="J109" s="7" t="s">
        <v>7164</v>
      </c>
      <c r="K109" s="7"/>
      <c r="L109" s="7" t="s">
        <v>6442</v>
      </c>
    </row>
    <row r="110" customFormat="false" ht="20.45" hidden="false" customHeight="false" outlineLevel="0" collapsed="false">
      <c r="A110" s="7" t="s">
        <v>31</v>
      </c>
      <c r="B110" s="7" t="s">
        <v>4003</v>
      </c>
      <c r="C110" s="7" t="s">
        <v>4010</v>
      </c>
      <c r="D110" s="7" t="s">
        <v>3998</v>
      </c>
      <c r="E110" s="7" t="n">
        <v>115</v>
      </c>
      <c r="F110" s="7" t="s">
        <v>7122</v>
      </c>
      <c r="G110" s="7" t="s">
        <v>6434</v>
      </c>
      <c r="H110" s="7" t="s">
        <v>7137</v>
      </c>
      <c r="I110" s="7" t="s">
        <v>7104</v>
      </c>
      <c r="J110" s="7" t="s">
        <v>7165</v>
      </c>
      <c r="K110" s="7"/>
      <c r="L110" s="7" t="s">
        <v>6442</v>
      </c>
    </row>
    <row r="111" customFormat="false" ht="20.45" hidden="false" customHeight="false" outlineLevel="0" collapsed="false">
      <c r="A111" s="7" t="s">
        <v>31</v>
      </c>
      <c r="B111" s="7" t="s">
        <v>4003</v>
      </c>
      <c r="C111" s="7" t="s">
        <v>4010</v>
      </c>
      <c r="D111" s="7" t="s">
        <v>3998</v>
      </c>
      <c r="E111" s="7" t="n">
        <v>116</v>
      </c>
      <c r="F111" s="7" t="s">
        <v>7122</v>
      </c>
      <c r="G111" s="7" t="s">
        <v>6434</v>
      </c>
      <c r="H111" s="7" t="s">
        <v>7166</v>
      </c>
      <c r="I111" s="7" t="s">
        <v>7104</v>
      </c>
      <c r="J111" s="7" t="s">
        <v>7167</v>
      </c>
      <c r="K111" s="7"/>
      <c r="L111" s="7" t="s">
        <v>6442</v>
      </c>
    </row>
    <row r="112" customFormat="false" ht="20.45" hidden="false" customHeight="false" outlineLevel="0" collapsed="false">
      <c r="A112" s="7" t="s">
        <v>31</v>
      </c>
      <c r="B112" s="7" t="s">
        <v>4003</v>
      </c>
      <c r="C112" s="7" t="s">
        <v>4010</v>
      </c>
      <c r="D112" s="7" t="s">
        <v>3998</v>
      </c>
      <c r="E112" s="7" t="n">
        <v>117</v>
      </c>
      <c r="F112" s="7" t="s">
        <v>7122</v>
      </c>
      <c r="G112" s="7" t="s">
        <v>6434</v>
      </c>
      <c r="H112" s="7" t="s">
        <v>7168</v>
      </c>
      <c r="I112" s="7" t="s">
        <v>7093</v>
      </c>
      <c r="J112" s="7" t="s">
        <v>7169</v>
      </c>
      <c r="K112" s="7"/>
      <c r="L112" s="7" t="s">
        <v>6442</v>
      </c>
    </row>
    <row r="113" customFormat="false" ht="20.45" hidden="false" customHeight="false" outlineLevel="0" collapsed="false">
      <c r="A113" s="7" t="s">
        <v>31</v>
      </c>
      <c r="B113" s="7" t="s">
        <v>4003</v>
      </c>
      <c r="C113" s="7" t="s">
        <v>4010</v>
      </c>
      <c r="D113" s="7" t="s">
        <v>3998</v>
      </c>
      <c r="E113" s="7" t="n">
        <v>118</v>
      </c>
      <c r="F113" s="7" t="s">
        <v>7122</v>
      </c>
      <c r="G113" s="7" t="s">
        <v>6434</v>
      </c>
      <c r="H113" s="7" t="s">
        <v>7141</v>
      </c>
      <c r="I113" s="7" t="s">
        <v>7099</v>
      </c>
      <c r="J113" s="7" t="s">
        <v>7170</v>
      </c>
      <c r="K113" s="7"/>
      <c r="L113" s="7" t="s">
        <v>6442</v>
      </c>
    </row>
    <row r="114" customFormat="false" ht="20.45" hidden="false" customHeight="false" outlineLevel="0" collapsed="false">
      <c r="A114" s="7" t="s">
        <v>31</v>
      </c>
      <c r="B114" s="7" t="s">
        <v>4003</v>
      </c>
      <c r="C114" s="7" t="s">
        <v>4010</v>
      </c>
      <c r="D114" s="7" t="s">
        <v>3998</v>
      </c>
      <c r="E114" s="7" t="n">
        <v>145</v>
      </c>
      <c r="F114" s="7" t="s">
        <v>7122</v>
      </c>
      <c r="G114" s="7" t="s">
        <v>6434</v>
      </c>
      <c r="H114" s="7" t="s">
        <v>7130</v>
      </c>
      <c r="I114" s="7" t="s">
        <v>7091</v>
      </c>
      <c r="J114" s="7" t="s">
        <v>7171</v>
      </c>
      <c r="K114" s="7"/>
      <c r="L114" s="7" t="s">
        <v>6442</v>
      </c>
    </row>
    <row r="115" customFormat="false" ht="20.45" hidden="false" customHeight="false" outlineLevel="0" collapsed="false">
      <c r="A115" s="7" t="s">
        <v>31</v>
      </c>
      <c r="B115" s="7" t="s">
        <v>4003</v>
      </c>
      <c r="C115" s="7" t="s">
        <v>4010</v>
      </c>
      <c r="D115" s="7" t="s">
        <v>3998</v>
      </c>
      <c r="E115" s="7" t="n">
        <v>146</v>
      </c>
      <c r="F115" s="7" t="s">
        <v>7122</v>
      </c>
      <c r="G115" s="7" t="s">
        <v>6434</v>
      </c>
      <c r="H115" s="7" t="s">
        <v>7172</v>
      </c>
      <c r="I115" s="7" t="s">
        <v>7093</v>
      </c>
      <c r="J115" s="7" t="s">
        <v>7173</v>
      </c>
      <c r="K115" s="7"/>
      <c r="L115" s="7" t="s">
        <v>6442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6573"/>
    <pageSetUpPr fitToPage="true"/>
  </sheetPr>
  <dimension ref="A1:D2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00390625" defaultRowHeight="18" customHeight="false" zeroHeight="false" outlineLevelRow="0" outlineLevelCol="0"/>
  <cols>
    <col collapsed="false" customWidth="true" hidden="false" outlineLevel="0" max="1" min="1" style="0" width="18"/>
    <col collapsed="false" customWidth="true" hidden="false" outlineLevel="0" max="4" min="2" style="0" width="40"/>
  </cols>
  <sheetData>
    <row r="1" customFormat="false" ht="30" hidden="false" customHeight="true" outlineLevel="0" collapsed="false">
      <c r="A1" s="1" t="s">
        <v>7174</v>
      </c>
      <c r="B1" s="1"/>
      <c r="C1" s="1"/>
      <c r="D1" s="1"/>
    </row>
    <row r="2" customFormat="false" ht="31.5" hidden="false" customHeight="true" outlineLevel="0" collapsed="false">
      <c r="A2" s="2" t="s">
        <v>7175</v>
      </c>
      <c r="B2" s="2"/>
      <c r="C2" s="2"/>
      <c r="D2" s="2"/>
    </row>
    <row r="3" customFormat="false" ht="18" hidden="false" customHeight="false" outlineLevel="0" collapsed="false">
      <c r="A3" s="6" t="s">
        <v>7176</v>
      </c>
      <c r="B3" s="6" t="s">
        <v>7177</v>
      </c>
      <c r="C3" s="6" t="s">
        <v>7178</v>
      </c>
      <c r="D3" s="6" t="s">
        <v>7179</v>
      </c>
    </row>
    <row r="4" customFormat="false" ht="21.75" hidden="false" customHeight="true" outlineLevel="0" collapsed="false">
      <c r="A4" s="18" t="s">
        <v>7180</v>
      </c>
      <c r="B4" s="18" t="s">
        <v>7181</v>
      </c>
      <c r="C4" s="18" t="s">
        <v>7182</v>
      </c>
      <c r="D4" s="18" t="s">
        <v>7183</v>
      </c>
    </row>
    <row r="5" customFormat="false" ht="21.75" hidden="false" customHeight="true" outlineLevel="0" collapsed="false">
      <c r="A5" s="18" t="s">
        <v>7184</v>
      </c>
      <c r="B5" s="18" t="s">
        <v>7185</v>
      </c>
      <c r="C5" s="18" t="s">
        <v>7186</v>
      </c>
      <c r="D5" s="18" t="s">
        <v>7187</v>
      </c>
    </row>
    <row r="6" customFormat="false" ht="21.75" hidden="false" customHeight="true" outlineLevel="0" collapsed="false">
      <c r="A6" s="18" t="s">
        <v>7188</v>
      </c>
      <c r="B6" s="18" t="s">
        <v>7189</v>
      </c>
      <c r="C6" s="18" t="s">
        <v>7190</v>
      </c>
      <c r="D6" s="18" t="s">
        <v>7191</v>
      </c>
    </row>
    <row r="7" customFormat="false" ht="21.75" hidden="false" customHeight="true" outlineLevel="0" collapsed="false">
      <c r="A7" s="18" t="s">
        <v>7192</v>
      </c>
      <c r="B7" s="18" t="s">
        <v>7193</v>
      </c>
      <c r="C7" s="18" t="s">
        <v>7194</v>
      </c>
      <c r="D7" s="18" t="s">
        <v>7195</v>
      </c>
    </row>
    <row r="8" customFormat="false" ht="21.75" hidden="false" customHeight="true" outlineLevel="0" collapsed="false">
      <c r="A8" s="18" t="s">
        <v>7196</v>
      </c>
      <c r="B8" s="18" t="s">
        <v>7197</v>
      </c>
      <c r="C8" s="18" t="s">
        <v>7198</v>
      </c>
      <c r="D8" s="18" t="s">
        <v>7199</v>
      </c>
    </row>
    <row r="9" customFormat="false" ht="21.75" hidden="false" customHeight="true" outlineLevel="0" collapsed="false">
      <c r="A9" s="18" t="s">
        <v>7200</v>
      </c>
      <c r="B9" s="18" t="s">
        <v>7201</v>
      </c>
      <c r="C9" s="18" t="s">
        <v>7202</v>
      </c>
      <c r="D9" s="18" t="s">
        <v>7203</v>
      </c>
    </row>
    <row r="10" customFormat="false" ht="21.75" hidden="false" customHeight="true" outlineLevel="0" collapsed="false">
      <c r="A10" s="18" t="s">
        <v>7204</v>
      </c>
      <c r="B10" s="18" t="s">
        <v>7205</v>
      </c>
      <c r="C10" s="18" t="s">
        <v>7206</v>
      </c>
      <c r="D10" s="18" t="s">
        <v>7207</v>
      </c>
    </row>
    <row r="11" customFormat="false" ht="21.75" hidden="false" customHeight="true" outlineLevel="0" collapsed="false">
      <c r="A11" s="18" t="s">
        <v>13</v>
      </c>
      <c r="B11" s="18" t="s">
        <v>7208</v>
      </c>
      <c r="C11" s="18" t="s">
        <v>7209</v>
      </c>
      <c r="D11" s="18" t="s">
        <v>7210</v>
      </c>
    </row>
    <row r="12" customFormat="false" ht="21.75" hidden="false" customHeight="true" outlineLevel="0" collapsed="false">
      <c r="A12" s="18" t="s">
        <v>3208</v>
      </c>
      <c r="B12" s="18" t="s">
        <v>7211</v>
      </c>
      <c r="C12" s="18" t="s">
        <v>7212</v>
      </c>
      <c r="D12" s="18" t="s">
        <v>7213</v>
      </c>
    </row>
    <row r="13" customFormat="false" ht="21.75" hidden="false" customHeight="true" outlineLevel="0" collapsed="false">
      <c r="A13" s="18" t="s">
        <v>7214</v>
      </c>
      <c r="B13" s="18" t="s">
        <v>7215</v>
      </c>
      <c r="C13" s="18" t="s">
        <v>7216</v>
      </c>
      <c r="D13" s="18" t="s">
        <v>7217</v>
      </c>
    </row>
    <row r="14" customFormat="false" ht="21.75" hidden="false" customHeight="true" outlineLevel="0" collapsed="false">
      <c r="A14" s="18" t="s">
        <v>7218</v>
      </c>
      <c r="B14" s="18" t="s">
        <v>7219</v>
      </c>
      <c r="C14" s="18" t="s">
        <v>7220</v>
      </c>
      <c r="D14" s="18" t="s">
        <v>7221</v>
      </c>
    </row>
    <row r="15" customFormat="false" ht="21.75" hidden="false" customHeight="true" outlineLevel="0" collapsed="false">
      <c r="A15" s="18" t="s">
        <v>7222</v>
      </c>
      <c r="B15" s="18" t="s">
        <v>7223</v>
      </c>
      <c r="C15" s="18" t="s">
        <v>7224</v>
      </c>
      <c r="D15" s="18" t="s">
        <v>7225</v>
      </c>
    </row>
    <row r="16" customFormat="false" ht="21.75" hidden="false" customHeight="true" outlineLevel="0" collapsed="false"/>
    <row r="17" customFormat="false" ht="21.75" hidden="false" customHeight="true" outlineLevel="0" collapsed="false">
      <c r="A17" s="6" t="s">
        <v>7226</v>
      </c>
      <c r="B17" s="6" t="s">
        <v>7227</v>
      </c>
      <c r="C17" s="6" t="s">
        <v>7228</v>
      </c>
      <c r="D17" s="6" t="s">
        <v>7229</v>
      </c>
    </row>
    <row r="18" customFormat="false" ht="21.75" hidden="false" customHeight="true" outlineLevel="0" collapsed="false">
      <c r="A18" s="18" t="s">
        <v>13</v>
      </c>
      <c r="B18" s="18" t="s">
        <v>7230</v>
      </c>
      <c r="C18" s="18" t="s">
        <v>7231</v>
      </c>
      <c r="D18" s="18" t="s">
        <v>7232</v>
      </c>
    </row>
    <row r="19" customFormat="false" ht="21.75" hidden="false" customHeight="true" outlineLevel="0" collapsed="false">
      <c r="A19" s="18" t="s">
        <v>24</v>
      </c>
      <c r="B19" s="18" t="s">
        <v>7233</v>
      </c>
      <c r="C19" s="18" t="s">
        <v>7234</v>
      </c>
      <c r="D19" s="18" t="s">
        <v>7235</v>
      </c>
    </row>
    <row r="20" customFormat="false" ht="21.75" hidden="false" customHeight="true" outlineLevel="0" collapsed="false">
      <c r="A20" s="18" t="s">
        <v>5267</v>
      </c>
      <c r="B20" s="18" t="s">
        <v>7236</v>
      </c>
      <c r="C20" s="18" t="s">
        <v>7237</v>
      </c>
      <c r="D20" s="18" t="s">
        <v>7238</v>
      </c>
    </row>
    <row r="21" customFormat="false" ht="21.75" hidden="false" customHeight="true" outlineLevel="0" collapsed="false">
      <c r="A21" s="18" t="s">
        <v>3214</v>
      </c>
      <c r="B21" s="18" t="s">
        <v>7239</v>
      </c>
      <c r="C21" s="18" t="s">
        <v>7240</v>
      </c>
      <c r="D21" s="18" t="s">
        <v>7241</v>
      </c>
    </row>
    <row r="22" customFormat="false" ht="21.75" hidden="false" customHeight="true" outlineLevel="0" collapsed="false">
      <c r="A22" s="18" t="s">
        <v>3215</v>
      </c>
      <c r="B22" s="18" t="s">
        <v>7242</v>
      </c>
      <c r="C22" s="18" t="s">
        <v>7243</v>
      </c>
      <c r="D22" s="18" t="s">
        <v>7244</v>
      </c>
    </row>
    <row r="23" customFormat="false" ht="21.75" hidden="false" customHeight="true" outlineLevel="0" collapsed="false">
      <c r="A23" s="18" t="s">
        <v>5265</v>
      </c>
      <c r="B23" s="18" t="s">
        <v>7245</v>
      </c>
      <c r="C23" s="18" t="s">
        <v>7246</v>
      </c>
      <c r="D23" s="18" t="s">
        <v>7247</v>
      </c>
    </row>
    <row r="24" customFormat="false" ht="21.75" hidden="false" customHeight="true" outlineLevel="0" collapsed="false">
      <c r="A24" s="18" t="s">
        <v>6036</v>
      </c>
      <c r="B24" s="18" t="s">
        <v>7248</v>
      </c>
      <c r="C24" s="18" t="s">
        <v>7249</v>
      </c>
      <c r="D24" s="18" t="s">
        <v>7250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2026-07-30T21:59:08Z</dcterms:created>
  <dc:creator>openpyxl</dc:creator>
  <dc:description/>
  <dc:language>en-US</dc:language>
  <cp:lastModifiedBy/>
  <dcterms:modified xsi:type="dcterms:W3CDTF">2026-07-30T21:59:13Z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